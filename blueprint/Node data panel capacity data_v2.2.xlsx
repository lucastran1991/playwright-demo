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jane/Documents/AT 2026/Product/Blueprint/"/>
    </mc:Choice>
  </mc:AlternateContent>
  <xr:revisionPtr revIDLastSave="0" documentId="8_{09E3C1C2-45AB-4154-B554-60F7712EEB20}" xr6:coauthVersionLast="47" xr6:coauthVersionMax="47" xr10:uidLastSave="{00000000-0000-0000-0000-000000000000}"/>
  <bookViews>
    <workbookView xWindow="24320" yWindow="640" windowWidth="27700" windowHeight="27160" firstSheet="12" activeTab="12" xr2:uid="{1EDC0D24-AAA0-B546-B19E-CDF1C1FF6641}"/>
  </bookViews>
  <sheets>
    <sheet name="Sheet1" sheetId="1" state="hidden" r:id="rId1"/>
    <sheet name="Panel Structure" sheetId="9" r:id="rId2"/>
    <sheet name="Capacity (Rack)" sheetId="3" r:id="rId3"/>
    <sheet name="Capacity (2)" sheetId="2" r:id="rId4"/>
    <sheet name="Load Alloc (Rack)" sheetId="5" r:id="rId5"/>
    <sheet name="Load Alloc (2)" sheetId="4" r:id="rId6"/>
    <sheet name="CM" sheetId="6" r:id="rId7"/>
    <sheet name="UpstreamSubdomainCM" sheetId="7" r:id="rId8"/>
    <sheet name="Other" sheetId="8" r:id="rId9"/>
    <sheet name="BDLs" sheetId="10" r:id="rId10"/>
    <sheet name="ClusterManifest" sheetId="11" r:id="rId11"/>
    <sheet name="Placement" sheetId="12" r:id="rId12"/>
    <sheet name="Topology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2" l="1"/>
  <c r="E29" i="12"/>
  <c r="F29" i="12"/>
  <c r="G29" i="12"/>
  <c r="H29" i="12"/>
  <c r="C29" i="12"/>
  <c r="D27" i="12"/>
  <c r="E27" i="12"/>
  <c r="F27" i="12"/>
  <c r="G27" i="12"/>
  <c r="H27" i="12"/>
  <c r="C27" i="12"/>
  <c r="H16" i="12"/>
  <c r="E14" i="12"/>
  <c r="F14" i="12" s="1"/>
  <c r="G14" i="12" s="1"/>
  <c r="E10" i="12"/>
  <c r="F10" i="12" s="1"/>
  <c r="G10" i="12" s="1"/>
  <c r="D13" i="12"/>
  <c r="E13" i="12" s="1"/>
  <c r="F13" i="12" s="1"/>
  <c r="G13" i="12" s="1"/>
  <c r="D11" i="12"/>
  <c r="E11" i="12" s="1"/>
  <c r="F11" i="12" s="1"/>
  <c r="G11" i="12" s="1"/>
  <c r="D10" i="12"/>
  <c r="E33" i="12"/>
  <c r="F33" i="12" s="1"/>
  <c r="G33" i="12" s="1"/>
  <c r="E32" i="12"/>
  <c r="F32" i="12" s="1"/>
  <c r="G32" i="12" s="1"/>
  <c r="C19" i="12"/>
  <c r="C13" i="12"/>
  <c r="C7" i="12"/>
  <c r="C17" i="12"/>
  <c r="C18" i="12" s="1"/>
  <c r="C16" i="12"/>
  <c r="C11" i="12"/>
  <c r="C12" i="12" s="1"/>
  <c r="C10" i="12"/>
  <c r="H8" i="12"/>
  <c r="D8" i="12"/>
  <c r="E8" i="12" s="1"/>
  <c r="F8" i="12" s="1"/>
  <c r="G8" i="12" s="1"/>
  <c r="C8" i="12"/>
  <c r="H7" i="12"/>
  <c r="H13" i="12" s="1"/>
  <c r="D7" i="12"/>
  <c r="E7" i="12" s="1"/>
  <c r="F7" i="12" s="1"/>
  <c r="G7" i="12" s="1"/>
  <c r="D5" i="12"/>
  <c r="D6" i="12" s="1"/>
  <c r="C5" i="12"/>
  <c r="C6" i="12" s="1"/>
  <c r="H5" i="12"/>
  <c r="H6" i="12" s="1"/>
  <c r="H3" i="12"/>
  <c r="H4" i="12" s="1"/>
  <c r="D3" i="12"/>
  <c r="D4" i="12" s="1"/>
  <c r="E4" i="12" s="1"/>
  <c r="F4" i="12" s="1"/>
  <c r="G4" i="12" s="1"/>
  <c r="G26" i="12" s="1"/>
  <c r="C3" i="12"/>
  <c r="C4" i="12" s="1"/>
  <c r="D12" i="12" l="1"/>
  <c r="E12" i="12" s="1"/>
  <c r="E25" i="12"/>
  <c r="F12" i="12"/>
  <c r="D25" i="12"/>
  <c r="D26" i="12"/>
  <c r="E26" i="12"/>
  <c r="F26" i="12"/>
  <c r="H19" i="12"/>
  <c r="E3" i="12"/>
  <c r="F3" i="12" s="1"/>
  <c r="G3" i="12" s="1"/>
  <c r="E5" i="12"/>
  <c r="F5" i="12" s="1"/>
  <c r="E6" i="12"/>
  <c r="G12" i="12" l="1"/>
  <c r="G25" i="12" s="1"/>
  <c r="F25" i="12"/>
  <c r="F6" i="12"/>
  <c r="G5" i="12"/>
  <c r="G6" i="12" s="1"/>
</calcChain>
</file>

<file path=xl/sharedStrings.xml><?xml version="1.0" encoding="utf-8"?>
<sst xmlns="http://schemas.openxmlformats.org/spreadsheetml/2006/main" count="1543" uniqueCount="379">
  <si>
    <t>Node Type</t>
  </si>
  <si>
    <t>Panel Section (Box)</t>
  </si>
  <si>
    <t>iSET</t>
  </si>
  <si>
    <t>Variable Name</t>
  </si>
  <si>
    <t>Variable name display in panel</t>
  </si>
  <si>
    <t>Unit</t>
  </si>
  <si>
    <t>Display Format &amp; notes</t>
  </si>
  <si>
    <t>Source data cube (temporary)</t>
  </si>
  <si>
    <t>Find-By Column Name1 (temporary)</t>
  </si>
  <si>
    <t>Special Comments</t>
  </si>
  <si>
    <t>Find-By Column Name2 (temporary)</t>
  </si>
  <si>
    <t>Variable Column Name (temporary)</t>
  </si>
  <si>
    <t>Rack</t>
  </si>
  <si>
    <t>Capacity</t>
  </si>
  <si>
    <t>Operational Capacity</t>
  </si>
  <si>
    <t>Rack_Circuit_Capacity_(rated)</t>
  </si>
  <si>
    <t>as-is, replace "_" with space</t>
  </si>
  <si>
    <t>kW</t>
  </si>
  <si>
    <t>basic</t>
  </si>
  <si>
    <t>Master_Rack</t>
  </si>
  <si>
    <t>Find by Rack ID</t>
  </si>
  <si>
    <t>Rack_Circuit_Capacity_(design)</t>
  </si>
  <si>
    <t>Load Allocation</t>
  </si>
  <si>
    <t>Allocated_ITLoad</t>
  </si>
  <si>
    <t>Basic</t>
  </si>
  <si>
    <t>ITL-SJ-Meridian-C01-PP01, ITL-SJ-Pacific-C01-PD01, ITL-SJ-Pacific-C01-PD02, ITL-SJ-Pacific-C01-PD03, ITL-SJ-Pacific-C01-PD04, ITL-SJ-Keystone-C01-PP01</t>
  </si>
  <si>
    <r>
      <t xml:space="preserve">If the Rack data panel is viewed while in the </t>
    </r>
    <r>
      <rPr>
        <b/>
        <sz val="12"/>
        <color theme="1"/>
        <rFont val="Aptos Narrow"/>
        <scheme val="minor"/>
      </rPr>
      <t>Spatial Topology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scheme val="minor"/>
      </rPr>
      <t>Whitespace Blueprint</t>
    </r>
    <r>
      <rPr>
        <sz val="12"/>
        <color theme="1"/>
        <rFont val="Aptos Narrow"/>
        <family val="2"/>
        <scheme val="minor"/>
      </rPr>
      <t xml:space="preserve"> navigation, use any column that is for a </t>
    </r>
    <r>
      <rPr>
        <b/>
        <sz val="12"/>
        <color theme="1"/>
        <rFont val="Aptos Narrow"/>
        <scheme val="minor"/>
      </rPr>
      <t>Placement Plan (PP)</t>
    </r>
    <r>
      <rPr>
        <sz val="12"/>
        <color theme="1"/>
        <rFont val="Aptos Narrow"/>
        <family val="2"/>
        <scheme val="minor"/>
      </rPr>
      <t xml:space="preserve">.
If the Rack data panel is viewed while in the </t>
    </r>
    <r>
      <rPr>
        <b/>
        <sz val="12"/>
        <color theme="1"/>
        <rFont val="Aptos Narrow"/>
        <scheme val="minor"/>
      </rPr>
      <t>Deployment Blueprint</t>
    </r>
    <r>
      <rPr>
        <sz val="12"/>
        <color theme="1"/>
        <rFont val="Aptos Narrow"/>
        <family val="2"/>
        <scheme val="minor"/>
      </rPr>
      <t xml:space="preserve"> navigation, use the exact column that represents the current </t>
    </r>
    <r>
      <rPr>
        <b/>
        <sz val="12"/>
        <color theme="1"/>
        <rFont val="Aptos Narrow"/>
        <scheme val="minor"/>
      </rPr>
      <t>Placement Plan (PP) or Placement Draft (PD</t>
    </r>
    <r>
      <rPr>
        <sz val="12"/>
        <color theme="1"/>
        <rFont val="Aptos Narrow"/>
        <family val="2"/>
        <scheme val="minor"/>
      </rPr>
      <t>) selected in the navigation</t>
    </r>
  </si>
  <si>
    <t>Allocated_AirCool_Load</t>
  </si>
  <si>
    <t>ACL-SJ-Meridian-C01-PP01, ACL-SJ-Pacific-C01-PD01, ACL-SJ-Pacific-C01-PD02, ACL-SJ-Pacific-C01-PD03, ACL-SJ-Pacific-C01-PD04, ACL-SJ-Keystone-C01-PP01</t>
  </si>
  <si>
    <t>Allocated_LiquidCool_Load</t>
  </si>
  <si>
    <t>LCL-SJ-Meridian-C01-PP01, LCL-SJ-Pacific-C01-PD01, LCL-SJ-Pacific-C01-PD02, LCL-SJ-Pacific-C01-PD03, LCL-SJ-Pacific-C01-PD04, LCL-SJ-Keystone-C01-PP01</t>
  </si>
  <si>
    <t>TheorMax_ITLoad</t>
  </si>
  <si>
    <t>Capacity Margins</t>
  </si>
  <si>
    <t>Capacity Margin</t>
  </si>
  <si>
    <t>Local_Capacity_Margin</t>
  </si>
  <si>
    <r>
      <t xml:space="preserve">horizontal bar. Data label shows Allocated_ITLoad/ Rack_Circuit_Capacity_(design), and the margin %. </t>
    </r>
    <r>
      <rPr>
        <sz val="12"/>
        <color rgb="FFFF0000"/>
        <rFont val="Aptos Narrow (Body)"/>
      </rPr>
      <t>E.g. 250/ 300 (83%)</t>
    </r>
    <r>
      <rPr>
        <sz val="12"/>
        <color theme="1"/>
        <rFont val="Aptos Narrow"/>
        <family val="2"/>
        <scheme val="minor"/>
      </rPr>
      <t>. 
Rack_Circuit_Capacity_(design) is already defined in the above Capacity section</t>
    </r>
  </si>
  <si>
    <t>Local_Capacity_Margin = Rack_Circuit_Capacity_(design) - Allocated_ITLoad</t>
  </si>
  <si>
    <t>Local_Capacity_Margin%</t>
  </si>
  <si>
    <t>Percent</t>
  </si>
  <si>
    <t>These two variables are already defined in the above sections</t>
  </si>
  <si>
    <t>Upstream Capacity Margin</t>
  </si>
  <si>
    <t>Upstream_Capacity</t>
  </si>
  <si>
    <t>Use the actual upstream node ID/ name</t>
  </si>
  <si>
    <t>Horizontal bars. Data label shows upstream node load/ capacity and the margin %  e.g. 250/300 (83%) 
If margin is negative, show as red</t>
  </si>
  <si>
    <t>Constraints</t>
  </si>
  <si>
    <t>Constraint Node</t>
  </si>
  <si>
    <r>
      <t xml:space="preserve">Find by the upstream Node ID; 
Identify the relavant upstream Node ID using the </t>
    </r>
    <r>
      <rPr>
        <b/>
        <sz val="12"/>
        <color theme="1"/>
        <rFont val="Aptos Narrow"/>
        <scheme val="minor"/>
      </rPr>
      <t>Upstream Type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scheme val="minor"/>
      </rPr>
      <t>Upstream</t>
    </r>
    <r>
      <rPr>
        <sz val="12"/>
        <color theme="1"/>
        <rFont val="Aptos Narrow"/>
        <family val="2"/>
        <scheme val="minor"/>
      </rPr>
      <t xml:space="preserve"> tables</t>
    </r>
  </si>
  <si>
    <t>Upstream_Load</t>
  </si>
  <si>
    <t>TOTAL LOAD ALL PP, TOTAL LOAD with SJ-PACIFIC-C01-PD01, TOTAL LOAD with SJ-PACIFIC-C01-PD02, TOTAL LOAD with SJ-PACIFIC-C01-PD03, TOTAL LOAD with SJ-PACIFIC-C01-PD04</t>
  </si>
  <si>
    <r>
      <t xml:space="preserve">If the Rack data panel is viewed while in the </t>
    </r>
    <r>
      <rPr>
        <b/>
        <sz val="12"/>
        <color theme="1"/>
        <rFont val="Aptos Narrow"/>
        <scheme val="minor"/>
      </rPr>
      <t>Spatial Topology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scheme val="minor"/>
      </rPr>
      <t>Whitespace Blueprint</t>
    </r>
    <r>
      <rPr>
        <sz val="12"/>
        <color theme="1"/>
        <rFont val="Aptos Narrow"/>
        <family val="2"/>
        <scheme val="minor"/>
      </rPr>
      <t xml:space="preserve"> navigation, use </t>
    </r>
    <r>
      <rPr>
        <b/>
        <sz val="12"/>
        <color theme="1"/>
        <rFont val="Aptos Narrow"/>
        <scheme val="minor"/>
      </rPr>
      <t>TOTAL LOAD ALL PP</t>
    </r>
    <r>
      <rPr>
        <sz val="12"/>
        <color theme="1"/>
        <rFont val="Aptos Narrow"/>
        <family val="2"/>
        <scheme val="minor"/>
      </rPr>
      <t xml:space="preserve">
If the Rack data panel is viewed while in the </t>
    </r>
    <r>
      <rPr>
        <b/>
        <sz val="12"/>
        <color theme="1"/>
        <rFont val="Aptos Narrow"/>
        <scheme val="minor"/>
      </rPr>
      <t>Deployment Blueprint navigation,</t>
    </r>
    <r>
      <rPr>
        <sz val="12"/>
        <color theme="1"/>
        <rFont val="Aptos Narrow"/>
        <family val="2"/>
        <scheme val="minor"/>
      </rPr>
      <t xml:space="preserve"> and a Deploymet Plan is selected, also use </t>
    </r>
    <r>
      <rPr>
        <b/>
        <sz val="12"/>
        <color theme="1"/>
        <rFont val="Aptos Narrow"/>
        <scheme val="minor"/>
      </rPr>
      <t>TOTAL LOAD ALL PP.</t>
    </r>
    <r>
      <rPr>
        <sz val="12"/>
        <color theme="1"/>
        <rFont val="Aptos Narrow"/>
        <family val="2"/>
        <scheme val="minor"/>
      </rPr>
      <t xml:space="preserve"> 
If the Rack data panel is viewed while in the </t>
    </r>
    <r>
      <rPr>
        <b/>
        <sz val="12"/>
        <color theme="1"/>
        <rFont val="Aptos Narrow"/>
        <scheme val="minor"/>
      </rPr>
      <t>Deployment Blueprint navigation</t>
    </r>
    <r>
      <rPr>
        <sz val="12"/>
        <color theme="1"/>
        <rFont val="Aptos Narrow"/>
        <family val="2"/>
        <scheme val="minor"/>
      </rPr>
      <t xml:space="preserve">, and a </t>
    </r>
    <r>
      <rPr>
        <b/>
        <sz val="12"/>
        <color rgb="FFFF0000"/>
        <rFont val="Aptos Narrow (Body)"/>
      </rPr>
      <t xml:space="preserve">Deploymet DRAFT </t>
    </r>
    <r>
      <rPr>
        <sz val="12"/>
        <color theme="1"/>
        <rFont val="Aptos Narrow"/>
        <family val="2"/>
        <scheme val="minor"/>
      </rPr>
      <t xml:space="preserve">is selected, use </t>
    </r>
    <r>
      <rPr>
        <b/>
        <sz val="12"/>
        <color rgb="FFFF0000"/>
        <rFont val="Aptos Narrow (Body)"/>
      </rPr>
      <t>TOTAL LOAD with [placement draft ID]</t>
    </r>
  </si>
  <si>
    <t>Upstream_Capacity_Margin</t>
  </si>
  <si>
    <r>
      <t xml:space="preserve">Upstream_Capacit_Margin = Upstream_Capacity - Upstream_Load </t>
    </r>
    <r>
      <rPr>
        <sz val="12"/>
        <color rgb="FFFF0000"/>
        <rFont val="Aptos Narrow (Body)"/>
      </rPr>
      <t>FOR EACH UPSTREAM NODE</t>
    </r>
  </si>
  <si>
    <t>Upstream_Capacity_Margin%</t>
  </si>
  <si>
    <t>The two variables for each upstream node is already defined above</t>
  </si>
  <si>
    <t>Other Parameters</t>
  </si>
  <si>
    <t>Other Design Parameters</t>
  </si>
  <si>
    <t>Rack_AirCool_Fraction</t>
  </si>
  <si>
    <t>Bar chart with two colors</t>
  </si>
  <si>
    <t>Rack_LiquidCool_Fraction</t>
  </si>
  <si>
    <t>Row</t>
  </si>
  <si>
    <t>Find by Row ID</t>
  </si>
  <si>
    <t>Rack_Count</t>
  </si>
  <si>
    <t>Count</t>
  </si>
  <si>
    <t>TOTAL COUNT ALL PP, TOTAL COUNT with SJ-PACIFIC-C01-PD01, TOTAL COUNT with SJ-PACIFIC-C01-PD02, TOTAL COUNT with SJ-PACIFIC-C01-PD03, TOTAL COUNT with SJ-PACIFIC-C01-PD04</t>
  </si>
  <si>
    <r>
      <t xml:space="preserve">If the Row data panel is viewed while in the </t>
    </r>
    <r>
      <rPr>
        <b/>
        <sz val="12"/>
        <color theme="1"/>
        <rFont val="Aptos Narrow"/>
        <scheme val="minor"/>
      </rPr>
      <t>Spatial Topology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scheme val="minor"/>
      </rPr>
      <t>Whitespace Blueprint</t>
    </r>
    <r>
      <rPr>
        <sz val="12"/>
        <color theme="1"/>
        <rFont val="Aptos Narrow"/>
        <family val="2"/>
        <scheme val="minor"/>
      </rPr>
      <t xml:space="preserve"> navigation, use </t>
    </r>
    <r>
      <rPr>
        <b/>
        <sz val="12"/>
        <color theme="1"/>
        <rFont val="Aptos Narrow"/>
        <scheme val="minor"/>
      </rPr>
      <t>TOTAL COUNT ALL PP</t>
    </r>
    <r>
      <rPr>
        <sz val="12"/>
        <color theme="1"/>
        <rFont val="Aptos Narrow"/>
        <family val="2"/>
        <scheme val="minor"/>
      </rPr>
      <t xml:space="preserve">
If the row data panel is viewed while in the </t>
    </r>
    <r>
      <rPr>
        <b/>
        <sz val="12"/>
        <color theme="1"/>
        <rFont val="Aptos Narrow"/>
        <scheme val="minor"/>
      </rPr>
      <t>Deployment Blueprint navigation,</t>
    </r>
    <r>
      <rPr>
        <sz val="12"/>
        <color theme="1"/>
        <rFont val="Aptos Narrow"/>
        <family val="2"/>
        <scheme val="minor"/>
      </rPr>
      <t xml:space="preserve"> a Deploymet Plan is selected, also use </t>
    </r>
    <r>
      <rPr>
        <b/>
        <sz val="12"/>
        <color theme="1"/>
        <rFont val="Aptos Narrow"/>
        <scheme val="minor"/>
      </rPr>
      <t>TOTAL COUNT ALL PP.</t>
    </r>
    <r>
      <rPr>
        <sz val="12"/>
        <color theme="1"/>
        <rFont val="Aptos Narrow"/>
        <family val="2"/>
        <scheme val="minor"/>
      </rPr>
      <t xml:space="preserve"> 
If the row data panel is viewed while in the </t>
    </r>
    <r>
      <rPr>
        <b/>
        <sz val="12"/>
        <color theme="1"/>
        <rFont val="Aptos Narrow"/>
        <scheme val="minor"/>
      </rPr>
      <t>Deployment Blueprint navigation</t>
    </r>
    <r>
      <rPr>
        <sz val="12"/>
        <color theme="1"/>
        <rFont val="Aptos Narrow"/>
        <family val="2"/>
        <scheme val="minor"/>
      </rPr>
      <t xml:space="preserve">, and a </t>
    </r>
    <r>
      <rPr>
        <b/>
        <sz val="12"/>
        <color rgb="FFFF0000"/>
        <rFont val="Aptos Narrow (Body)"/>
      </rPr>
      <t xml:space="preserve">Deploymet DRAFT </t>
    </r>
    <r>
      <rPr>
        <sz val="12"/>
        <color theme="1"/>
        <rFont val="Aptos Narrow"/>
        <family val="2"/>
        <scheme val="minor"/>
      </rPr>
      <t xml:space="preserve">is selected, use </t>
    </r>
    <r>
      <rPr>
        <b/>
        <sz val="12"/>
        <color rgb="FFFF0000"/>
        <rFont val="Aptos Narrow (Body)"/>
      </rPr>
      <t>TOTAL COUNT with [placement draft ID]</t>
    </r>
  </si>
  <si>
    <r>
      <t xml:space="preserve">If the Row data panel is viewed while in the </t>
    </r>
    <r>
      <rPr>
        <b/>
        <sz val="12"/>
        <color theme="1"/>
        <rFont val="Aptos Narrow"/>
        <scheme val="minor"/>
      </rPr>
      <t>Spatial Topology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scheme val="minor"/>
      </rPr>
      <t>Whitespace Blueprint</t>
    </r>
    <r>
      <rPr>
        <sz val="12"/>
        <color theme="1"/>
        <rFont val="Aptos Narrow"/>
        <family val="2"/>
        <scheme val="minor"/>
      </rPr>
      <t xml:space="preserve"> navigation, use </t>
    </r>
    <r>
      <rPr>
        <b/>
        <sz val="12"/>
        <color theme="1"/>
        <rFont val="Aptos Narrow"/>
        <scheme val="minor"/>
      </rPr>
      <t>TOTAL LOAD ALL PP</t>
    </r>
    <r>
      <rPr>
        <sz val="12"/>
        <color theme="1"/>
        <rFont val="Aptos Narrow"/>
        <family val="2"/>
        <scheme val="minor"/>
      </rPr>
      <t xml:space="preserve">
If the row data panel is viewed while in the </t>
    </r>
    <r>
      <rPr>
        <b/>
        <sz val="12"/>
        <color theme="1"/>
        <rFont val="Aptos Narrow"/>
        <scheme val="minor"/>
      </rPr>
      <t>Deployment Blueprint navigation,</t>
    </r>
    <r>
      <rPr>
        <sz val="12"/>
        <color theme="1"/>
        <rFont val="Aptos Narrow"/>
        <family val="2"/>
        <scheme val="minor"/>
      </rPr>
      <t xml:space="preserve"> a Deploymet Plan is selected, also use </t>
    </r>
    <r>
      <rPr>
        <b/>
        <sz val="12"/>
        <color theme="1"/>
        <rFont val="Aptos Narrow"/>
        <scheme val="minor"/>
      </rPr>
      <t>TOTAL LOAD ALL PP.</t>
    </r>
    <r>
      <rPr>
        <sz val="12"/>
        <color theme="1"/>
        <rFont val="Aptos Narrow"/>
        <family val="2"/>
        <scheme val="minor"/>
      </rPr>
      <t xml:space="preserve"> 
If the row data panel is viewed while in the </t>
    </r>
    <r>
      <rPr>
        <b/>
        <sz val="12"/>
        <color theme="1"/>
        <rFont val="Aptos Narrow"/>
        <scheme val="minor"/>
      </rPr>
      <t>Deployment Blueprint navigation</t>
    </r>
    <r>
      <rPr>
        <sz val="12"/>
        <color theme="1"/>
        <rFont val="Aptos Narrow"/>
        <family val="2"/>
        <scheme val="minor"/>
      </rPr>
      <t xml:space="preserve">, and a </t>
    </r>
    <r>
      <rPr>
        <b/>
        <sz val="12"/>
        <color rgb="FFFF0000"/>
        <rFont val="Aptos Narrow (Body)"/>
      </rPr>
      <t xml:space="preserve">Deploymet DRAFT </t>
    </r>
    <r>
      <rPr>
        <sz val="12"/>
        <color theme="1"/>
        <rFont val="Aptos Narrow"/>
        <family val="2"/>
        <scheme val="minor"/>
      </rPr>
      <t xml:space="preserve">is selected, use </t>
    </r>
    <r>
      <rPr>
        <b/>
        <sz val="12"/>
        <color rgb="FFFF0000"/>
        <rFont val="Aptos Narrow (Body)"/>
      </rPr>
      <t>TOTAL LOAD with [placement draft ID]</t>
    </r>
  </si>
  <si>
    <t>CDU</t>
  </si>
  <si>
    <t>Device Capacity</t>
  </si>
  <si>
    <t>Rated_Cooling_Capacity</t>
  </si>
  <si>
    <t>Find by CDU ID</t>
  </si>
  <si>
    <t>Device Rating</t>
  </si>
  <si>
    <t>Pump_Capacity</t>
  </si>
  <si>
    <t>L/s</t>
  </si>
  <si>
    <t>CDU.Pump_Capacity (L/s)</t>
  </si>
  <si>
    <t>RPP</t>
  </si>
  <si>
    <t>RPP_Panel_Capacity_(rated)</t>
  </si>
  <si>
    <t>Find by RPP ID</t>
  </si>
  <si>
    <t>RPP_Panel_Capacity_(design)</t>
  </si>
  <si>
    <t>RPP_BreakerPole_Capacity</t>
  </si>
  <si>
    <t>Same methods used for Row Load Allocation</t>
  </si>
  <si>
    <t>Same as for Row Load Allocation</t>
  </si>
  <si>
    <t>Device_Capacity_Margin</t>
  </si>
  <si>
    <t>horizontal bar. Data label shows Allocated_ITLoad/ RPP_Panel_Capacity_(design), and the margin %.</t>
  </si>
  <si>
    <t>Device_Capacity_Margin = RPP_Panel_Capacity_(design) - Allocated_ITLoad</t>
  </si>
  <si>
    <t>Device_Capacity_Margin%</t>
  </si>
  <si>
    <t xml:space="preserve">Same methods used for Rack upstream capacity margin </t>
  </si>
  <si>
    <t>Air Zone</t>
  </si>
  <si>
    <t>AirZone_Cooling_Capacity</t>
  </si>
  <si>
    <t>Find by Air Zone ID</t>
  </si>
  <si>
    <t>Maximum_Air_Flow</t>
  </si>
  <si>
    <t>m3/s</t>
  </si>
  <si>
    <t>AirZone.Maximum_Air_Flow (m3/s)</t>
  </si>
  <si>
    <t>Load_Margin</t>
  </si>
  <si>
    <t>Node ID</t>
  </si>
  <si>
    <t>Private; Draft ID</t>
  </si>
  <si>
    <r>
      <t xml:space="preserve">If the Air Zone data panel is viewed while in the </t>
    </r>
    <r>
      <rPr>
        <b/>
        <sz val="12"/>
        <color theme="1"/>
        <rFont val="Aptos Narrow"/>
        <scheme val="minor"/>
      </rPr>
      <t>Spatial Topology or Whitespace Bluepring navigation,</t>
    </r>
    <r>
      <rPr>
        <sz val="12"/>
        <color theme="1"/>
        <rFont val="Aptos Narrow"/>
        <family val="2"/>
        <scheme val="minor"/>
      </rPr>
      <t xml:space="preserve"> use data where </t>
    </r>
    <r>
      <rPr>
        <b/>
        <sz val="12"/>
        <color theme="1"/>
        <rFont val="Aptos Narrow"/>
        <scheme val="minor"/>
      </rPr>
      <t xml:space="preserve">Private = FALSE. </t>
    </r>
    <r>
      <rPr>
        <sz val="12"/>
        <color theme="1"/>
        <rFont val="Aptos Narrow"/>
        <family val="2"/>
        <scheme val="minor"/>
      </rPr>
      <t xml:space="preserve">
If the Air Zone data panel is viewed while in the </t>
    </r>
    <r>
      <rPr>
        <b/>
        <sz val="12"/>
        <color theme="1"/>
        <rFont val="Aptos Narrow"/>
        <scheme val="minor"/>
      </rPr>
      <t>Deployment Blueprint navigation,</t>
    </r>
    <r>
      <rPr>
        <sz val="12"/>
        <color theme="1"/>
        <rFont val="Aptos Narrow"/>
        <family val="2"/>
        <scheme val="minor"/>
      </rPr>
      <t xml:space="preserve"> and a</t>
    </r>
    <r>
      <rPr>
        <b/>
        <sz val="12"/>
        <color theme="1"/>
        <rFont val="Aptos Narrow"/>
        <scheme val="minor"/>
      </rPr>
      <t xml:space="preserve"> Deploymet Plan is selected</t>
    </r>
    <r>
      <rPr>
        <sz val="12"/>
        <color theme="1"/>
        <rFont val="Aptos Narrow"/>
        <family val="2"/>
        <scheme val="minor"/>
      </rPr>
      <t xml:space="preserve">, also use data where </t>
    </r>
    <r>
      <rPr>
        <b/>
        <sz val="12"/>
        <color theme="1"/>
        <rFont val="Aptos Narrow"/>
        <scheme val="minor"/>
      </rPr>
      <t xml:space="preserve">Private = FALSE. </t>
    </r>
    <r>
      <rPr>
        <sz val="12"/>
        <color theme="1"/>
        <rFont val="Aptos Narrow"/>
        <family val="2"/>
        <scheme val="minor"/>
      </rPr>
      <t xml:space="preserve">
If the rack data panel is viewed while in the </t>
    </r>
    <r>
      <rPr>
        <b/>
        <sz val="12"/>
        <color theme="1"/>
        <rFont val="Aptos Narrow"/>
        <scheme val="minor"/>
      </rPr>
      <t>Deployment Blueprint navigation,</t>
    </r>
    <r>
      <rPr>
        <sz val="12"/>
        <color theme="1"/>
        <rFont val="Aptos Narrow"/>
        <family val="2"/>
        <scheme val="minor"/>
      </rPr>
      <t xml:space="preserve"> and a </t>
    </r>
    <r>
      <rPr>
        <b/>
        <sz val="12"/>
        <color rgb="FFFF0000"/>
        <rFont val="Aptos Narrow (Body)"/>
      </rPr>
      <t>Deploymet DRAFT is selected</t>
    </r>
    <r>
      <rPr>
        <sz val="12"/>
        <color theme="1"/>
        <rFont val="Aptos Narrow"/>
        <family val="2"/>
        <scheme val="minor"/>
      </rPr>
      <t xml:space="preserve">, use data where </t>
    </r>
    <r>
      <rPr>
        <b/>
        <sz val="12"/>
        <color rgb="FFFF0000"/>
        <rFont val="Aptos Narrow (Body)"/>
      </rPr>
      <t>Private = TRUE</t>
    </r>
    <r>
      <rPr>
        <sz val="12"/>
        <color theme="1"/>
        <rFont val="Aptos Narrow"/>
        <family val="2"/>
        <scheme val="minor"/>
      </rPr>
      <t xml:space="preserve">, AND find the right </t>
    </r>
    <r>
      <rPr>
        <b/>
        <sz val="12"/>
        <color rgb="FFFF0000"/>
        <rFont val="Aptos Narrow (Body)"/>
      </rPr>
      <t>DRAFT ID</t>
    </r>
    <r>
      <rPr>
        <sz val="12"/>
        <color theme="1"/>
        <rFont val="Aptos Narrow"/>
        <family val="2"/>
        <scheme val="minor"/>
      </rPr>
      <t xml:space="preserve"> in the DRAFT ID column</t>
    </r>
  </si>
  <si>
    <t>horizontal bar. Data label shows Allocated_AirCool_Load/ AirZone_Cooling_Capacity, and the margin %.</t>
  </si>
  <si>
    <t>Local_Capacity_Margin = AirZone_Cooling_Capacity - Allocated_AirCool_Load</t>
  </si>
  <si>
    <t>Rack_Inlet_Setpoint</t>
  </si>
  <si>
    <t>celcius</t>
  </si>
  <si>
    <t>ColdAisle_Supply_Temp</t>
  </si>
  <si>
    <t>Rack_DeltaT_(design)</t>
  </si>
  <si>
    <t>Rack_DeltaT_(design) (celsius)</t>
  </si>
  <si>
    <t>Liquid Loop</t>
  </si>
  <si>
    <t>LL_Cooling_Capacity</t>
  </si>
  <si>
    <t>Find by Liquid Loop ID</t>
  </si>
  <si>
    <t>Maximum_Flow_Rate</t>
  </si>
  <si>
    <t>LL.Maximum_Flow_Rate</t>
  </si>
  <si>
    <t>TheorMax_LiquidCool_Load</t>
  </si>
  <si>
    <t>NODE DATA PANEL - CAPACITY TAB</t>
  </si>
  <si>
    <t>Panel Sections (these are boxes, one box per section)</t>
  </si>
  <si>
    <t>Variable Group</t>
  </si>
  <si>
    <t>Capacity variables Rack</t>
  </si>
  <si>
    <t>Data Panel Section (Box)</t>
  </si>
  <si>
    <t>iSET name</t>
  </si>
  <si>
    <t>basic (simple variable name and value)</t>
  </si>
  <si>
    <t>Source data table (temporary)</t>
  </si>
  <si>
    <t>Rack (Find by the Rack ID)</t>
  </si>
  <si>
    <t>Node Tye</t>
  </si>
  <si>
    <t>Variable</t>
  </si>
  <si>
    <t>Special comments</t>
  </si>
  <si>
    <t>Capacity variables for Row, RPP, AZ, LL, RPDU, UPS, CDIST, CC</t>
  </si>
  <si>
    <t>Capacity variables for CDU, Air Cooling Unit</t>
  </si>
  <si>
    <t>Costraint Node (find by the Node ID)</t>
  </si>
  <si>
    <t>count</t>
  </si>
  <si>
    <t>Rack Positions</t>
  </si>
  <si>
    <t>computed</t>
  </si>
  <si>
    <t>Room PDU</t>
  </si>
  <si>
    <t>RPDU_Transformer_Rating</t>
  </si>
  <si>
    <t>RPDU_Design_Capacity</t>
  </si>
  <si>
    <t>Device Capacity (design)</t>
  </si>
  <si>
    <t>RPDU_Operational_Cap</t>
  </si>
  <si>
    <t>UPS</t>
  </si>
  <si>
    <t>UPS_Rated_Capacity</t>
  </si>
  <si>
    <t>UPS_Design_Capacity</t>
  </si>
  <si>
    <t>UPS_Operational_Cap</t>
  </si>
  <si>
    <t>Cooling Distribution</t>
  </si>
  <si>
    <t>Cooling Capacity</t>
  </si>
  <si>
    <t>for each cooling distribution, only one of these three capacities is available</t>
  </si>
  <si>
    <t>Liquid_Cooling_Capacity</t>
  </si>
  <si>
    <t>Air_Cooling_Capacity</t>
  </si>
  <si>
    <t>Capacity Cell</t>
  </si>
  <si>
    <t>Capacity_Envelope</t>
  </si>
  <si>
    <t>Power_Capacity</t>
  </si>
  <si>
    <t>CC Power Capacity</t>
  </si>
  <si>
    <t>Thermal_Capacity</t>
  </si>
  <si>
    <t>CC Thermal Capacity</t>
  </si>
  <si>
    <t>Air Cooling Unit</t>
  </si>
  <si>
    <t>AirCoolUnit.Maximum_Air_Flow (m3/s)</t>
  </si>
  <si>
    <t>Capacity variables for Racks</t>
  </si>
  <si>
    <t>Rack (find by Rack ID)</t>
  </si>
  <si>
    <t>see conditions</t>
  </si>
  <si>
    <t>Conditions</t>
  </si>
  <si>
    <t xml:space="preserve">    IF</t>
  </si>
  <si>
    <t xml:space="preserve">        navigation = {Spatial Topology, Whitespace Blueprint}</t>
  </si>
  <si>
    <t xml:space="preserve">            OR (naviation = Deployment Blueprint, AND a Deployment Plan or its children is selected in the navigation)</t>
  </si>
  <si>
    <t xml:space="preserve">    THEN</t>
  </si>
  <si>
    <t xml:space="preserve">        Use: (ITL-SJ-Meridian-C01-PP01 + ITL-SJ-Keystone-C01-PP01) for ITLoad</t>
  </si>
  <si>
    <t xml:space="preserve">        Use: (ACL-SJ-Meridian-C01-PP01 + ACL-SJ-Keystone-C01-PP01) for AirCool Load</t>
  </si>
  <si>
    <t xml:space="preserve">        Use: (LCL-SJ-Meridian-C01-PP01 + LCL-SJ-Keystone-C01-PP01) for LiquidCool Load</t>
  </si>
  <si>
    <t xml:space="preserve">    ELSE</t>
  </si>
  <si>
    <t xml:space="preserve">        Use: ITL-[deplooyment draft name] +((ITL-SJ-Meridian-C01-PP01 + ITL-SJ-Keystone-C01-PP01)) for IT load</t>
  </si>
  <si>
    <t xml:space="preserve">        Use: ACL-[deplooyment draft name] + (ACL-SJ-Meridian-C01-PP01 + ACL-SJ-Keystone-C01-PP01)  for AirCool load</t>
  </si>
  <si>
    <t xml:space="preserve">        Use: LCL-[deplooyment draft name] + (LCL-SJ-Meridian-C01-PP01 + LCL-SJ-Keystone-C01-PP01)  for LiquidCool load</t>
  </si>
  <si>
    <t>Variable Column Names</t>
  </si>
  <si>
    <t xml:space="preserve">        navigation = {Deployment Blueprint}</t>
  </si>
  <si>
    <r>
      <t xml:space="preserve">       </t>
    </r>
    <r>
      <rPr>
        <b/>
        <sz val="12"/>
        <color theme="1"/>
        <rFont val="Aptos Narrow"/>
        <scheme val="minor"/>
      </rPr>
      <t xml:space="preserve">     AND</t>
    </r>
    <r>
      <rPr>
        <sz val="12"/>
        <color theme="1"/>
        <rFont val="Aptos Narrow"/>
        <scheme val="minor"/>
      </rPr>
      <t xml:space="preserve"> a Deployment Draft or its children is selected in the navigation</t>
    </r>
  </si>
  <si>
    <t xml:space="preserve">        Use columns: TOTAL COUNT with [deployment draft name]</t>
  </si>
  <si>
    <t xml:space="preserve">        Use column: TOTAL COUNT ALL PP</t>
  </si>
  <si>
    <t>* this means if navigation = {Spatial Topology, Whitespace Blueprint}, also use the TOTAL COUNT with [deployment draft name] columns</t>
  </si>
  <si>
    <t>as defined above</t>
  </si>
  <si>
    <t xml:space="preserve">calculated: Allocated_AirCool_Load of all Air Zones in the Capacity Cell </t>
  </si>
  <si>
    <t xml:space="preserve">calculated: Allocated_LiquidCool_Load of all Liquid Loops in the Capacity Cell </t>
  </si>
  <si>
    <t>Room Bundle</t>
  </si>
  <si>
    <t>calculate by SUM of the capacity cell Rack_Counts</t>
  </si>
  <si>
    <t>calculate by SUM of the capacity cell Allocated_ITLoad</t>
  </si>
  <si>
    <t>Room PDU Bundle</t>
  </si>
  <si>
    <t>UPS Bundle</t>
  </si>
  <si>
    <t>Capacity Margins variables for Rack, RPP, Air Zone, Liquid Loop, Room PDU, UPS, Capacity Cell, Room Bundle, Room PDU Bundle, UPS Bundle</t>
  </si>
  <si>
    <t xml:space="preserve">Capacity Margins  </t>
  </si>
  <si>
    <t>Capaity Margin</t>
  </si>
  <si>
    <t>Horizontal bars with node name. Data label shows allocated_load/ capacity and the margin %  e.g. 250/300 (83%) 
If margin is negative, show as red</t>
  </si>
  <si>
    <t>Computed</t>
  </si>
  <si>
    <t>Formula</t>
  </si>
  <si>
    <t>= Rack_Circuit_Capacity_(design) - Allocated_ITLoad</t>
  </si>
  <si>
    <t>= Local_Capacity_Margin/ Rack_Circuit_Capacity_(design)</t>
  </si>
  <si>
    <t>= RPP_Panel_Capacity_(design) - Allocated_ITLoad</t>
  </si>
  <si>
    <t>= Local_Capacity_Margin/ RPP_Panel_Capacity_(design)</t>
  </si>
  <si>
    <t>= AirZone_Cooling_Capacity - Allocated_AirCool_Load</t>
  </si>
  <si>
    <t>= Local_Capacity_Margin/ AirZone_Cooling_Capacity</t>
  </si>
  <si>
    <t>= LL_Cooling_Capacity - Allocated_LiquidCool_Load</t>
  </si>
  <si>
    <t>= Local_Capacity_Margin/ LL_Cooling_Capacity</t>
  </si>
  <si>
    <t>= RPDU_Operational_Cap - Allocated_ITLoad</t>
  </si>
  <si>
    <t>= Local_Capacity_Margin/ RPDU_Operational_Cap</t>
  </si>
  <si>
    <t>= RPDU_Design_Capacity - Allocated_ITLoad</t>
  </si>
  <si>
    <t>= Device_Capacity_Margin/ RPDU_Design_Capacity</t>
  </si>
  <si>
    <t>= UPS_Operational_Cap - Allocated_ITLoad</t>
  </si>
  <si>
    <t>= Local_Capacity_Margin/ UPS_Operational_Cap</t>
  </si>
  <si>
    <t>= UPS_Design_Capacity - Allocated_ITLoad</t>
  </si>
  <si>
    <t>= Device_Capacity_Margin/ UPS_Design_Capacity</t>
  </si>
  <si>
    <t>Cooling Distribution (for liquid)</t>
  </si>
  <si>
    <t>= Liquid_Cooling_Capacity - Allocated_LiquidCool_Load</t>
  </si>
  <si>
    <t>= Local_Capacity_Margin/ Liquid_Cooling_Capacity</t>
  </si>
  <si>
    <t>Cooling Distribution (for air)</t>
  </si>
  <si>
    <t>= Air_Cooling_Capacity - Allocated_AirCool_Load</t>
  </si>
  <si>
    <t>= Local_Capacity_Margin/ Air_Cooling_Capacity</t>
  </si>
  <si>
    <t>Cell_Margin</t>
  </si>
  <si>
    <t>= Capacity_Envelope - Allocated_ITLoad</t>
  </si>
  <si>
    <t>Cell_Margin%</t>
  </si>
  <si>
    <t>= Cell_Margin/ Capacity_Envelope</t>
  </si>
  <si>
    <t>Cell_Utilization%</t>
  </si>
  <si>
    <t>=1-Cell_Margin%</t>
  </si>
  <si>
    <t>Power_Margin</t>
  </si>
  <si>
    <t>= Power_Capacity - Allocated_ITLoad</t>
  </si>
  <si>
    <t>Power_Margin%</t>
  </si>
  <si>
    <t>= Power_Margin/ Power_Capacity</t>
  </si>
  <si>
    <t>Thermal_Margin</t>
  </si>
  <si>
    <t>= Thermal_Capacity - Allocated_ITLoad</t>
  </si>
  <si>
    <t>Thermal_Margin%</t>
  </si>
  <si>
    <t>= Thermal_Margin/ Thermal_Capacity</t>
  </si>
  <si>
    <t>Bundle_Margin</t>
  </si>
  <si>
    <t>Bundle_Margin%</t>
  </si>
  <si>
    <t>= Bundle_Margin/ Capacity_Envelope</t>
  </si>
  <si>
    <t>Upstream Capacity Margins variables for Rack, RPP, Air Zone, Liquid Loop, Room PDU, UPS, Capacity Cell, Room Bundle, Room PDU Bundle, UPS Bundle</t>
  </si>
  <si>
    <t>Step 1</t>
  </si>
  <si>
    <t>Finde relevant upstream Nodes</t>
  </si>
  <si>
    <t>for each node, the its relevant upstream nodes should be found in the topologies. They are a subset of all the upstream nodes</t>
  </si>
  <si>
    <t xml:space="preserve">    Use table</t>
  </si>
  <si>
    <t>Upstream Type</t>
  </si>
  <si>
    <t>to find for any given node, which upstream node types are relevant</t>
  </si>
  <si>
    <t xml:space="preserve">    use table</t>
  </si>
  <si>
    <t>Upstream</t>
  </si>
  <si>
    <t>to find for any given node, which upstream node instances are linked (so we can bypass the topology traversal with the data file)</t>
  </si>
  <si>
    <t>Step 2</t>
  </si>
  <si>
    <r>
      <t xml:space="preserve">Get the </t>
    </r>
    <r>
      <rPr>
        <b/>
        <sz val="12"/>
        <color rgb="FFC00000"/>
        <rFont val="Aptos Narrow (Body)"/>
      </rPr>
      <t xml:space="preserve">capacity, allocated load, and capacity margins </t>
    </r>
    <r>
      <rPr>
        <b/>
        <sz val="12"/>
        <color theme="1"/>
        <rFont val="Aptos Narrow"/>
        <scheme val="minor"/>
      </rPr>
      <t>from those nodes and display. Make sure to pick the capacity variable that is used to compute the capacity margin (not device margin)</t>
    </r>
  </si>
  <si>
    <t>the capacity margins of those nodes should already have been computed and can be used</t>
  </si>
  <si>
    <t>Subdomain Capacity Margins variables for Room Bundle, Room PDU Bundle, UPS Bundle</t>
  </si>
  <si>
    <t>Same process as above</t>
  </si>
  <si>
    <t>Rack, RPP, Air Zone, Liquicd Loop, Room PDU, UPS, Capacity Cell, Room Bundle, Room PDU Bundle, UPS Bundle</t>
  </si>
  <si>
    <t>Capacity Cell, Room Bundle, Room PDU Bundle, UPS Bundle</t>
  </si>
  <si>
    <t>Subdomain_Capacity</t>
  </si>
  <si>
    <t>Subdomain_Load</t>
  </si>
  <si>
    <t>Subdomain_Capacity_Margin</t>
  </si>
  <si>
    <t>Subdomain_Capacity_Margin%</t>
  </si>
  <si>
    <t>Other Parameters for various node types</t>
  </si>
  <si>
    <t xml:space="preserve">Other Parameters  </t>
  </si>
  <si>
    <t>Loop_Supply_Setpoint</t>
  </si>
  <si>
    <t>Loop_DeltaT_(design)</t>
  </si>
  <si>
    <t>Loop_DeltaT_(design) (celcius)</t>
  </si>
  <si>
    <t>RDHx</t>
  </si>
  <si>
    <t>RDHx_MaxHeat_Removal</t>
  </si>
  <si>
    <t>DTC</t>
  </si>
  <si>
    <t>DTC_MaxCool_Capacity</t>
  </si>
  <si>
    <t>Mapping Data Variables to the Bundle Nodes Data Panels (Room Bundles, Room PDU Bundles, UPS Bundles)</t>
  </si>
  <si>
    <t>Capacity Envelope of the Bundle</t>
  </si>
  <si>
    <t>Number of capacity cells in the Bundle</t>
  </si>
  <si>
    <t>Rack Positions of the Bundle</t>
  </si>
  <si>
    <t>List of Capacity Cells in the Bundle</t>
  </si>
  <si>
    <t>If the Capacity Cell is only used in Deployment Drafts, or not used, show "not Commited"</t>
  </si>
  <si>
    <t>If the Capacity Cell use by an Deployment Plan, show it as Committed to the Deployment and Cluster</t>
  </si>
  <si>
    <t>Capacity Envelope of the CC</t>
  </si>
  <si>
    <t>Rack Positions of the CC</t>
  </si>
  <si>
    <t>Cell Utilization% of the CC</t>
  </si>
  <si>
    <t>Load = Allocated Load of the CC</t>
  </si>
  <si>
    <t>Cell Envelope = Capacity Envelope of the CC</t>
  </si>
  <si>
    <t>Rack = Rack Count of the CC</t>
  </si>
  <si>
    <t>Rack Postion of the CC</t>
  </si>
  <si>
    <t>Deployment</t>
  </si>
  <si>
    <t>Cluster</t>
  </si>
  <si>
    <t>Rack Role</t>
  </si>
  <si>
    <t>Type</t>
  </si>
  <si>
    <t>Target kW</t>
  </si>
  <si>
    <t>Power Redundancy</t>
  </si>
  <si>
    <t>Cooling Mode</t>
  </si>
  <si>
    <t>Cooling Redundancy</t>
  </si>
  <si>
    <t>Meridian</t>
  </si>
  <si>
    <t>SJ-Meridian-C01</t>
  </si>
  <si>
    <t>Compute</t>
  </si>
  <si>
    <t>GPU</t>
  </si>
  <si>
    <t>N</t>
  </si>
  <si>
    <t>Air, RDHx</t>
  </si>
  <si>
    <t>Pacific</t>
  </si>
  <si>
    <t>SJ-Pacific-C01</t>
  </si>
  <si>
    <t>2N</t>
  </si>
  <si>
    <t>Air, DTC</t>
  </si>
  <si>
    <t>N+1</t>
  </si>
  <si>
    <t>Keystone</t>
  </si>
  <si>
    <t>SJ-Keystone-C01</t>
  </si>
  <si>
    <t>Storage</t>
  </si>
  <si>
    <t>CPU</t>
  </si>
  <si>
    <t>SJ-Keystrone-C02</t>
  </si>
  <si>
    <t>SJ-Pacific-C01-PD01</t>
  </si>
  <si>
    <t>Field Type</t>
  </si>
  <si>
    <t>Field Name</t>
  </si>
  <si>
    <t>SJ-Meridian-C01-PP01</t>
  </si>
  <si>
    <t>SJ-Pacific-C01-PD02</t>
  </si>
  <si>
    <t>SJ-Pacific-C01-PD03</t>
  </si>
  <si>
    <t>SJ-Pacific-C01-PD04</t>
  </si>
  <si>
    <t>SJ-Keystone-C01-PP01</t>
  </si>
  <si>
    <t>Load Requested</t>
  </si>
  <si>
    <t>kW Requested</t>
  </si>
  <si>
    <t>Allocated ITLoad</t>
  </si>
  <si>
    <t>kW Placed</t>
  </si>
  <si>
    <t>Rack Requested</t>
  </si>
  <si>
    <t>Rack Count</t>
  </si>
  <si>
    <t>Rack Placed</t>
  </si>
  <si>
    <t>Power Reduncancy</t>
  </si>
  <si>
    <t>Rack Role1</t>
  </si>
  <si>
    <t>Role</t>
  </si>
  <si>
    <t>Compute.Target kW</t>
  </si>
  <si>
    <t>Compute.Count</t>
  </si>
  <si>
    <t>Compute.Placed</t>
  </si>
  <si>
    <t>Placed</t>
  </si>
  <si>
    <t>Compute.Cooling</t>
  </si>
  <si>
    <t>Cooling</t>
  </si>
  <si>
    <t>Compute.Pleacement</t>
  </si>
  <si>
    <t>Placement</t>
  </si>
  <si>
    <t>CC-R1R2</t>
  </si>
  <si>
    <t>CC-R3</t>
  </si>
  <si>
    <t>CC-R5E</t>
  </si>
  <si>
    <t>Rack Role2</t>
  </si>
  <si>
    <t>Storage.Target kW</t>
  </si>
  <si>
    <t>Storage.Count</t>
  </si>
  <si>
    <t>Storage.Placed</t>
  </si>
  <si>
    <t>Storage.Cooling</t>
  </si>
  <si>
    <t>Storage.Pleacement</t>
  </si>
  <si>
    <t>Capacity Cell1</t>
  </si>
  <si>
    <t>Capacity Cells</t>
  </si>
  <si>
    <t>Capacity Cell.kW guaranteed</t>
  </si>
  <si>
    <t>kW guaranteed</t>
  </si>
  <si>
    <t>Capacity Cell.Rack Positions</t>
  </si>
  <si>
    <t>Capacity Cell.Rack Count</t>
  </si>
  <si>
    <t>Capacity Cell.Allocated ITLoad</t>
  </si>
  <si>
    <t>Capacity Cell.Power Load</t>
  </si>
  <si>
    <t>Power Load</t>
  </si>
  <si>
    <t>Capacity Cell.Power Capacity</t>
  </si>
  <si>
    <t>Power Capacity</t>
  </si>
  <si>
    <t>Capacity Cell.Thermal Load</t>
  </si>
  <si>
    <t>Thermal Load</t>
  </si>
  <si>
    <t>Capacity Cell.Cooling Capacity</t>
  </si>
  <si>
    <t>Capacity Cell.Power Infrastructure nodes</t>
  </si>
  <si>
    <t>Power</t>
  </si>
  <si>
    <t>RPP-R1-1, RPP-R1-2, RPP-R2-1, RPP-R2-2</t>
  </si>
  <si>
    <t>RPP-R3-A1, RPP-R3-A2, RPP-R3-A3, RPP-R3-A4, RPP-R3-B1, RPP-R3-B2, RPP-R3-B3, RPP-R3-B4</t>
  </si>
  <si>
    <t>RPP-R5-A3, RPP-R5-A4, RPP-R5-B3, RPP-R5-B4</t>
  </si>
  <si>
    <t>Capacity Cell.Cooling Infrastructure nodes</t>
  </si>
  <si>
    <t>AIRZONE-R1, AIRZONE-R2, LL-R1, LL-R2</t>
  </si>
  <si>
    <t>AIRZONE-R3-E1, AIRZONE-R3-E2, AIRZONE-R3-W1, AIRZONE-R3-W2, LL-R3-E, LL-R3-W</t>
  </si>
  <si>
    <t>AIRZONE-R5-E, LL-R5-E</t>
  </si>
  <si>
    <t>Chagne this to Power Redundancy</t>
  </si>
  <si>
    <t>"Placement"</t>
  </si>
  <si>
    <t>Change this to two numbers: Thermal Load/ Cooling Capacity (kW)</t>
  </si>
  <si>
    <t>Change this to two numbers: Power Load/ Power Capacity</t>
  </si>
  <si>
    <t>Change from "Thermal" to "Cooling"</t>
  </si>
  <si>
    <t>Selected Topology</t>
  </si>
  <si>
    <t>Direction</t>
  </si>
  <si>
    <t>Edge Level</t>
  </si>
  <si>
    <t>Parent Node Type</t>
  </si>
  <si>
    <t>Child Node Type</t>
  </si>
  <si>
    <t>Collapse</t>
  </si>
  <si>
    <t>Spatial Topology</t>
  </si>
  <si>
    <t>Upstream (left)</t>
  </si>
  <si>
    <t>Zone</t>
  </si>
  <si>
    <t>Room</t>
  </si>
  <si>
    <t>Electrical System</t>
  </si>
  <si>
    <t>Downstream (right)</t>
  </si>
  <si>
    <t>Rack PDU</t>
  </si>
  <si>
    <t>Cooling System</t>
  </si>
  <si>
    <t>Lquid Loop</t>
  </si>
  <si>
    <t>Whitespace Blueprint</t>
  </si>
  <si>
    <t>Deplooyment Blueprint</t>
  </si>
  <si>
    <t>Placement Plan</t>
  </si>
  <si>
    <t>Placement Draft</t>
  </si>
  <si>
    <t>Floor</t>
  </si>
  <si>
    <t>BESS</t>
  </si>
  <si>
    <t>Switch Gear</t>
  </si>
  <si>
    <t>Utility Feed</t>
  </si>
  <si>
    <t>Generator</t>
  </si>
  <si>
    <t>Aisle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</si>
</sst>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0"/>
      <color theme="1" tint="0.499984740745262"/>
      <name val="Arial"/>
      <family val="2"/>
    </font>
    <font>
      <sz val="12"/>
      <color rgb="FFFF0000"/>
      <name val="Aptos Narrow (Body)"/>
    </font>
    <font>
      <b/>
      <sz val="12"/>
      <color rgb="FFFF0000"/>
      <name val="Aptos Narrow (Body)"/>
    </font>
    <font>
      <b/>
      <sz val="12"/>
      <color rgb="FFC00000"/>
      <name val="Aptos Narrow"/>
      <scheme val="minor"/>
    </font>
    <font>
      <b/>
      <sz val="10"/>
      <color rgb="FF0000FF"/>
      <name val="Arial"/>
      <family val="2"/>
    </font>
    <font>
      <sz val="12"/>
      <color rgb="FF000000"/>
      <name val="Aptos Narrow"/>
      <scheme val="minor"/>
    </font>
    <font>
      <i/>
      <sz val="12"/>
      <color rgb="FFC00000"/>
      <name val="Aptos Narrow"/>
      <scheme val="minor"/>
    </font>
    <font>
      <i/>
      <sz val="12"/>
      <color theme="1"/>
      <name val="Aptos Narrow"/>
      <scheme val="minor"/>
    </font>
    <font>
      <b/>
      <sz val="12"/>
      <color rgb="FFC00000"/>
      <name val="Aptos Narrow (Body)"/>
    </font>
    <font>
      <sz val="12"/>
      <color rgb="FFC00000"/>
      <name val="Aptos Narrow"/>
      <family val="2"/>
      <scheme val="minor"/>
    </font>
    <font>
      <b/>
      <sz val="14"/>
      <color theme="4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FF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5" fillId="0" borderId="0" xfId="0" applyFont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0" fillId="6" borderId="0" xfId="0" applyFill="1"/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9" fillId="0" borderId="0" xfId="0" applyFont="1"/>
    <xf numFmtId="0" fontId="0" fillId="7" borderId="0" xfId="0" applyFill="1"/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9" borderId="0" xfId="0" applyFont="1" applyFill="1" applyAlignment="1">
      <alignment wrapText="1"/>
    </xf>
    <xf numFmtId="0" fontId="1" fillId="3" borderId="0" xfId="0" applyFont="1" applyFill="1"/>
    <xf numFmtId="0" fontId="10" fillId="0" borderId="0" xfId="0" applyFont="1" applyAlignment="1">
      <alignment wrapText="1"/>
    </xf>
    <xf numFmtId="0" fontId="1" fillId="9" borderId="0" xfId="0" applyFont="1" applyFill="1"/>
    <xf numFmtId="0" fontId="1" fillId="8" borderId="0" xfId="0" applyFont="1" applyFill="1"/>
    <xf numFmtId="0" fontId="0" fillId="3" borderId="0" xfId="0" applyFill="1"/>
    <xf numFmtId="0" fontId="11" fillId="0" borderId="0" xfId="0" applyFont="1"/>
    <xf numFmtId="0" fontId="0" fillId="8" borderId="0" xfId="0" applyFill="1"/>
    <xf numFmtId="0" fontId="12" fillId="8" borderId="0" xfId="0" applyFont="1" applyFill="1"/>
    <xf numFmtId="0" fontId="0" fillId="6" borderId="0" xfId="0" applyFill="1" applyAlignment="1">
      <alignment vertical="center"/>
    </xf>
    <xf numFmtId="0" fontId="0" fillId="0" borderId="0" xfId="0" quotePrefix="1"/>
    <xf numFmtId="0" fontId="8" fillId="0" borderId="0" xfId="0" applyFont="1"/>
    <xf numFmtId="0" fontId="1" fillId="6" borderId="0" xfId="0" applyFont="1" applyFill="1"/>
    <xf numFmtId="0" fontId="14" fillId="0" borderId="0" xfId="0" applyFont="1"/>
    <xf numFmtId="0" fontId="14" fillId="0" borderId="0" xfId="0" quotePrefix="1" applyFont="1"/>
    <xf numFmtId="0" fontId="15" fillId="0" borderId="0" xfId="0" applyFont="1"/>
    <xf numFmtId="0" fontId="16" fillId="0" borderId="0" xfId="0" applyFont="1" applyAlignment="1">
      <alignment wrapText="1"/>
    </xf>
    <xf numFmtId="0" fontId="1" fillId="10" borderId="0" xfId="0" applyFont="1" applyFill="1"/>
    <xf numFmtId="0" fontId="16" fillId="0" borderId="0" xfId="0" applyFont="1"/>
    <xf numFmtId="0" fontId="20" fillId="0" borderId="0" xfId="0" applyFont="1"/>
    <xf numFmtId="0" fontId="17" fillId="0" borderId="0" xfId="0" applyFont="1"/>
    <xf numFmtId="0" fontId="21" fillId="0" borderId="0" xfId="0" applyFont="1" applyAlignment="1">
      <alignment horizontal="left"/>
    </xf>
    <xf numFmtId="0" fontId="0" fillId="0" borderId="1" xfId="0" applyBorder="1"/>
    <xf numFmtId="0" fontId="20" fillId="0" borderId="0" xfId="0" applyFont="1" applyAlignment="1">
      <alignment wrapText="1"/>
    </xf>
    <xf numFmtId="0" fontId="22" fillId="0" borderId="0" xfId="0" applyFont="1"/>
    <xf numFmtId="0" fontId="21" fillId="0" borderId="0" xfId="0" applyFont="1"/>
    <xf numFmtId="0" fontId="22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" fillId="11" borderId="0" xfId="0" applyFont="1" applyFill="1"/>
    <xf numFmtId="0" fontId="19" fillId="0" borderId="0" xfId="0" applyFont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7" borderId="0" xfId="0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317500</xdr:colOff>
      <xdr:row>4</xdr:row>
      <xdr:rowOff>71621</xdr:rowOff>
    </xdr:from>
    <xdr:to>
      <xdr:col>11</xdr:col>
      <xdr:colOff>241300</xdr:colOff>
      <xdr:row>35</xdr:row>
      <xdr:rowOff>131134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43B6A-34FA-EB40-028D-04CC75AF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500" y="922521"/>
          <a:ext cx="4051300" cy="7019113"/>
        </a:xfrm>
        <a:prstGeom prst="rect">
          <a:avLst/>
        </a:prstGeom>
      </xdr:spPr>
    </xdr:pic>
    <xdr:clientData/>
  </xdr:twoCellAnchor>
  <xdr:twoCellAnchor>
    <xdr:from>
      <xdr:col>4</xdr:col>
      <xdr:colOff>2425700</xdr:colOff>
      <xdr:row>8</xdr:row>
      <xdr:rowOff>114300</xdr:rowOff>
    </xdr:from>
    <xdr:to>
      <xdr:col>6</xdr:col>
      <xdr:colOff>596900</xdr:colOff>
      <xdr:row>9</xdr:row>
      <xdr:rowOff>165100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DD8088A-3BAA-243A-7C7E-7CFE70B5996F}"/>
            </a:ext>
          </a:extLst>
        </xdr:cNvPr>
        <xdr:cNvCxnSpPr/>
      </xdr:nvCxnSpPr>
      <xdr:spPr>
        <a:xfrm>
          <a:off x="5448300" y="1778000"/>
          <a:ext cx="1612900" cy="2540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2540000</xdr:colOff>
      <xdr:row>10</xdr:row>
      <xdr:rowOff>114300</xdr:rowOff>
    </xdr:from>
    <xdr:to>
      <xdr:col>6</xdr:col>
      <xdr:colOff>457200</xdr:colOff>
      <xdr:row>10</xdr:row>
      <xdr:rowOff>177800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91F7469-601E-B74C-9F99-ABB63DA30D89}"/>
            </a:ext>
          </a:extLst>
        </xdr:cNvPr>
        <xdr:cNvCxnSpPr/>
      </xdr:nvCxnSpPr>
      <xdr:spPr>
        <a:xfrm>
          <a:off x="5562600" y="2184400"/>
          <a:ext cx="1358900" cy="635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2552700</xdr:colOff>
      <xdr:row>12</xdr:row>
      <xdr:rowOff>0</xdr:rowOff>
    </xdr:from>
    <xdr:to>
      <xdr:col>6</xdr:col>
      <xdr:colOff>508000</xdr:colOff>
      <xdr:row>12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12DE87A-B0A9-DF45-8C37-1E144740AE0F}"/>
            </a:ext>
          </a:extLst>
        </xdr:cNvPr>
        <xdr:cNvCxnSpPr/>
      </xdr:nvCxnSpPr>
      <xdr:spPr>
        <a:xfrm flipV="1">
          <a:off x="5575300" y="2476500"/>
          <a:ext cx="1397000" cy="1016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14</xdr:row>
      <xdr:rowOff>203200</xdr:rowOff>
    </xdr:from>
    <xdr:to>
      <xdr:col>6</xdr:col>
      <xdr:colOff>546100</xdr:colOff>
      <xdr:row>14</xdr:row>
      <xdr:rowOff>266700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D50FE7C-095C-424E-87DC-E86550B8B173}"/>
            </a:ext>
          </a:extLst>
        </xdr:cNvPr>
        <xdr:cNvCxnSpPr/>
      </xdr:nvCxnSpPr>
      <xdr:spPr>
        <a:xfrm>
          <a:off x="5689600" y="3086100"/>
          <a:ext cx="1320800" cy="635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</xdr:colOff>
      <xdr:row>13</xdr:row>
      <xdr:rowOff>152400</xdr:rowOff>
    </xdr:from>
    <xdr:to>
      <xdr:col>6</xdr:col>
      <xdr:colOff>546100</xdr:colOff>
      <xdr:row>14</xdr:row>
      <xdr:rowOff>63500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822805B-8021-C74B-B1C6-C670995AD69B}"/>
            </a:ext>
          </a:extLst>
        </xdr:cNvPr>
        <xdr:cNvCxnSpPr/>
      </xdr:nvCxnSpPr>
      <xdr:spPr>
        <a:xfrm>
          <a:off x="5664200" y="2832100"/>
          <a:ext cx="1346200" cy="11430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2336800</xdr:colOff>
      <xdr:row>14</xdr:row>
      <xdr:rowOff>469900</xdr:rowOff>
    </xdr:from>
    <xdr:to>
      <xdr:col>6</xdr:col>
      <xdr:colOff>444500</xdr:colOff>
      <xdr:row>15</xdr:row>
      <xdr:rowOff>63500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A4F5922-8371-8346-A1AB-D3E17B8D4965}"/>
            </a:ext>
          </a:extLst>
        </xdr:cNvPr>
        <xdr:cNvCxnSpPr/>
      </xdr:nvCxnSpPr>
      <xdr:spPr>
        <a:xfrm flipV="1">
          <a:off x="5359400" y="3352800"/>
          <a:ext cx="1549400" cy="2413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2476500</xdr:colOff>
      <xdr:row>15</xdr:row>
      <xdr:rowOff>0</xdr:rowOff>
    </xdr:from>
    <xdr:to>
      <xdr:col>6</xdr:col>
      <xdr:colOff>381000</xdr:colOff>
      <xdr:row>16</xdr:row>
      <xdr:rowOff>38100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1A7CFAF-04C3-2444-B156-C2E5F865AC1F}"/>
            </a:ext>
          </a:extLst>
        </xdr:cNvPr>
        <xdr:cNvCxnSpPr/>
      </xdr:nvCxnSpPr>
      <xdr:spPr>
        <a:xfrm flipV="1">
          <a:off x="5499100" y="3530600"/>
          <a:ext cx="1346200" cy="2413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14</xdr:row>
      <xdr:rowOff>330200</xdr:rowOff>
    </xdr:from>
    <xdr:to>
      <xdr:col>12</xdr:col>
      <xdr:colOff>0</xdr:colOff>
      <xdr:row>16</xdr:row>
      <xdr:rowOff>63500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9070FEC-5E10-5B4F-99DE-56F681CB41C3}"/>
            </a:ext>
          </a:extLst>
        </xdr:cNvPr>
        <xdr:cNvCxnSpPr/>
      </xdr:nvCxnSpPr>
      <xdr:spPr>
        <a:xfrm flipH="1">
          <a:off x="10109200" y="3213100"/>
          <a:ext cx="1866900" cy="8001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2476500</xdr:colOff>
      <xdr:row>18</xdr:row>
      <xdr:rowOff>165100</xdr:rowOff>
    </xdr:from>
    <xdr:to>
      <xdr:col>6</xdr:col>
      <xdr:colOff>431800</xdr:colOff>
      <xdr:row>19</xdr:row>
      <xdr:rowOff>76200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AADF9EE-C622-1041-902E-30A6C6B11827}"/>
            </a:ext>
          </a:extLst>
        </xdr:cNvPr>
        <xdr:cNvCxnSpPr/>
      </xdr:nvCxnSpPr>
      <xdr:spPr>
        <a:xfrm flipV="1">
          <a:off x="5499100" y="4521200"/>
          <a:ext cx="1397000" cy="1143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19</xdr:row>
      <xdr:rowOff>0</xdr:rowOff>
    </xdr:from>
    <xdr:to>
      <xdr:col>6</xdr:col>
      <xdr:colOff>381000</xdr:colOff>
      <xdr:row>20</xdr:row>
      <xdr:rowOff>88900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4B3355F-28E2-BF49-B5C2-E2FAC6A7E6DD}"/>
            </a:ext>
          </a:extLst>
        </xdr:cNvPr>
        <xdr:cNvCxnSpPr/>
      </xdr:nvCxnSpPr>
      <xdr:spPr>
        <a:xfrm flipV="1">
          <a:off x="5791200" y="4559300"/>
          <a:ext cx="1054100" cy="2921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431800</xdr:colOff>
      <xdr:row>18</xdr:row>
      <xdr:rowOff>114300</xdr:rowOff>
    </xdr:from>
    <xdr:to>
      <xdr:col>11</xdr:col>
      <xdr:colOff>1346200</xdr:colOff>
      <xdr:row>18</xdr:row>
      <xdr:rowOff>152400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B422458-EB1F-3E4B-AABE-6F1A3BFCFB47}"/>
            </a:ext>
          </a:extLst>
        </xdr:cNvPr>
        <xdr:cNvCxnSpPr/>
      </xdr:nvCxnSpPr>
      <xdr:spPr>
        <a:xfrm flipH="1">
          <a:off x="10198100" y="4470400"/>
          <a:ext cx="1739900" cy="381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2032000</xdr:colOff>
      <xdr:row>21</xdr:row>
      <xdr:rowOff>0</xdr:rowOff>
    </xdr:from>
    <xdr:to>
      <xdr:col>6</xdr:col>
      <xdr:colOff>457200</xdr:colOff>
      <xdr:row>22</xdr:row>
      <xdr:rowOff>127000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1B05618-92DA-C042-A7F0-6FD1C5184284}"/>
            </a:ext>
          </a:extLst>
        </xdr:cNvPr>
        <xdr:cNvCxnSpPr/>
      </xdr:nvCxnSpPr>
      <xdr:spPr>
        <a:xfrm flipV="1">
          <a:off x="5054600" y="4965700"/>
          <a:ext cx="1866900" cy="3302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2184400</xdr:colOff>
      <xdr:row>21</xdr:row>
      <xdr:rowOff>0</xdr:rowOff>
    </xdr:from>
    <xdr:to>
      <xdr:col>6</xdr:col>
      <xdr:colOff>431800</xdr:colOff>
      <xdr:row>23</xdr:row>
      <xdr:rowOff>76200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609EDED-F6B4-994A-ACF4-35C5FAE6AB5F}"/>
            </a:ext>
          </a:extLst>
        </xdr:cNvPr>
        <xdr:cNvCxnSpPr/>
      </xdr:nvCxnSpPr>
      <xdr:spPr>
        <a:xfrm flipV="1">
          <a:off x="5207000" y="4965700"/>
          <a:ext cx="1689100" cy="48260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697912</xdr:colOff>
      <xdr:row>35</xdr:row>
      <xdr:rowOff>148166</xdr:rowOff>
    </xdr:from>
    <xdr:to>
      <xdr:col>5</xdr:col>
      <xdr:colOff>1208617</xdr:colOff>
      <xdr:row>66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932E6-FB6F-57F5-0259-CF5712FE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912" y="8329083"/>
          <a:ext cx="6236288" cy="6129867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43</xdr:row>
      <xdr:rowOff>116417</xdr:rowOff>
    </xdr:from>
    <xdr:to>
      <xdr:col>5</xdr:col>
      <xdr:colOff>1640417</xdr:colOff>
      <xdr:row>43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21A0EE-A1DD-B2E0-3B9E-F5EF561E4703}"/>
            </a:ext>
          </a:extLst>
        </xdr:cNvPr>
        <xdr:cNvCxnSpPr/>
      </xdr:nvCxnSpPr>
      <xdr:spPr>
        <a:xfrm flipH="1">
          <a:off x="10297583" y="9906000"/>
          <a:ext cx="1513417" cy="74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518584</xdr:colOff>
      <xdr:row>48</xdr:row>
      <xdr:rowOff>137584</xdr:rowOff>
    </xdr:from>
    <xdr:to>
      <xdr:col>6</xdr:col>
      <xdr:colOff>232834</xdr:colOff>
      <xdr:row>49</xdr:row>
      <xdr:rowOff>10584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73EB703-0FA5-894D-B65B-EE2FEB665C0D}"/>
            </a:ext>
          </a:extLst>
        </xdr:cNvPr>
        <xdr:cNvCxnSpPr/>
      </xdr:nvCxnSpPr>
      <xdr:spPr>
        <a:xfrm flipH="1">
          <a:off x="10689167" y="11123084"/>
          <a:ext cx="1513417" cy="74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222250</xdr:colOff>
      <xdr:row>59</xdr:row>
      <xdr:rowOff>42333</xdr:rowOff>
    </xdr:from>
    <xdr:to>
      <xdr:col>5</xdr:col>
      <xdr:colOff>1778000</xdr:colOff>
      <xdr:row>60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69F8A04-DD46-1749-90BD-86EE641902B5}"/>
            </a:ext>
          </a:extLst>
        </xdr:cNvPr>
        <xdr:cNvCxnSpPr/>
      </xdr:nvCxnSpPr>
      <xdr:spPr>
        <a:xfrm flipH="1">
          <a:off x="10392833" y="13239750"/>
          <a:ext cx="1555750" cy="254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592666</xdr:colOff>
      <xdr:row>61</xdr:row>
      <xdr:rowOff>84667</xdr:rowOff>
    </xdr:from>
    <xdr:to>
      <xdr:col>5</xdr:col>
      <xdr:colOff>0</xdr:colOff>
      <xdr:row>68</xdr:row>
      <xdr:rowOff>137583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A37C134-AB7C-B14A-A799-0B129FA38DC2}"/>
            </a:ext>
          </a:extLst>
        </xdr:cNvPr>
        <xdr:cNvCxnSpPr/>
      </xdr:nvCxnSpPr>
      <xdr:spPr>
        <a:xfrm flipH="1" flipV="1">
          <a:off x="8964083" y="13684250"/>
          <a:ext cx="1206500" cy="1460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173566</xdr:colOff>
      <xdr:row>64</xdr:row>
      <xdr:rowOff>10584</xdr:rowOff>
    </xdr:from>
    <xdr:to>
      <xdr:col>4</xdr:col>
      <xdr:colOff>201083</xdr:colOff>
      <xdr:row>71</xdr:row>
      <xdr:rowOff>99483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C6AA3CD-9541-C549-9E0F-20425706B906}"/>
            </a:ext>
          </a:extLst>
        </xdr:cNvPr>
        <xdr:cNvCxnSpPr/>
      </xdr:nvCxnSpPr>
      <xdr:spPr>
        <a:xfrm flipV="1">
          <a:off x="8544983" y="14213417"/>
          <a:ext cx="27517" cy="14964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B8F-06BF-0A49-A950-6E3C0EB23452}">
  <dimension ref="A1:N71"/>
  <sheetViews>
    <sheetView zoomScale="120" zoomScaleNormal="120" workbookViewId="0">
      <pane xSplit="1" ySplit="1" topLeftCell="B11" activePane="bottomRight" state="frozen"/>
      <selection pane="bottomRight" activeCell="C8" sqref="C8"/>
      <selection pane="bottomLeft" activeCell="A2" sqref="A2"/>
      <selection pane="topRight" activeCell="B1" sqref="B1"/>
    </sheetView>
  </sheetViews>
  <sheetFormatPr defaultColWidth="11" defaultRowHeight="15.95"/>
  <cols>
    <col min="1" max="1" width="15.375" style="1" customWidth="1"/>
    <col min="2" max="2" width="18.375" style="1" customWidth="1"/>
    <col min="3" max="3" width="22.125" customWidth="1"/>
    <col min="4" max="4" width="26.375" customWidth="1"/>
    <col min="5" max="5" width="24.375" customWidth="1"/>
    <col min="6" max="6" width="11.125" customWidth="1"/>
    <col min="7" max="7" width="25.5" customWidth="1"/>
    <col min="8" max="8" width="16.625" customWidth="1"/>
    <col min="9" max="9" width="18.375" customWidth="1"/>
    <col min="10" max="10" width="16.875" customWidth="1"/>
    <col min="11" max="11" width="20.125" customWidth="1"/>
    <col min="12" max="12" width="39.875" customWidth="1"/>
    <col min="13" max="13" width="31" customWidth="1"/>
    <col min="14" max="14" width="62.625" style="7" customWidth="1"/>
  </cols>
  <sheetData>
    <row r="1" spans="1:14" s="8" customFormat="1" ht="33.95000000000000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4" t="s">
        <v>7</v>
      </c>
      <c r="I1" s="10" t="s">
        <v>8</v>
      </c>
      <c r="J1" s="10" t="s">
        <v>9</v>
      </c>
      <c r="K1" s="11" t="s">
        <v>10</v>
      </c>
      <c r="L1" s="11" t="s">
        <v>9</v>
      </c>
      <c r="M1" s="12" t="s">
        <v>11</v>
      </c>
      <c r="N1" s="12" t="s">
        <v>9</v>
      </c>
    </row>
    <row r="2" spans="1:14">
      <c r="A2" s="1" t="s">
        <v>12</v>
      </c>
      <c r="B2" s="1" t="s">
        <v>13</v>
      </c>
      <c r="C2" t="s">
        <v>14</v>
      </c>
    </row>
    <row r="3" spans="1:14">
      <c r="D3" t="s">
        <v>15</v>
      </c>
      <c r="E3" t="s">
        <v>16</v>
      </c>
      <c r="F3" s="6" t="s">
        <v>17</v>
      </c>
      <c r="G3" s="6" t="s">
        <v>18</v>
      </c>
      <c r="H3" t="s">
        <v>19</v>
      </c>
      <c r="I3" t="s">
        <v>12</v>
      </c>
      <c r="J3" t="s">
        <v>20</v>
      </c>
      <c r="M3" s="5" t="s">
        <v>15</v>
      </c>
    </row>
    <row r="4" spans="1:14">
      <c r="D4" t="s">
        <v>21</v>
      </c>
      <c r="E4" t="s">
        <v>16</v>
      </c>
      <c r="F4" s="6" t="s">
        <v>17</v>
      </c>
      <c r="G4" s="6" t="s">
        <v>18</v>
      </c>
      <c r="H4" t="s">
        <v>19</v>
      </c>
      <c r="I4" t="s">
        <v>12</v>
      </c>
      <c r="J4" t="s">
        <v>20</v>
      </c>
      <c r="M4" s="5" t="s">
        <v>21</v>
      </c>
    </row>
    <row r="5" spans="1:14">
      <c r="A5" s="1" t="s">
        <v>12</v>
      </c>
      <c r="B5" s="1" t="s">
        <v>22</v>
      </c>
      <c r="C5" t="s">
        <v>22</v>
      </c>
    </row>
    <row r="6" spans="1:14" ht="84.95">
      <c r="D6" s="3" t="s">
        <v>23</v>
      </c>
      <c r="E6" t="s">
        <v>16</v>
      </c>
      <c r="F6" t="s">
        <v>17</v>
      </c>
      <c r="G6" t="s">
        <v>24</v>
      </c>
      <c r="H6" t="s">
        <v>19</v>
      </c>
      <c r="I6" t="s">
        <v>12</v>
      </c>
      <c r="J6" t="s">
        <v>20</v>
      </c>
      <c r="M6" s="7" t="s">
        <v>25</v>
      </c>
      <c r="N6" s="61" t="s">
        <v>26</v>
      </c>
    </row>
    <row r="7" spans="1:14" ht="84.95">
      <c r="D7" s="3" t="s">
        <v>27</v>
      </c>
      <c r="E7" t="s">
        <v>16</v>
      </c>
      <c r="F7" t="s">
        <v>17</v>
      </c>
      <c r="G7" t="s">
        <v>24</v>
      </c>
      <c r="H7" t="s">
        <v>19</v>
      </c>
      <c r="I7" t="s">
        <v>12</v>
      </c>
      <c r="J7" t="s">
        <v>20</v>
      </c>
      <c r="M7" s="7" t="s">
        <v>28</v>
      </c>
      <c r="N7" s="61"/>
    </row>
    <row r="8" spans="1:14" ht="84.95">
      <c r="D8" s="3" t="s">
        <v>29</v>
      </c>
      <c r="E8" t="s">
        <v>16</v>
      </c>
      <c r="F8" t="s">
        <v>17</v>
      </c>
      <c r="G8" t="s">
        <v>24</v>
      </c>
      <c r="H8" t="s">
        <v>19</v>
      </c>
      <c r="I8" t="s">
        <v>12</v>
      </c>
      <c r="J8" t="s">
        <v>20</v>
      </c>
      <c r="M8" s="7" t="s">
        <v>30</v>
      </c>
      <c r="N8" s="61"/>
    </row>
    <row r="9" spans="1:14">
      <c r="D9" s="3" t="s">
        <v>31</v>
      </c>
      <c r="E9" s="3"/>
      <c r="G9" t="s">
        <v>24</v>
      </c>
      <c r="H9" t="s">
        <v>19</v>
      </c>
      <c r="I9" t="s">
        <v>12</v>
      </c>
      <c r="J9" t="s">
        <v>20</v>
      </c>
      <c r="M9" s="7"/>
    </row>
    <row r="10" spans="1:14">
      <c r="A10" s="1" t="s">
        <v>12</v>
      </c>
      <c r="B10" s="1" t="s">
        <v>32</v>
      </c>
      <c r="C10" s="3" t="s">
        <v>33</v>
      </c>
    </row>
    <row r="11" spans="1:14">
      <c r="D11" s="3" t="s">
        <v>34</v>
      </c>
      <c r="E11" t="s">
        <v>16</v>
      </c>
      <c r="F11" t="s">
        <v>17</v>
      </c>
      <c r="G11" s="60" t="s">
        <v>35</v>
      </c>
      <c r="H11" s="19" t="s">
        <v>36</v>
      </c>
      <c r="I11" s="19"/>
      <c r="J11" s="19"/>
      <c r="K11" s="19"/>
      <c r="L11" s="19"/>
      <c r="M11" s="23"/>
      <c r="N11" s="62"/>
    </row>
    <row r="12" spans="1:14">
      <c r="D12" s="3" t="s">
        <v>37</v>
      </c>
      <c r="E12" t="s">
        <v>16</v>
      </c>
      <c r="F12" t="s">
        <v>38</v>
      </c>
      <c r="G12" s="60"/>
      <c r="H12" s="19" t="s">
        <v>39</v>
      </c>
      <c r="I12" s="19"/>
      <c r="J12" s="19"/>
      <c r="K12" s="19"/>
      <c r="L12" s="19"/>
      <c r="M12" s="23"/>
      <c r="N12" s="62"/>
    </row>
    <row r="13" spans="1:14">
      <c r="A13" s="1" t="s">
        <v>12</v>
      </c>
      <c r="B13" s="1" t="s">
        <v>32</v>
      </c>
      <c r="C13" s="3" t="s">
        <v>40</v>
      </c>
    </row>
    <row r="14" spans="1:14" ht="119.1" customHeight="1">
      <c r="C14" s="3"/>
      <c r="D14" s="3" t="s">
        <v>41</v>
      </c>
      <c r="E14" s="16" t="s">
        <v>42</v>
      </c>
      <c r="F14" t="s">
        <v>17</v>
      </c>
      <c r="G14" s="59" t="s">
        <v>43</v>
      </c>
      <c r="H14" t="s">
        <v>44</v>
      </c>
      <c r="I14" t="s">
        <v>45</v>
      </c>
      <c r="J14" s="7" t="s">
        <v>46</v>
      </c>
      <c r="M14" t="s">
        <v>14</v>
      </c>
    </row>
    <row r="15" spans="1:14" ht="153" customHeight="1">
      <c r="C15" s="3"/>
      <c r="D15" s="3" t="s">
        <v>47</v>
      </c>
      <c r="E15" s="16" t="s">
        <v>42</v>
      </c>
      <c r="F15" t="s">
        <v>17</v>
      </c>
      <c r="G15" s="59"/>
      <c r="H15" t="s">
        <v>44</v>
      </c>
      <c r="I15" t="s">
        <v>45</v>
      </c>
      <c r="J15" s="7" t="s">
        <v>46</v>
      </c>
      <c r="K15" s="20"/>
      <c r="L15" s="14"/>
      <c r="M15" s="7" t="s">
        <v>48</v>
      </c>
      <c r="N15" s="14" t="s">
        <v>49</v>
      </c>
    </row>
    <row r="16" spans="1:14">
      <c r="D16" s="3" t="s">
        <v>50</v>
      </c>
      <c r="E16" s="16"/>
      <c r="F16" t="s">
        <v>17</v>
      </c>
      <c r="G16" s="59"/>
      <c r="H16" s="21" t="s">
        <v>51</v>
      </c>
      <c r="I16" s="21"/>
      <c r="J16" s="22"/>
      <c r="K16" s="21"/>
      <c r="L16" s="22"/>
      <c r="M16" s="24"/>
      <c r="N16" s="23"/>
    </row>
    <row r="17" spans="1:14" ht="27" customHeight="1">
      <c r="D17" s="3" t="s">
        <v>52</v>
      </c>
      <c r="E17" s="16"/>
      <c r="F17" t="s">
        <v>38</v>
      </c>
      <c r="G17" s="59"/>
      <c r="H17" s="21" t="s">
        <v>53</v>
      </c>
      <c r="I17" s="21"/>
      <c r="J17" s="22"/>
      <c r="K17" s="21"/>
      <c r="L17" s="22"/>
      <c r="M17" s="25"/>
      <c r="N17" s="23"/>
    </row>
    <row r="18" spans="1:14">
      <c r="D18" s="3"/>
      <c r="E18" s="3"/>
      <c r="K18" s="9"/>
      <c r="L18" s="9"/>
    </row>
    <row r="19" spans="1:14">
      <c r="A19" s="1" t="s">
        <v>12</v>
      </c>
      <c r="B19" s="1" t="s">
        <v>54</v>
      </c>
      <c r="C19" t="s">
        <v>55</v>
      </c>
    </row>
    <row r="20" spans="1:14">
      <c r="D20" s="3" t="s">
        <v>56</v>
      </c>
      <c r="E20" t="s">
        <v>16</v>
      </c>
      <c r="F20" t="s">
        <v>38</v>
      </c>
      <c r="G20" s="64" t="s">
        <v>57</v>
      </c>
      <c r="H20" t="s">
        <v>19</v>
      </c>
      <c r="I20" t="s">
        <v>12</v>
      </c>
      <c r="J20" t="s">
        <v>20</v>
      </c>
      <c r="M20" t="s">
        <v>56</v>
      </c>
    </row>
    <row r="21" spans="1:14">
      <c r="D21" s="3" t="s">
        <v>58</v>
      </c>
      <c r="E21" t="s">
        <v>16</v>
      </c>
      <c r="F21" t="s">
        <v>38</v>
      </c>
      <c r="G21" s="64"/>
      <c r="H21" t="s">
        <v>19</v>
      </c>
      <c r="I21" t="s">
        <v>12</v>
      </c>
      <c r="J21" t="s">
        <v>20</v>
      </c>
      <c r="M21" t="s">
        <v>58</v>
      </c>
    </row>
    <row r="22" spans="1:14">
      <c r="A22" s="1" t="s">
        <v>59</v>
      </c>
      <c r="B22" s="1" t="s">
        <v>13</v>
      </c>
      <c r="C22" t="s">
        <v>14</v>
      </c>
    </row>
    <row r="23" spans="1:14">
      <c r="D23" t="s">
        <v>21</v>
      </c>
      <c r="E23" t="s">
        <v>16</v>
      </c>
      <c r="F23" t="s">
        <v>17</v>
      </c>
      <c r="G23" t="s">
        <v>18</v>
      </c>
      <c r="H23" t="s">
        <v>44</v>
      </c>
      <c r="I23" t="s">
        <v>45</v>
      </c>
      <c r="J23" t="s">
        <v>60</v>
      </c>
      <c r="M23" t="s">
        <v>21</v>
      </c>
    </row>
    <row r="24" spans="1:14">
      <c r="A24" s="1" t="s">
        <v>59</v>
      </c>
      <c r="B24" s="1" t="s">
        <v>22</v>
      </c>
      <c r="C24" t="s">
        <v>22</v>
      </c>
    </row>
    <row r="25" spans="1:14" ht="153">
      <c r="D25" t="s">
        <v>61</v>
      </c>
      <c r="E25" t="s">
        <v>16</v>
      </c>
      <c r="F25" t="s">
        <v>62</v>
      </c>
      <c r="G25" t="s">
        <v>18</v>
      </c>
      <c r="H25" t="s">
        <v>44</v>
      </c>
      <c r="I25" t="s">
        <v>45</v>
      </c>
      <c r="J25" t="s">
        <v>60</v>
      </c>
      <c r="M25" s="7" t="s">
        <v>63</v>
      </c>
      <c r="N25" s="14" t="s">
        <v>64</v>
      </c>
    </row>
    <row r="26" spans="1:14" ht="153">
      <c r="D26" t="s">
        <v>23</v>
      </c>
      <c r="E26" t="s">
        <v>16</v>
      </c>
      <c r="F26" t="s">
        <v>17</v>
      </c>
      <c r="G26" t="s">
        <v>18</v>
      </c>
      <c r="H26" t="s">
        <v>44</v>
      </c>
      <c r="I26" t="s">
        <v>45</v>
      </c>
      <c r="J26" t="s">
        <v>60</v>
      </c>
      <c r="M26" s="7" t="s">
        <v>48</v>
      </c>
      <c r="N26" s="14" t="s">
        <v>65</v>
      </c>
    </row>
    <row r="27" spans="1:14">
      <c r="A27" s="1" t="s">
        <v>66</v>
      </c>
      <c r="B27" s="1" t="s">
        <v>13</v>
      </c>
      <c r="C27" s="6" t="s">
        <v>67</v>
      </c>
      <c r="N27" s="14"/>
    </row>
    <row r="28" spans="1:14">
      <c r="D28" t="s">
        <v>68</v>
      </c>
      <c r="E28" t="s">
        <v>16</v>
      </c>
      <c r="F28" t="s">
        <v>17</v>
      </c>
      <c r="G28" t="s">
        <v>18</v>
      </c>
      <c r="H28" t="s">
        <v>44</v>
      </c>
      <c r="I28" t="s">
        <v>45</v>
      </c>
      <c r="J28" t="s">
        <v>69</v>
      </c>
      <c r="M28" t="s">
        <v>70</v>
      </c>
    </row>
    <row r="29" spans="1:14">
      <c r="D29" t="s">
        <v>71</v>
      </c>
      <c r="E29" t="s">
        <v>16</v>
      </c>
      <c r="F29" t="s">
        <v>72</v>
      </c>
      <c r="G29" t="s">
        <v>18</v>
      </c>
      <c r="H29" t="s">
        <v>44</v>
      </c>
      <c r="I29" t="s">
        <v>45</v>
      </c>
      <c r="J29" t="s">
        <v>69</v>
      </c>
      <c r="M29" t="s">
        <v>73</v>
      </c>
    </row>
    <row r="30" spans="1:14">
      <c r="A30" s="18" t="s">
        <v>74</v>
      </c>
      <c r="B30" s="1" t="s">
        <v>13</v>
      </c>
      <c r="C30" s="3" t="s">
        <v>14</v>
      </c>
    </row>
    <row r="31" spans="1:14">
      <c r="D31" t="s">
        <v>75</v>
      </c>
      <c r="E31" t="s">
        <v>16</v>
      </c>
      <c r="F31" t="s">
        <v>17</v>
      </c>
      <c r="G31" t="s">
        <v>18</v>
      </c>
      <c r="H31" t="s">
        <v>44</v>
      </c>
      <c r="I31" t="s">
        <v>45</v>
      </c>
      <c r="J31" t="s">
        <v>76</v>
      </c>
      <c r="M31" t="s">
        <v>70</v>
      </c>
    </row>
    <row r="32" spans="1:14">
      <c r="D32" t="s">
        <v>77</v>
      </c>
      <c r="E32" t="s">
        <v>16</v>
      </c>
      <c r="F32" t="s">
        <v>17</v>
      </c>
      <c r="G32" t="s">
        <v>18</v>
      </c>
      <c r="H32" t="s">
        <v>44</v>
      </c>
      <c r="I32" t="s">
        <v>45</v>
      </c>
      <c r="J32" t="s">
        <v>76</v>
      </c>
      <c r="M32" t="s">
        <v>14</v>
      </c>
    </row>
    <row r="33" spans="1:14">
      <c r="D33" t="s">
        <v>78</v>
      </c>
      <c r="E33" t="s">
        <v>16</v>
      </c>
      <c r="F33" t="s">
        <v>62</v>
      </c>
      <c r="G33" t="s">
        <v>18</v>
      </c>
      <c r="H33" t="s">
        <v>44</v>
      </c>
      <c r="I33" t="s">
        <v>45</v>
      </c>
      <c r="J33" t="s">
        <v>76</v>
      </c>
      <c r="M33" t="s">
        <v>78</v>
      </c>
    </row>
    <row r="34" spans="1:14">
      <c r="A34" s="1" t="s">
        <v>74</v>
      </c>
      <c r="B34" s="2" t="s">
        <v>22</v>
      </c>
      <c r="C34" s="3" t="s">
        <v>22</v>
      </c>
    </row>
    <row r="35" spans="1:14">
      <c r="D35" t="s">
        <v>61</v>
      </c>
      <c r="E35" t="s">
        <v>16</v>
      </c>
      <c r="F35" t="s">
        <v>62</v>
      </c>
      <c r="G35" t="s">
        <v>18</v>
      </c>
      <c r="H35" t="s">
        <v>44</v>
      </c>
      <c r="I35" t="s">
        <v>45</v>
      </c>
      <c r="J35" t="s">
        <v>76</v>
      </c>
      <c r="M35" s="19" t="s">
        <v>79</v>
      </c>
      <c r="N35" s="19" t="s">
        <v>79</v>
      </c>
    </row>
    <row r="36" spans="1:14">
      <c r="D36" t="s">
        <v>23</v>
      </c>
      <c r="E36" t="s">
        <v>16</v>
      </c>
      <c r="F36" t="s">
        <v>17</v>
      </c>
      <c r="G36" t="s">
        <v>18</v>
      </c>
      <c r="H36" t="s">
        <v>44</v>
      </c>
      <c r="I36" t="s">
        <v>45</v>
      </c>
      <c r="J36" t="s">
        <v>76</v>
      </c>
      <c r="M36" s="19" t="s">
        <v>80</v>
      </c>
      <c r="N36" s="19" t="s">
        <v>80</v>
      </c>
    </row>
    <row r="37" spans="1:14">
      <c r="A37" s="1" t="s">
        <v>74</v>
      </c>
      <c r="B37" s="1" t="s">
        <v>32</v>
      </c>
      <c r="C37" s="3" t="s">
        <v>33</v>
      </c>
    </row>
    <row r="38" spans="1:14" ht="30.95" customHeight="1">
      <c r="D38" t="s">
        <v>81</v>
      </c>
      <c r="E38" t="s">
        <v>16</v>
      </c>
      <c r="F38" t="s">
        <v>17</v>
      </c>
      <c r="G38" s="59" t="s">
        <v>82</v>
      </c>
      <c r="H38" s="19" t="s">
        <v>83</v>
      </c>
      <c r="I38" s="19"/>
      <c r="J38" s="19"/>
      <c r="K38" s="21"/>
      <c r="L38" s="22"/>
      <c r="M38" s="19"/>
      <c r="N38" s="23"/>
    </row>
    <row r="39" spans="1:14" ht="30.95" customHeight="1">
      <c r="D39" t="s">
        <v>84</v>
      </c>
      <c r="E39" t="s">
        <v>16</v>
      </c>
      <c r="F39" t="s">
        <v>38</v>
      </c>
      <c r="G39" s="59"/>
      <c r="H39" s="19" t="s">
        <v>39</v>
      </c>
      <c r="I39" s="19"/>
      <c r="J39" s="19"/>
      <c r="K39" s="21"/>
      <c r="L39" s="22"/>
      <c r="M39" s="19"/>
      <c r="N39" s="23"/>
    </row>
    <row r="40" spans="1:14">
      <c r="A40" s="1" t="s">
        <v>74</v>
      </c>
      <c r="B40" s="1" t="s">
        <v>32</v>
      </c>
      <c r="C40" s="3" t="s">
        <v>40</v>
      </c>
      <c r="K40" s="20"/>
      <c r="L40" s="14"/>
    </row>
    <row r="41" spans="1:14" ht="27.95">
      <c r="D41" s="3" t="s">
        <v>41</v>
      </c>
      <c r="E41" s="16" t="s">
        <v>42</v>
      </c>
      <c r="F41" t="s">
        <v>17</v>
      </c>
      <c r="G41" s="59" t="s">
        <v>43</v>
      </c>
      <c r="H41" s="19"/>
      <c r="I41" s="21" t="s">
        <v>85</v>
      </c>
      <c r="J41" s="21"/>
      <c r="K41" s="19"/>
      <c r="L41" s="21" t="s">
        <v>85</v>
      </c>
      <c r="M41" s="19"/>
      <c r="N41" s="23"/>
    </row>
    <row r="42" spans="1:14" ht="15.95" customHeight="1">
      <c r="D42" s="3" t="s">
        <v>47</v>
      </c>
      <c r="E42" s="63" t="s">
        <v>42</v>
      </c>
      <c r="F42" t="s">
        <v>17</v>
      </c>
      <c r="G42" s="59"/>
      <c r="H42" s="21"/>
      <c r="I42" s="21" t="s">
        <v>85</v>
      </c>
      <c r="J42" s="21"/>
      <c r="K42" s="21"/>
      <c r="L42" s="21" t="s">
        <v>85</v>
      </c>
      <c r="M42" s="19"/>
      <c r="N42" s="23"/>
    </row>
    <row r="43" spans="1:14">
      <c r="D43" s="3" t="s">
        <v>50</v>
      </c>
      <c r="E43" s="63"/>
      <c r="F43" t="s">
        <v>17</v>
      </c>
      <c r="G43" s="59"/>
      <c r="H43" s="21"/>
      <c r="I43" s="22"/>
      <c r="J43" s="22"/>
      <c r="K43" s="21"/>
      <c r="L43" s="22"/>
      <c r="M43" s="24"/>
      <c r="N43" s="23"/>
    </row>
    <row r="44" spans="1:14">
      <c r="D44" s="3" t="s">
        <v>52</v>
      </c>
      <c r="E44" s="63"/>
      <c r="F44" t="s">
        <v>38</v>
      </c>
      <c r="G44" s="59"/>
      <c r="H44" s="21"/>
      <c r="I44" s="22"/>
      <c r="J44" s="22"/>
      <c r="K44" s="21"/>
      <c r="L44" s="22"/>
      <c r="M44" s="25"/>
      <c r="N44" s="23"/>
    </row>
    <row r="45" spans="1:14">
      <c r="A45" s="1" t="s">
        <v>86</v>
      </c>
      <c r="B45" s="1" t="s">
        <v>13</v>
      </c>
      <c r="C45" s="3" t="s">
        <v>14</v>
      </c>
    </row>
    <row r="46" spans="1:14">
      <c r="D46" t="s">
        <v>87</v>
      </c>
      <c r="E46" t="s">
        <v>16</v>
      </c>
      <c r="F46" t="s">
        <v>17</v>
      </c>
      <c r="G46" t="s">
        <v>18</v>
      </c>
      <c r="H46" t="s">
        <v>44</v>
      </c>
      <c r="I46" t="s">
        <v>45</v>
      </c>
      <c r="J46" t="s">
        <v>88</v>
      </c>
      <c r="M46" t="s">
        <v>14</v>
      </c>
    </row>
    <row r="47" spans="1:14" ht="15.95" customHeight="1">
      <c r="D47" t="s">
        <v>89</v>
      </c>
      <c r="E47" t="s">
        <v>16</v>
      </c>
      <c r="F47" t="s">
        <v>90</v>
      </c>
      <c r="G47" t="s">
        <v>18</v>
      </c>
      <c r="H47" t="s">
        <v>44</v>
      </c>
      <c r="I47" t="s">
        <v>45</v>
      </c>
      <c r="J47" t="s">
        <v>88</v>
      </c>
      <c r="L47" s="14"/>
      <c r="M47" t="s">
        <v>91</v>
      </c>
    </row>
    <row r="48" spans="1:14">
      <c r="A48" s="1" t="s">
        <v>86</v>
      </c>
      <c r="B48" s="2" t="s">
        <v>22</v>
      </c>
      <c r="C48" s="3" t="s">
        <v>22</v>
      </c>
      <c r="L48" s="14"/>
    </row>
    <row r="49" spans="1:14">
      <c r="D49" t="s">
        <v>61</v>
      </c>
      <c r="E49" t="s">
        <v>16</v>
      </c>
      <c r="F49" t="s">
        <v>62</v>
      </c>
      <c r="G49" t="s">
        <v>18</v>
      </c>
      <c r="H49" t="s">
        <v>44</v>
      </c>
      <c r="I49" t="s">
        <v>45</v>
      </c>
      <c r="J49" t="s">
        <v>88</v>
      </c>
      <c r="L49" s="14"/>
      <c r="M49" s="19" t="s">
        <v>79</v>
      </c>
      <c r="N49" s="19" t="s">
        <v>79</v>
      </c>
    </row>
    <row r="50" spans="1:14">
      <c r="D50" t="s">
        <v>23</v>
      </c>
      <c r="E50" t="s">
        <v>16</v>
      </c>
      <c r="F50" t="s">
        <v>17</v>
      </c>
      <c r="G50" t="s">
        <v>18</v>
      </c>
      <c r="H50" t="s">
        <v>44</v>
      </c>
      <c r="I50" t="s">
        <v>45</v>
      </c>
      <c r="J50" t="s">
        <v>88</v>
      </c>
      <c r="M50" s="19" t="s">
        <v>80</v>
      </c>
      <c r="N50" s="19" t="s">
        <v>80</v>
      </c>
    </row>
    <row r="51" spans="1:14" ht="258" customHeight="1">
      <c r="D51" t="s">
        <v>27</v>
      </c>
      <c r="E51" t="s">
        <v>16</v>
      </c>
      <c r="F51" t="s">
        <v>17</v>
      </c>
      <c r="G51" t="s">
        <v>18</v>
      </c>
      <c r="H51" t="s">
        <v>92</v>
      </c>
      <c r="I51" t="s">
        <v>93</v>
      </c>
      <c r="J51" t="s">
        <v>88</v>
      </c>
      <c r="K51" s="20" t="s">
        <v>94</v>
      </c>
      <c r="L51" s="14" t="s">
        <v>95</v>
      </c>
      <c r="M51" t="s">
        <v>27</v>
      </c>
    </row>
    <row r="52" spans="1:14">
      <c r="A52" s="1" t="s">
        <v>86</v>
      </c>
      <c r="B52" s="1" t="s">
        <v>32</v>
      </c>
      <c r="C52" s="3" t="s">
        <v>33</v>
      </c>
      <c r="K52" s="20"/>
      <c r="L52" s="14"/>
    </row>
    <row r="53" spans="1:14" ht="36.950000000000003" customHeight="1">
      <c r="D53" t="s">
        <v>34</v>
      </c>
      <c r="E53" t="s">
        <v>16</v>
      </c>
      <c r="F53" t="s">
        <v>17</v>
      </c>
      <c r="G53" s="59" t="s">
        <v>96</v>
      </c>
      <c r="H53" s="19" t="s">
        <v>97</v>
      </c>
      <c r="I53" s="19"/>
      <c r="J53" s="19"/>
      <c r="K53" s="21"/>
      <c r="L53" s="22"/>
      <c r="M53" s="19"/>
      <c r="N53" s="23"/>
    </row>
    <row r="54" spans="1:14" ht="24" customHeight="1">
      <c r="D54" t="s">
        <v>37</v>
      </c>
      <c r="E54" t="s">
        <v>16</v>
      </c>
      <c r="F54" t="s">
        <v>38</v>
      </c>
      <c r="G54" s="59"/>
      <c r="H54" s="19" t="s">
        <v>39</v>
      </c>
      <c r="I54" s="19"/>
      <c r="J54" s="19"/>
      <c r="K54" s="19"/>
      <c r="L54" s="19"/>
      <c r="M54" s="19"/>
      <c r="N54" s="23"/>
    </row>
    <row r="55" spans="1:14">
      <c r="A55" s="1" t="s">
        <v>86</v>
      </c>
      <c r="B55" s="1" t="s">
        <v>32</v>
      </c>
      <c r="C55" s="3" t="s">
        <v>40</v>
      </c>
    </row>
    <row r="56" spans="1:14" ht="27.95">
      <c r="D56" s="3" t="s">
        <v>41</v>
      </c>
      <c r="E56" s="16" t="s">
        <v>42</v>
      </c>
      <c r="F56" t="s">
        <v>17</v>
      </c>
      <c r="G56" s="59" t="s">
        <v>43</v>
      </c>
      <c r="H56" s="19"/>
      <c r="I56" s="21" t="s">
        <v>85</v>
      </c>
      <c r="J56" s="21"/>
      <c r="K56" s="19"/>
      <c r="L56" s="21" t="s">
        <v>85</v>
      </c>
      <c r="M56" s="19"/>
      <c r="N56" s="23"/>
    </row>
    <row r="57" spans="1:14">
      <c r="D57" s="3" t="s">
        <v>47</v>
      </c>
      <c r="E57" s="63" t="s">
        <v>42</v>
      </c>
      <c r="F57" t="s">
        <v>17</v>
      </c>
      <c r="G57" s="59"/>
      <c r="H57" s="21"/>
      <c r="I57" s="21" t="s">
        <v>85</v>
      </c>
      <c r="J57" s="21"/>
      <c r="K57" s="21"/>
      <c r="L57" s="21" t="s">
        <v>85</v>
      </c>
      <c r="M57" s="19"/>
      <c r="N57" s="23"/>
    </row>
    <row r="58" spans="1:14">
      <c r="D58" s="3" t="s">
        <v>50</v>
      </c>
      <c r="E58" s="63"/>
      <c r="F58" t="s">
        <v>17</v>
      </c>
      <c r="G58" s="59"/>
      <c r="H58" s="21"/>
      <c r="I58" s="22"/>
      <c r="J58" s="22"/>
      <c r="K58" s="21"/>
      <c r="L58" s="22"/>
      <c r="M58" s="24"/>
      <c r="N58" s="23"/>
    </row>
    <row r="59" spans="1:14">
      <c r="D59" s="3" t="s">
        <v>52</v>
      </c>
      <c r="E59" s="63"/>
      <c r="F59" t="s">
        <v>38</v>
      </c>
      <c r="G59" s="59"/>
      <c r="H59" s="21"/>
      <c r="I59" s="22"/>
      <c r="J59" s="22"/>
      <c r="K59" s="21"/>
      <c r="L59" s="22"/>
      <c r="M59" s="25"/>
      <c r="N59" s="23"/>
    </row>
    <row r="60" spans="1:14">
      <c r="A60" s="1" t="s">
        <v>86</v>
      </c>
      <c r="B60" s="1" t="s">
        <v>54</v>
      </c>
      <c r="C60" t="s">
        <v>55</v>
      </c>
    </row>
    <row r="61" spans="1:14">
      <c r="D61" t="s">
        <v>98</v>
      </c>
      <c r="E61" t="s">
        <v>16</v>
      </c>
      <c r="F61" t="s">
        <v>99</v>
      </c>
      <c r="G61" t="s">
        <v>18</v>
      </c>
      <c r="H61" t="s">
        <v>44</v>
      </c>
      <c r="I61" t="s">
        <v>45</v>
      </c>
      <c r="J61" t="s">
        <v>88</v>
      </c>
      <c r="M61" s="17" t="s">
        <v>98</v>
      </c>
    </row>
    <row r="62" spans="1:14">
      <c r="D62" t="s">
        <v>100</v>
      </c>
      <c r="E62" t="s">
        <v>16</v>
      </c>
      <c r="F62" t="s">
        <v>99</v>
      </c>
      <c r="G62" t="s">
        <v>18</v>
      </c>
      <c r="H62" t="s">
        <v>44</v>
      </c>
      <c r="I62" t="s">
        <v>45</v>
      </c>
      <c r="J62" t="s">
        <v>88</v>
      </c>
      <c r="M62" t="s">
        <v>100</v>
      </c>
    </row>
    <row r="63" spans="1:14">
      <c r="D63" t="s">
        <v>101</v>
      </c>
      <c r="E63" t="s">
        <v>16</v>
      </c>
      <c r="F63" t="s">
        <v>99</v>
      </c>
      <c r="G63" t="s">
        <v>18</v>
      </c>
      <c r="H63" t="s">
        <v>44</v>
      </c>
      <c r="I63" t="s">
        <v>45</v>
      </c>
      <c r="J63" t="s">
        <v>88</v>
      </c>
      <c r="M63" t="s">
        <v>102</v>
      </c>
    </row>
    <row r="64" spans="1:14">
      <c r="A64" s="1" t="s">
        <v>103</v>
      </c>
      <c r="B64" s="1" t="s">
        <v>13</v>
      </c>
      <c r="C64" s="3" t="s">
        <v>14</v>
      </c>
    </row>
    <row r="65" spans="1:13">
      <c r="D65" t="s">
        <v>104</v>
      </c>
      <c r="E65" t="s">
        <v>16</v>
      </c>
      <c r="F65" t="s">
        <v>17</v>
      </c>
      <c r="G65" t="s">
        <v>18</v>
      </c>
      <c r="H65" t="s">
        <v>44</v>
      </c>
      <c r="I65" t="s">
        <v>45</v>
      </c>
      <c r="J65" t="s">
        <v>105</v>
      </c>
      <c r="M65" t="s">
        <v>14</v>
      </c>
    </row>
    <row r="66" spans="1:13">
      <c r="D66" t="s">
        <v>106</v>
      </c>
      <c r="E66" t="s">
        <v>16</v>
      </c>
      <c r="F66" t="s">
        <v>90</v>
      </c>
      <c r="G66" t="s">
        <v>18</v>
      </c>
      <c r="H66" t="s">
        <v>44</v>
      </c>
      <c r="I66" t="s">
        <v>45</v>
      </c>
      <c r="J66" t="s">
        <v>105</v>
      </c>
      <c r="L66" s="14"/>
      <c r="M66" t="s">
        <v>107</v>
      </c>
    </row>
    <row r="67" spans="1:13">
      <c r="A67" s="1" t="s">
        <v>103</v>
      </c>
      <c r="B67" s="2" t="s">
        <v>22</v>
      </c>
    </row>
    <row r="68" spans="1:13">
      <c r="D68" t="s">
        <v>61</v>
      </c>
    </row>
    <row r="69" spans="1:13">
      <c r="D69" t="s">
        <v>23</v>
      </c>
    </row>
    <row r="70" spans="1:13">
      <c r="D70" t="s">
        <v>29</v>
      </c>
    </row>
    <row r="71" spans="1:13">
      <c r="D71" t="s">
        <v>108</v>
      </c>
    </row>
  </sheetData>
  <mergeCells count="11">
    <mergeCell ref="G53:G54"/>
    <mergeCell ref="G56:G59"/>
    <mergeCell ref="E57:E59"/>
    <mergeCell ref="G41:G44"/>
    <mergeCell ref="E42:E44"/>
    <mergeCell ref="G20:G21"/>
    <mergeCell ref="G38:G39"/>
    <mergeCell ref="G11:G12"/>
    <mergeCell ref="N6:N8"/>
    <mergeCell ref="N11:N12"/>
    <mergeCell ref="G14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78DF-8211-9A44-BADE-45E731623917}">
  <sheetPr>
    <tabColor theme="5"/>
  </sheetPr>
  <dimension ref="A1:A8"/>
  <sheetViews>
    <sheetView zoomScale="150" zoomScaleNormal="150" workbookViewId="0">
      <selection activeCell="A6" sqref="A6"/>
    </sheetView>
  </sheetViews>
  <sheetFormatPr defaultColWidth="11" defaultRowHeight="15.95"/>
  <cols>
    <col min="1" max="1" width="21.875" customWidth="1"/>
  </cols>
  <sheetData>
    <row r="1" spans="1:1">
      <c r="A1" t="s">
        <v>109</v>
      </c>
    </row>
    <row r="3" spans="1:1">
      <c r="A3" s="1" t="s">
        <v>110</v>
      </c>
    </row>
    <row r="5" spans="1:1">
      <c r="A5" s="6" t="s">
        <v>13</v>
      </c>
    </row>
    <row r="6" spans="1:1">
      <c r="A6" s="6" t="s">
        <v>22</v>
      </c>
    </row>
    <row r="7" spans="1:1">
      <c r="A7" s="6" t="s">
        <v>32</v>
      </c>
    </row>
    <row r="8" spans="1:1">
      <c r="A8" s="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D840-1C21-DE47-A2A3-31F62B8AD5CD}">
  <dimension ref="A3:E15"/>
  <sheetViews>
    <sheetView zoomScale="130" zoomScaleNormal="130" workbookViewId="0">
      <selection activeCell="B25" sqref="B25"/>
    </sheetView>
  </sheetViews>
  <sheetFormatPr defaultColWidth="11" defaultRowHeight="15.95"/>
  <cols>
    <col min="1" max="1" width="36.625" customWidth="1"/>
    <col min="2" max="2" width="33.5" customWidth="1"/>
    <col min="3" max="3" width="31" customWidth="1"/>
  </cols>
  <sheetData>
    <row r="3" spans="1:5">
      <c r="A3" s="1" t="s">
        <v>111</v>
      </c>
      <c r="B3" t="s">
        <v>112</v>
      </c>
    </row>
    <row r="4" spans="1:5">
      <c r="A4" s="1" t="s">
        <v>113</v>
      </c>
      <c r="B4" s="1" t="s">
        <v>13</v>
      </c>
    </row>
    <row r="5" spans="1:5">
      <c r="A5" s="1" t="s">
        <v>114</v>
      </c>
      <c r="B5" t="s">
        <v>14</v>
      </c>
    </row>
    <row r="6" spans="1:5">
      <c r="A6" s="1" t="s">
        <v>6</v>
      </c>
      <c r="B6" t="s">
        <v>115</v>
      </c>
    </row>
    <row r="7" spans="1:5">
      <c r="A7" s="29" t="s">
        <v>116</v>
      </c>
      <c r="B7" s="33" t="s">
        <v>19</v>
      </c>
      <c r="C7" s="1"/>
    </row>
    <row r="8" spans="1:5">
      <c r="A8" s="1" t="s">
        <v>8</v>
      </c>
      <c r="B8" s="1" t="s">
        <v>117</v>
      </c>
      <c r="C8" s="1"/>
    </row>
    <row r="9" spans="1:5">
      <c r="A9" s="1"/>
    </row>
    <row r="10" spans="1:5">
      <c r="A10" s="1"/>
    </row>
    <row r="13" spans="1:5">
      <c r="A13" s="31" t="s">
        <v>118</v>
      </c>
      <c r="B13" s="31" t="s">
        <v>119</v>
      </c>
      <c r="C13" s="29" t="s">
        <v>11</v>
      </c>
      <c r="D13" s="32" t="s">
        <v>5</v>
      </c>
      <c r="E13" s="1" t="s">
        <v>120</v>
      </c>
    </row>
    <row r="14" spans="1:5">
      <c r="A14" t="s">
        <v>12</v>
      </c>
      <c r="B14" t="s">
        <v>15</v>
      </c>
      <c r="C14" t="s">
        <v>15</v>
      </c>
      <c r="D14" t="s">
        <v>17</v>
      </c>
    </row>
    <row r="15" spans="1:5">
      <c r="A15" t="s">
        <v>12</v>
      </c>
      <c r="B15" t="s">
        <v>21</v>
      </c>
      <c r="C15" t="s">
        <v>21</v>
      </c>
      <c r="D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44BE-363C-F64E-B308-AA13113F8B43}">
  <dimension ref="A3:E45"/>
  <sheetViews>
    <sheetView topLeftCell="A2" zoomScale="130" zoomScaleNormal="130" workbookViewId="0">
      <selection activeCell="C46" sqref="C46"/>
    </sheetView>
  </sheetViews>
  <sheetFormatPr defaultColWidth="11" defaultRowHeight="15.95"/>
  <cols>
    <col min="1" max="1" width="29.125" customWidth="1"/>
    <col min="2" max="2" width="38.375" customWidth="1"/>
    <col min="3" max="3" width="38" customWidth="1"/>
    <col min="4" max="4" width="11.125" customWidth="1"/>
    <col min="5" max="5" width="25.5" customWidth="1"/>
    <col min="6" max="6" width="16" customWidth="1"/>
    <col min="8" max="8" width="19.5" customWidth="1"/>
    <col min="9" max="9" width="21.625" customWidth="1"/>
    <col min="10" max="10" width="19" customWidth="1"/>
    <col min="11" max="11" width="17" customWidth="1"/>
    <col min="12" max="12" width="20.625" customWidth="1"/>
    <col min="13" max="13" width="16.125" customWidth="1"/>
    <col min="14" max="14" width="17.125" customWidth="1"/>
    <col min="15" max="15" width="20.5" customWidth="1"/>
  </cols>
  <sheetData>
    <row r="3" spans="1:5" ht="17.100000000000001">
      <c r="A3" s="27" t="s">
        <v>111</v>
      </c>
      <c r="B3" t="s">
        <v>121</v>
      </c>
      <c r="C3" t="s">
        <v>122</v>
      </c>
    </row>
    <row r="4" spans="1:5" ht="17.100000000000001">
      <c r="A4" s="27" t="s">
        <v>113</v>
      </c>
      <c r="B4" t="s">
        <v>13</v>
      </c>
      <c r="C4" t="s">
        <v>13</v>
      </c>
    </row>
    <row r="5" spans="1:5" ht="17.100000000000001">
      <c r="A5" s="27" t="s">
        <v>114</v>
      </c>
      <c r="B5" t="s">
        <v>14</v>
      </c>
      <c r="C5" t="s">
        <v>67</v>
      </c>
    </row>
    <row r="6" spans="1:5" ht="17.100000000000001">
      <c r="A6" s="27" t="s">
        <v>6</v>
      </c>
      <c r="B6" t="s">
        <v>115</v>
      </c>
      <c r="C6" t="s">
        <v>115</v>
      </c>
    </row>
    <row r="7" spans="1:5" ht="17.100000000000001">
      <c r="A7" s="4" t="s">
        <v>116</v>
      </c>
      <c r="B7" s="29" t="s">
        <v>44</v>
      </c>
      <c r="C7" s="29" t="s">
        <v>44</v>
      </c>
    </row>
    <row r="8" spans="1:5" ht="33.950000000000003">
      <c r="A8" s="27" t="s">
        <v>8</v>
      </c>
      <c r="B8" s="1" t="s">
        <v>123</v>
      </c>
      <c r="C8" s="1" t="s">
        <v>123</v>
      </c>
    </row>
    <row r="9" spans="1:5">
      <c r="A9" s="27"/>
    </row>
    <row r="10" spans="1:5">
      <c r="A10" s="27"/>
    </row>
    <row r="13" spans="1:5" s="27" customFormat="1" ht="50.1" customHeight="1">
      <c r="A13" s="28" t="s">
        <v>118</v>
      </c>
      <c r="B13" s="28" t="s">
        <v>119</v>
      </c>
      <c r="C13" s="4" t="s">
        <v>11</v>
      </c>
      <c r="D13" s="26" t="s">
        <v>5</v>
      </c>
      <c r="E13" s="27" t="s">
        <v>120</v>
      </c>
    </row>
    <row r="14" spans="1:5">
      <c r="A14" t="s">
        <v>74</v>
      </c>
      <c r="B14" t="s">
        <v>75</v>
      </c>
      <c r="C14" t="s">
        <v>70</v>
      </c>
      <c r="D14" t="s">
        <v>17</v>
      </c>
    </row>
    <row r="15" spans="1:5">
      <c r="A15" t="s">
        <v>74</v>
      </c>
      <c r="B15" t="s">
        <v>77</v>
      </c>
      <c r="C15" t="s">
        <v>14</v>
      </c>
      <c r="D15" t="s">
        <v>17</v>
      </c>
    </row>
    <row r="16" spans="1:5">
      <c r="A16" t="s">
        <v>74</v>
      </c>
      <c r="B16" t="s">
        <v>78</v>
      </c>
      <c r="C16" t="s">
        <v>78</v>
      </c>
      <c r="D16" t="s">
        <v>124</v>
      </c>
    </row>
    <row r="17" spans="1:5">
      <c r="A17" t="s">
        <v>74</v>
      </c>
      <c r="B17" s="41" t="s">
        <v>125</v>
      </c>
      <c r="C17" s="41" t="s">
        <v>126</v>
      </c>
      <c r="D17" s="41" t="s">
        <v>124</v>
      </c>
    </row>
    <row r="18" spans="1:5">
      <c r="A18" t="s">
        <v>86</v>
      </c>
      <c r="B18" t="s">
        <v>87</v>
      </c>
      <c r="C18" t="s">
        <v>14</v>
      </c>
      <c r="D18" t="s">
        <v>17</v>
      </c>
    </row>
    <row r="19" spans="1:5">
      <c r="A19" t="s">
        <v>86</v>
      </c>
      <c r="B19" t="s">
        <v>89</v>
      </c>
      <c r="C19" t="s">
        <v>91</v>
      </c>
      <c r="D19" t="s">
        <v>90</v>
      </c>
    </row>
    <row r="20" spans="1:5">
      <c r="A20" t="s">
        <v>86</v>
      </c>
      <c r="B20" s="41" t="s">
        <v>125</v>
      </c>
      <c r="C20" s="41" t="s">
        <v>126</v>
      </c>
      <c r="D20" s="41" t="s">
        <v>124</v>
      </c>
    </row>
    <row r="21" spans="1:5">
      <c r="A21" t="s">
        <v>103</v>
      </c>
      <c r="B21" t="s">
        <v>104</v>
      </c>
      <c r="C21" t="s">
        <v>14</v>
      </c>
      <c r="D21" t="s">
        <v>17</v>
      </c>
    </row>
    <row r="22" spans="1:5">
      <c r="A22" t="s">
        <v>103</v>
      </c>
      <c r="B22" t="s">
        <v>106</v>
      </c>
      <c r="C22" t="s">
        <v>107</v>
      </c>
      <c r="D22" t="s">
        <v>72</v>
      </c>
    </row>
    <row r="23" spans="1:5">
      <c r="A23" t="s">
        <v>103</v>
      </c>
      <c r="B23" s="41" t="s">
        <v>125</v>
      </c>
      <c r="C23" s="41" t="s">
        <v>126</v>
      </c>
      <c r="D23" s="41" t="s">
        <v>124</v>
      </c>
    </row>
    <row r="24" spans="1:5">
      <c r="A24" t="s">
        <v>127</v>
      </c>
      <c r="B24" t="s">
        <v>128</v>
      </c>
      <c r="C24" t="s">
        <v>70</v>
      </c>
      <c r="D24" t="s">
        <v>17</v>
      </c>
    </row>
    <row r="25" spans="1:5">
      <c r="A25" t="s">
        <v>127</v>
      </c>
      <c r="B25" t="s">
        <v>129</v>
      </c>
      <c r="C25" t="s">
        <v>130</v>
      </c>
      <c r="D25" t="s">
        <v>17</v>
      </c>
    </row>
    <row r="26" spans="1:5">
      <c r="A26" t="s">
        <v>127</v>
      </c>
      <c r="B26" t="s">
        <v>131</v>
      </c>
      <c r="C26" t="s">
        <v>14</v>
      </c>
      <c r="D26" t="s">
        <v>17</v>
      </c>
    </row>
    <row r="27" spans="1:5">
      <c r="A27" t="s">
        <v>127</v>
      </c>
      <c r="B27" s="41" t="s">
        <v>125</v>
      </c>
      <c r="C27" s="41" t="s">
        <v>126</v>
      </c>
      <c r="D27" s="41" t="s">
        <v>124</v>
      </c>
    </row>
    <row r="28" spans="1:5">
      <c r="A28" t="s">
        <v>132</v>
      </c>
      <c r="B28" t="s">
        <v>133</v>
      </c>
      <c r="C28" t="s">
        <v>70</v>
      </c>
      <c r="D28" t="s">
        <v>17</v>
      </c>
    </row>
    <row r="29" spans="1:5">
      <c r="A29" t="s">
        <v>132</v>
      </c>
      <c r="B29" t="s">
        <v>134</v>
      </c>
      <c r="C29" t="s">
        <v>130</v>
      </c>
      <c r="D29" t="s">
        <v>17</v>
      </c>
    </row>
    <row r="30" spans="1:5">
      <c r="A30" t="s">
        <v>132</v>
      </c>
      <c r="B30" t="s">
        <v>135</v>
      </c>
      <c r="C30" t="s">
        <v>14</v>
      </c>
      <c r="D30" t="s">
        <v>17</v>
      </c>
    </row>
    <row r="31" spans="1:5">
      <c r="A31" t="s">
        <v>132</v>
      </c>
      <c r="B31" s="41" t="s">
        <v>125</v>
      </c>
      <c r="C31" s="41" t="s">
        <v>126</v>
      </c>
      <c r="D31" s="41" t="s">
        <v>124</v>
      </c>
    </row>
    <row r="32" spans="1:5">
      <c r="A32" t="s">
        <v>136</v>
      </c>
      <c r="B32" t="s">
        <v>137</v>
      </c>
      <c r="C32" t="s">
        <v>14</v>
      </c>
      <c r="D32" t="s">
        <v>17</v>
      </c>
      <c r="E32" t="s">
        <v>138</v>
      </c>
    </row>
    <row r="33" spans="1:5">
      <c r="A33" t="s">
        <v>136</v>
      </c>
      <c r="B33" t="s">
        <v>139</v>
      </c>
      <c r="C33" t="s">
        <v>14</v>
      </c>
      <c r="D33" t="s">
        <v>17</v>
      </c>
      <c r="E33" t="s">
        <v>138</v>
      </c>
    </row>
    <row r="34" spans="1:5" ht="17.100000000000001">
      <c r="A34" t="s">
        <v>136</v>
      </c>
      <c r="B34" t="s">
        <v>140</v>
      </c>
      <c r="C34" s="30" t="s">
        <v>14</v>
      </c>
      <c r="D34" t="s">
        <v>17</v>
      </c>
      <c r="E34" t="s">
        <v>138</v>
      </c>
    </row>
    <row r="35" spans="1:5">
      <c r="A35" t="s">
        <v>136</v>
      </c>
      <c r="B35" s="41" t="s">
        <v>125</v>
      </c>
      <c r="C35" s="41" t="s">
        <v>126</v>
      </c>
      <c r="D35" s="41" t="s">
        <v>124</v>
      </c>
    </row>
    <row r="36" spans="1:5">
      <c r="A36" t="s">
        <v>141</v>
      </c>
      <c r="B36" t="s">
        <v>142</v>
      </c>
      <c r="C36" t="s">
        <v>14</v>
      </c>
      <c r="D36" t="s">
        <v>17</v>
      </c>
    </row>
    <row r="37" spans="1:5">
      <c r="A37" t="s">
        <v>141</v>
      </c>
      <c r="B37" t="s">
        <v>143</v>
      </c>
      <c r="C37" t="s">
        <v>144</v>
      </c>
      <c r="D37" t="s">
        <v>17</v>
      </c>
    </row>
    <row r="38" spans="1:5">
      <c r="A38" t="s">
        <v>141</v>
      </c>
      <c r="B38" t="s">
        <v>145</v>
      </c>
      <c r="C38" t="s">
        <v>146</v>
      </c>
      <c r="D38" t="s">
        <v>17</v>
      </c>
    </row>
    <row r="39" spans="1:5">
      <c r="A39" t="s">
        <v>141</v>
      </c>
      <c r="B39" s="41" t="s">
        <v>125</v>
      </c>
      <c r="C39" s="41" t="s">
        <v>126</v>
      </c>
      <c r="D39" s="41" t="s">
        <v>124</v>
      </c>
    </row>
    <row r="40" spans="1:5">
      <c r="A40" t="s">
        <v>66</v>
      </c>
      <c r="B40" t="s">
        <v>68</v>
      </c>
      <c r="C40" t="s">
        <v>70</v>
      </c>
      <c r="D40" t="s">
        <v>17</v>
      </c>
    </row>
    <row r="41" spans="1:5">
      <c r="A41" t="s">
        <v>66</v>
      </c>
      <c r="B41" t="s">
        <v>71</v>
      </c>
      <c r="C41" t="s">
        <v>73</v>
      </c>
      <c r="D41" t="s">
        <v>72</v>
      </c>
    </row>
    <row r="42" spans="1:5">
      <c r="A42" t="s">
        <v>147</v>
      </c>
      <c r="B42" t="s">
        <v>68</v>
      </c>
      <c r="C42" t="s">
        <v>70</v>
      </c>
      <c r="D42" t="s">
        <v>17</v>
      </c>
    </row>
    <row r="43" spans="1:5">
      <c r="A43" t="s">
        <v>147</v>
      </c>
      <c r="B43" t="s">
        <v>89</v>
      </c>
      <c r="C43" t="s">
        <v>148</v>
      </c>
      <c r="D43" t="s">
        <v>90</v>
      </c>
    </row>
    <row r="44" spans="1:5">
      <c r="A44" t="s">
        <v>59</v>
      </c>
      <c r="B44" t="s">
        <v>21</v>
      </c>
      <c r="C44" t="s">
        <v>21</v>
      </c>
      <c r="D44" t="s">
        <v>17</v>
      </c>
    </row>
    <row r="45" spans="1:5">
      <c r="A45" t="s">
        <v>59</v>
      </c>
      <c r="B45" s="41" t="s">
        <v>125</v>
      </c>
      <c r="C45" s="41" t="s">
        <v>126</v>
      </c>
      <c r="D45" s="41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F95-BB7C-0B41-A4A1-6BCD940C983E}">
  <dimension ref="A3:E29"/>
  <sheetViews>
    <sheetView zoomScale="130" zoomScaleNormal="130" workbookViewId="0">
      <selection activeCell="B33" sqref="B33"/>
    </sheetView>
  </sheetViews>
  <sheetFormatPr defaultColWidth="11" defaultRowHeight="15.95"/>
  <cols>
    <col min="1" max="1" width="32.375" customWidth="1"/>
    <col min="2" max="2" width="34.125" customWidth="1"/>
    <col min="3" max="3" width="31.625" customWidth="1"/>
  </cols>
  <sheetData>
    <row r="3" spans="1:5">
      <c r="A3" s="1" t="s">
        <v>111</v>
      </c>
      <c r="B3" t="s">
        <v>149</v>
      </c>
    </row>
    <row r="4" spans="1:5">
      <c r="A4" s="1" t="s">
        <v>113</v>
      </c>
      <c r="B4" t="s">
        <v>22</v>
      </c>
    </row>
    <row r="5" spans="1:5">
      <c r="A5" s="1" t="s">
        <v>114</v>
      </c>
      <c r="B5" t="s">
        <v>22</v>
      </c>
    </row>
    <row r="6" spans="1:5">
      <c r="A6" s="1" t="s">
        <v>6</v>
      </c>
      <c r="B6" t="s">
        <v>115</v>
      </c>
    </row>
    <row r="7" spans="1:5">
      <c r="A7" s="29" t="s">
        <v>116</v>
      </c>
      <c r="B7" s="29" t="s">
        <v>19</v>
      </c>
      <c r="C7" s="29"/>
    </row>
    <row r="8" spans="1:5">
      <c r="A8" s="1" t="s">
        <v>8</v>
      </c>
      <c r="B8" s="1" t="s">
        <v>150</v>
      </c>
      <c r="C8" s="1"/>
    </row>
    <row r="9" spans="1:5">
      <c r="A9" s="1"/>
      <c r="B9" t="s">
        <v>63</v>
      </c>
    </row>
    <row r="10" spans="1:5">
      <c r="A10" s="1"/>
    </row>
    <row r="12" spans="1:5">
      <c r="A12" s="31" t="s">
        <v>118</v>
      </c>
      <c r="B12" s="31" t="s">
        <v>119</v>
      </c>
      <c r="C12" s="29" t="s">
        <v>11</v>
      </c>
      <c r="D12" s="32" t="s">
        <v>5</v>
      </c>
      <c r="E12" s="1" t="s">
        <v>120</v>
      </c>
    </row>
    <row r="13" spans="1:5" ht="84.95">
      <c r="A13" t="s">
        <v>12</v>
      </c>
      <c r="B13" t="s">
        <v>23</v>
      </c>
      <c r="C13" s="7" t="s">
        <v>25</v>
      </c>
      <c r="D13" t="s">
        <v>17</v>
      </c>
      <c r="E13" t="s">
        <v>151</v>
      </c>
    </row>
    <row r="14" spans="1:5" ht="84.95">
      <c r="A14" t="s">
        <v>12</v>
      </c>
      <c r="B14" t="s">
        <v>27</v>
      </c>
      <c r="C14" s="7" t="s">
        <v>28</v>
      </c>
      <c r="D14" t="s">
        <v>17</v>
      </c>
      <c r="E14" t="s">
        <v>151</v>
      </c>
    </row>
    <row r="15" spans="1:5" ht="84.95">
      <c r="A15" t="s">
        <v>12</v>
      </c>
      <c r="B15" t="s">
        <v>29</v>
      </c>
      <c r="C15" s="7" t="s">
        <v>30</v>
      </c>
      <c r="D15" t="s">
        <v>17</v>
      </c>
      <c r="E15" t="s">
        <v>151</v>
      </c>
    </row>
    <row r="17" spans="1:1">
      <c r="A17" s="1" t="s">
        <v>152</v>
      </c>
    </row>
    <row r="18" spans="1:1">
      <c r="A18" s="1" t="s">
        <v>153</v>
      </c>
    </row>
    <row r="19" spans="1:1">
      <c r="A19" s="6" t="s">
        <v>154</v>
      </c>
    </row>
    <row r="20" spans="1:1">
      <c r="A20" s="6" t="s">
        <v>155</v>
      </c>
    </row>
    <row r="21" spans="1:1">
      <c r="A21" s="1" t="s">
        <v>156</v>
      </c>
    </row>
    <row r="22" spans="1:1">
      <c r="A22" t="s">
        <v>157</v>
      </c>
    </row>
    <row r="23" spans="1:1">
      <c r="A23" t="s">
        <v>158</v>
      </c>
    </row>
    <row r="24" spans="1:1">
      <c r="A24" t="s">
        <v>159</v>
      </c>
    </row>
    <row r="26" spans="1:1">
      <c r="A26" s="1" t="s">
        <v>160</v>
      </c>
    </row>
    <row r="27" spans="1:1">
      <c r="A27" t="s">
        <v>161</v>
      </c>
    </row>
    <row r="28" spans="1:1">
      <c r="A28" t="s">
        <v>162</v>
      </c>
    </row>
    <row r="29" spans="1:1">
      <c r="A29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86DD-6271-B245-AC00-7FA4CF1AC204}">
  <dimension ref="A3:E43"/>
  <sheetViews>
    <sheetView topLeftCell="A17" zoomScale="130" zoomScaleNormal="130" workbookViewId="0">
      <selection activeCell="B37" sqref="B37"/>
    </sheetView>
  </sheetViews>
  <sheetFormatPr defaultColWidth="11" defaultRowHeight="15.95"/>
  <cols>
    <col min="1" max="2" width="31.625" customWidth="1"/>
    <col min="3" max="3" width="34.625" customWidth="1"/>
  </cols>
  <sheetData>
    <row r="3" spans="1:3">
      <c r="A3" s="1" t="s">
        <v>111</v>
      </c>
      <c r="B3" t="s">
        <v>121</v>
      </c>
    </row>
    <row r="4" spans="1:3">
      <c r="A4" s="1" t="s">
        <v>113</v>
      </c>
      <c r="B4" t="s">
        <v>22</v>
      </c>
    </row>
    <row r="5" spans="1:3">
      <c r="A5" s="1" t="s">
        <v>114</v>
      </c>
      <c r="B5" t="s">
        <v>22</v>
      </c>
    </row>
    <row r="6" spans="1:3">
      <c r="A6" s="1" t="s">
        <v>6</v>
      </c>
      <c r="B6" t="s">
        <v>115</v>
      </c>
    </row>
    <row r="7" spans="1:3">
      <c r="A7" s="29" t="s">
        <v>116</v>
      </c>
      <c r="B7" s="29" t="s">
        <v>44</v>
      </c>
      <c r="C7" s="29"/>
    </row>
    <row r="8" spans="1:3">
      <c r="A8" s="1" t="s">
        <v>8</v>
      </c>
      <c r="B8" s="1" t="s">
        <v>123</v>
      </c>
      <c r="C8" s="1"/>
    </row>
    <row r="9" spans="1:3" ht="102">
      <c r="A9" s="1" t="s">
        <v>164</v>
      </c>
      <c r="B9" s="7" t="s">
        <v>63</v>
      </c>
    </row>
    <row r="10" spans="1:3">
      <c r="A10" s="1" t="s">
        <v>152</v>
      </c>
    </row>
    <row r="11" spans="1:3">
      <c r="A11" s="1" t="s">
        <v>153</v>
      </c>
    </row>
    <row r="12" spans="1:3">
      <c r="A12" s="6" t="s">
        <v>165</v>
      </c>
    </row>
    <row r="13" spans="1:3">
      <c r="A13" s="6" t="s">
        <v>166</v>
      </c>
    </row>
    <row r="14" spans="1:3">
      <c r="A14" s="1" t="s">
        <v>156</v>
      </c>
    </row>
    <row r="15" spans="1:3">
      <c r="A15" t="s">
        <v>167</v>
      </c>
    </row>
    <row r="16" spans="1:3">
      <c r="A16" s="1" t="s">
        <v>160</v>
      </c>
    </row>
    <row r="17" spans="1:5">
      <c r="A17" t="s">
        <v>168</v>
      </c>
    </row>
    <row r="18" spans="1:5">
      <c r="A18" s="34" t="s">
        <v>169</v>
      </c>
    </row>
    <row r="19" spans="1:5">
      <c r="A19" s="1"/>
    </row>
    <row r="21" spans="1:5" ht="33.950000000000003">
      <c r="A21" s="28" t="s">
        <v>118</v>
      </c>
      <c r="B21" s="28" t="s">
        <v>119</v>
      </c>
      <c r="C21" s="4" t="s">
        <v>11</v>
      </c>
      <c r="D21" s="26" t="s">
        <v>5</v>
      </c>
      <c r="E21" s="27" t="s">
        <v>120</v>
      </c>
    </row>
    <row r="22" spans="1:5">
      <c r="A22" t="s">
        <v>59</v>
      </c>
      <c r="B22" t="s">
        <v>61</v>
      </c>
      <c r="C22" t="s">
        <v>170</v>
      </c>
      <c r="D22" t="s">
        <v>124</v>
      </c>
    </row>
    <row r="23" spans="1:5">
      <c r="A23" t="s">
        <v>59</v>
      </c>
      <c r="B23" t="s">
        <v>23</v>
      </c>
      <c r="C23" t="s">
        <v>170</v>
      </c>
      <c r="D23" t="s">
        <v>17</v>
      </c>
    </row>
    <row r="24" spans="1:5">
      <c r="A24" t="s">
        <v>74</v>
      </c>
      <c r="B24" t="s">
        <v>61</v>
      </c>
      <c r="C24" t="s">
        <v>170</v>
      </c>
      <c r="D24" t="s">
        <v>124</v>
      </c>
    </row>
    <row r="25" spans="1:5">
      <c r="A25" t="s">
        <v>74</v>
      </c>
      <c r="B25" t="s">
        <v>23</v>
      </c>
      <c r="C25" t="s">
        <v>170</v>
      </c>
      <c r="D25" t="s">
        <v>17</v>
      </c>
    </row>
    <row r="26" spans="1:5">
      <c r="A26" t="s">
        <v>86</v>
      </c>
      <c r="B26" t="s">
        <v>61</v>
      </c>
      <c r="C26" t="s">
        <v>170</v>
      </c>
      <c r="D26" t="s">
        <v>124</v>
      </c>
    </row>
    <row r="27" spans="1:5">
      <c r="A27" t="s">
        <v>86</v>
      </c>
      <c r="B27" t="s">
        <v>27</v>
      </c>
      <c r="C27" t="s">
        <v>170</v>
      </c>
      <c r="D27" t="s">
        <v>17</v>
      </c>
    </row>
    <row r="28" spans="1:5">
      <c r="A28" t="s">
        <v>103</v>
      </c>
      <c r="B28" t="s">
        <v>61</v>
      </c>
      <c r="C28" t="s">
        <v>170</v>
      </c>
      <c r="D28" t="s">
        <v>124</v>
      </c>
    </row>
    <row r="29" spans="1:5">
      <c r="A29" t="s">
        <v>103</v>
      </c>
      <c r="B29" t="s">
        <v>29</v>
      </c>
      <c r="C29" t="s">
        <v>170</v>
      </c>
      <c r="D29" t="s">
        <v>17</v>
      </c>
    </row>
    <row r="30" spans="1:5">
      <c r="A30" t="s">
        <v>127</v>
      </c>
      <c r="B30" t="s">
        <v>61</v>
      </c>
      <c r="C30" t="s">
        <v>170</v>
      </c>
      <c r="D30" t="s">
        <v>124</v>
      </c>
    </row>
    <row r="31" spans="1:5">
      <c r="A31" t="s">
        <v>127</v>
      </c>
      <c r="B31" t="s">
        <v>23</v>
      </c>
      <c r="C31" t="s">
        <v>170</v>
      </c>
      <c r="D31" t="s">
        <v>17</v>
      </c>
    </row>
    <row r="32" spans="1:5">
      <c r="A32" t="s">
        <v>132</v>
      </c>
      <c r="B32" t="s">
        <v>61</v>
      </c>
      <c r="C32" t="s">
        <v>170</v>
      </c>
      <c r="D32" t="s">
        <v>124</v>
      </c>
    </row>
    <row r="33" spans="1:5">
      <c r="A33" t="s">
        <v>132</v>
      </c>
      <c r="B33" t="s">
        <v>23</v>
      </c>
      <c r="C33" t="s">
        <v>170</v>
      </c>
      <c r="D33" t="s">
        <v>17</v>
      </c>
    </row>
    <row r="34" spans="1:5">
      <c r="A34" t="s">
        <v>141</v>
      </c>
      <c r="B34" t="s">
        <v>61</v>
      </c>
      <c r="C34" t="s">
        <v>170</v>
      </c>
      <c r="D34" t="s">
        <v>124</v>
      </c>
    </row>
    <row r="35" spans="1:5">
      <c r="A35" t="s">
        <v>141</v>
      </c>
      <c r="B35" t="s">
        <v>23</v>
      </c>
      <c r="C35" t="s">
        <v>170</v>
      </c>
      <c r="D35" t="s">
        <v>17</v>
      </c>
    </row>
    <row r="36" spans="1:5">
      <c r="A36" t="s">
        <v>141</v>
      </c>
      <c r="B36" t="s">
        <v>27</v>
      </c>
      <c r="C36" s="41" t="s">
        <v>171</v>
      </c>
    </row>
    <row r="37" spans="1:5">
      <c r="A37" t="s">
        <v>141</v>
      </c>
      <c r="B37" t="s">
        <v>29</v>
      </c>
      <c r="C37" s="41" t="s">
        <v>172</v>
      </c>
    </row>
    <row r="38" spans="1:5">
      <c r="A38" s="35" t="s">
        <v>173</v>
      </c>
      <c r="B38" s="35" t="s">
        <v>61</v>
      </c>
      <c r="C38" s="36" t="s">
        <v>174</v>
      </c>
      <c r="D38" s="35"/>
      <c r="E38" s="35"/>
    </row>
    <row r="39" spans="1:5">
      <c r="A39" s="35" t="s">
        <v>173</v>
      </c>
      <c r="B39" s="35" t="s">
        <v>23</v>
      </c>
      <c r="C39" s="36" t="s">
        <v>175</v>
      </c>
      <c r="D39" s="35"/>
      <c r="E39" s="35"/>
    </row>
    <row r="40" spans="1:5">
      <c r="A40" s="35" t="s">
        <v>176</v>
      </c>
      <c r="B40" s="35" t="s">
        <v>61</v>
      </c>
      <c r="C40" s="36" t="s">
        <v>174</v>
      </c>
      <c r="D40" s="35"/>
      <c r="E40" s="35"/>
    </row>
    <row r="41" spans="1:5">
      <c r="A41" s="35" t="s">
        <v>176</v>
      </c>
      <c r="B41" s="35" t="s">
        <v>23</v>
      </c>
      <c r="C41" s="36" t="s">
        <v>175</v>
      </c>
      <c r="D41" s="35"/>
      <c r="E41" s="35"/>
    </row>
    <row r="42" spans="1:5">
      <c r="A42" s="35" t="s">
        <v>177</v>
      </c>
      <c r="B42" s="35" t="s">
        <v>61</v>
      </c>
      <c r="C42" s="36" t="s">
        <v>174</v>
      </c>
      <c r="D42" s="35"/>
      <c r="E42" s="35"/>
    </row>
    <row r="43" spans="1:5">
      <c r="A43" s="35" t="s">
        <v>177</v>
      </c>
      <c r="B43" s="35" t="s">
        <v>23</v>
      </c>
      <c r="C43" s="36" t="s">
        <v>175</v>
      </c>
      <c r="D43" s="35"/>
      <c r="E43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B238-77EC-904F-BD65-918682CAA5D6}">
  <dimension ref="A3:E46"/>
  <sheetViews>
    <sheetView topLeftCell="A7" zoomScale="130" zoomScaleNormal="130" workbookViewId="0">
      <selection activeCell="C56" sqref="C56"/>
    </sheetView>
  </sheetViews>
  <sheetFormatPr defaultColWidth="11" defaultRowHeight="15.95"/>
  <cols>
    <col min="1" max="1" width="35" customWidth="1"/>
    <col min="2" max="2" width="35.625" customWidth="1"/>
    <col min="3" max="3" width="67.125" customWidth="1"/>
    <col min="5" max="5" width="27.5" customWidth="1"/>
  </cols>
  <sheetData>
    <row r="3" spans="1:5">
      <c r="A3" s="1" t="s">
        <v>111</v>
      </c>
      <c r="B3" t="s">
        <v>178</v>
      </c>
    </row>
    <row r="4" spans="1:5">
      <c r="A4" s="1" t="s">
        <v>113</v>
      </c>
      <c r="B4" t="s">
        <v>179</v>
      </c>
    </row>
    <row r="5" spans="1:5">
      <c r="A5" s="1" t="s">
        <v>114</v>
      </c>
      <c r="B5" t="s">
        <v>180</v>
      </c>
    </row>
    <row r="6" spans="1:5" ht="84.95">
      <c r="A6" s="1" t="s">
        <v>6</v>
      </c>
      <c r="B6" s="15" t="s">
        <v>181</v>
      </c>
    </row>
    <row r="7" spans="1:5">
      <c r="A7" s="29" t="s">
        <v>116</v>
      </c>
      <c r="B7" s="29" t="s">
        <v>182</v>
      </c>
    </row>
    <row r="8" spans="1:5">
      <c r="A8" s="1"/>
      <c r="B8" s="1"/>
    </row>
    <row r="13" spans="1:5" ht="17.100000000000001">
      <c r="A13" s="28" t="s">
        <v>118</v>
      </c>
      <c r="B13" s="28" t="s">
        <v>119</v>
      </c>
      <c r="C13" s="4" t="s">
        <v>183</v>
      </c>
      <c r="D13" s="26" t="s">
        <v>5</v>
      </c>
      <c r="E13" s="27" t="s">
        <v>120</v>
      </c>
    </row>
    <row r="14" spans="1:5">
      <c r="A14" t="s">
        <v>12</v>
      </c>
      <c r="B14" t="s">
        <v>34</v>
      </c>
      <c r="C14" s="38" t="s">
        <v>184</v>
      </c>
    </row>
    <row r="15" spans="1:5">
      <c r="A15" t="s">
        <v>12</v>
      </c>
      <c r="B15" t="s">
        <v>37</v>
      </c>
      <c r="C15" s="38" t="s">
        <v>185</v>
      </c>
    </row>
    <row r="16" spans="1:5">
      <c r="A16" t="s">
        <v>74</v>
      </c>
      <c r="B16" t="s">
        <v>34</v>
      </c>
      <c r="C16" s="38" t="s">
        <v>186</v>
      </c>
    </row>
    <row r="17" spans="1:3">
      <c r="A17" t="s">
        <v>74</v>
      </c>
      <c r="B17" t="s">
        <v>37</v>
      </c>
      <c r="C17" s="38" t="s">
        <v>187</v>
      </c>
    </row>
    <row r="18" spans="1:3">
      <c r="A18" t="s">
        <v>86</v>
      </c>
      <c r="B18" t="s">
        <v>34</v>
      </c>
      <c r="C18" s="38" t="s">
        <v>188</v>
      </c>
    </row>
    <row r="19" spans="1:3">
      <c r="A19" t="s">
        <v>86</v>
      </c>
      <c r="B19" t="s">
        <v>37</v>
      </c>
      <c r="C19" s="38" t="s">
        <v>189</v>
      </c>
    </row>
    <row r="20" spans="1:3">
      <c r="A20" t="s">
        <v>103</v>
      </c>
      <c r="B20" t="s">
        <v>34</v>
      </c>
      <c r="C20" s="38" t="s">
        <v>190</v>
      </c>
    </row>
    <row r="21" spans="1:3">
      <c r="A21" t="s">
        <v>103</v>
      </c>
      <c r="B21" t="s">
        <v>37</v>
      </c>
      <c r="C21" s="38" t="s">
        <v>191</v>
      </c>
    </row>
    <row r="22" spans="1:3">
      <c r="A22" t="s">
        <v>127</v>
      </c>
      <c r="B22" t="s">
        <v>34</v>
      </c>
      <c r="C22" s="38" t="s">
        <v>192</v>
      </c>
    </row>
    <row r="23" spans="1:3">
      <c r="A23" t="s">
        <v>127</v>
      </c>
      <c r="B23" t="s">
        <v>37</v>
      </c>
      <c r="C23" s="38" t="s">
        <v>193</v>
      </c>
    </row>
    <row r="24" spans="1:3">
      <c r="A24" t="s">
        <v>127</v>
      </c>
      <c r="B24" t="s">
        <v>81</v>
      </c>
      <c r="C24" s="38" t="s">
        <v>194</v>
      </c>
    </row>
    <row r="25" spans="1:3">
      <c r="A25" t="s">
        <v>127</v>
      </c>
      <c r="B25" t="s">
        <v>84</v>
      </c>
      <c r="C25" s="38" t="s">
        <v>195</v>
      </c>
    </row>
    <row r="26" spans="1:3">
      <c r="A26" t="s">
        <v>132</v>
      </c>
      <c r="B26" t="s">
        <v>34</v>
      </c>
      <c r="C26" s="38" t="s">
        <v>196</v>
      </c>
    </row>
    <row r="27" spans="1:3">
      <c r="A27" t="s">
        <v>132</v>
      </c>
      <c r="B27" t="s">
        <v>37</v>
      </c>
      <c r="C27" s="38" t="s">
        <v>197</v>
      </c>
    </row>
    <row r="28" spans="1:3">
      <c r="A28" t="s">
        <v>132</v>
      </c>
      <c r="B28" t="s">
        <v>81</v>
      </c>
      <c r="C28" s="38" t="s">
        <v>198</v>
      </c>
    </row>
    <row r="29" spans="1:3">
      <c r="A29" t="s">
        <v>132</v>
      </c>
      <c r="B29" t="s">
        <v>84</v>
      </c>
      <c r="C29" s="38" t="s">
        <v>199</v>
      </c>
    </row>
    <row r="30" spans="1:3">
      <c r="A30" t="s">
        <v>200</v>
      </c>
      <c r="B30" t="s">
        <v>34</v>
      </c>
      <c r="C30" s="38" t="s">
        <v>201</v>
      </c>
    </row>
    <row r="31" spans="1:3">
      <c r="A31" t="s">
        <v>200</v>
      </c>
      <c r="B31" t="s">
        <v>37</v>
      </c>
      <c r="C31" s="38" t="s">
        <v>202</v>
      </c>
    </row>
    <row r="32" spans="1:3">
      <c r="A32" t="s">
        <v>203</v>
      </c>
      <c r="B32" t="s">
        <v>34</v>
      </c>
      <c r="C32" s="38" t="s">
        <v>204</v>
      </c>
    </row>
    <row r="33" spans="1:3">
      <c r="A33" t="s">
        <v>203</v>
      </c>
      <c r="B33" t="s">
        <v>37</v>
      </c>
      <c r="C33" s="38" t="s">
        <v>205</v>
      </c>
    </row>
    <row r="34" spans="1:3">
      <c r="A34" t="s">
        <v>141</v>
      </c>
      <c r="B34" t="s">
        <v>206</v>
      </c>
      <c r="C34" s="38" t="s">
        <v>207</v>
      </c>
    </row>
    <row r="35" spans="1:3">
      <c r="A35" t="s">
        <v>141</v>
      </c>
      <c r="B35" t="s">
        <v>208</v>
      </c>
      <c r="C35" s="38" t="s">
        <v>209</v>
      </c>
    </row>
    <row r="36" spans="1:3">
      <c r="A36" s="41" t="s">
        <v>141</v>
      </c>
      <c r="B36" s="41" t="s">
        <v>210</v>
      </c>
      <c r="C36" s="42" t="s">
        <v>211</v>
      </c>
    </row>
    <row r="37" spans="1:3">
      <c r="A37" t="s">
        <v>141</v>
      </c>
      <c r="B37" t="s">
        <v>212</v>
      </c>
      <c r="C37" s="38" t="s">
        <v>213</v>
      </c>
    </row>
    <row r="38" spans="1:3">
      <c r="A38" t="s">
        <v>141</v>
      </c>
      <c r="B38" t="s">
        <v>214</v>
      </c>
      <c r="C38" s="38" t="s">
        <v>215</v>
      </c>
    </row>
    <row r="39" spans="1:3">
      <c r="A39" t="s">
        <v>141</v>
      </c>
      <c r="B39" t="s">
        <v>216</v>
      </c>
      <c r="C39" s="38" t="s">
        <v>217</v>
      </c>
    </row>
    <row r="40" spans="1:3">
      <c r="A40" t="s">
        <v>141</v>
      </c>
      <c r="B40" t="s">
        <v>218</v>
      </c>
      <c r="C40" s="38" t="s">
        <v>219</v>
      </c>
    </row>
    <row r="41" spans="1:3">
      <c r="A41" t="s">
        <v>173</v>
      </c>
      <c r="B41" t="s">
        <v>220</v>
      </c>
      <c r="C41" s="38" t="s">
        <v>207</v>
      </c>
    </row>
    <row r="42" spans="1:3">
      <c r="A42" t="s">
        <v>173</v>
      </c>
      <c r="B42" t="s">
        <v>221</v>
      </c>
      <c r="C42" s="38" t="s">
        <v>222</v>
      </c>
    </row>
    <row r="43" spans="1:3">
      <c r="A43" t="s">
        <v>176</v>
      </c>
      <c r="B43" t="s">
        <v>220</v>
      </c>
      <c r="C43" s="38" t="s">
        <v>207</v>
      </c>
    </row>
    <row r="44" spans="1:3">
      <c r="A44" t="s">
        <v>176</v>
      </c>
      <c r="B44" t="s">
        <v>221</v>
      </c>
      <c r="C44" s="38" t="s">
        <v>222</v>
      </c>
    </row>
    <row r="45" spans="1:3">
      <c r="A45" t="s">
        <v>177</v>
      </c>
      <c r="B45" t="s">
        <v>220</v>
      </c>
      <c r="C45" s="38" t="s">
        <v>207</v>
      </c>
    </row>
    <row r="46" spans="1:3">
      <c r="A46" t="s">
        <v>177</v>
      </c>
      <c r="B46" t="s">
        <v>221</v>
      </c>
      <c r="C46" s="38" t="s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F130-797F-6741-8110-D3F7A67CD429}">
  <dimension ref="A3:G31"/>
  <sheetViews>
    <sheetView topLeftCell="A12" zoomScale="130" zoomScaleNormal="130" workbookViewId="0">
      <selection activeCell="B30" sqref="B30"/>
    </sheetView>
  </sheetViews>
  <sheetFormatPr defaultColWidth="11" defaultRowHeight="15.95"/>
  <cols>
    <col min="1" max="1" width="30.125" customWidth="1"/>
    <col min="2" max="2" width="40.375" customWidth="1"/>
    <col min="3" max="3" width="28.375" customWidth="1"/>
  </cols>
  <sheetData>
    <row r="3" spans="1:7">
      <c r="A3" s="1" t="s">
        <v>111</v>
      </c>
      <c r="B3" t="s">
        <v>223</v>
      </c>
    </row>
    <row r="4" spans="1:7">
      <c r="A4" s="1" t="s">
        <v>113</v>
      </c>
      <c r="B4" t="s">
        <v>179</v>
      </c>
    </row>
    <row r="5" spans="1:7">
      <c r="A5" s="1" t="s">
        <v>114</v>
      </c>
      <c r="B5" t="s">
        <v>40</v>
      </c>
    </row>
    <row r="6" spans="1:7">
      <c r="A6" s="40" t="s">
        <v>6</v>
      </c>
      <c r="B6" s="37" t="s">
        <v>181</v>
      </c>
      <c r="C6" s="13"/>
      <c r="D6" s="13"/>
      <c r="E6" s="13"/>
      <c r="F6" s="13"/>
      <c r="G6" s="13"/>
    </row>
    <row r="7" spans="1:7">
      <c r="A7" s="29" t="s">
        <v>116</v>
      </c>
      <c r="B7" s="29" t="s">
        <v>182</v>
      </c>
    </row>
    <row r="8" spans="1:7">
      <c r="A8" s="1"/>
      <c r="B8" s="1"/>
    </row>
    <row r="9" spans="1:7">
      <c r="A9" s="1" t="s">
        <v>224</v>
      </c>
      <c r="B9" s="1"/>
    </row>
    <row r="10" spans="1:7">
      <c r="A10" s="1" t="s">
        <v>225</v>
      </c>
      <c r="B10" t="s">
        <v>226</v>
      </c>
    </row>
    <row r="11" spans="1:7">
      <c r="A11" s="29" t="s">
        <v>227</v>
      </c>
      <c r="B11" s="29" t="s">
        <v>228</v>
      </c>
      <c r="C11" t="s">
        <v>229</v>
      </c>
    </row>
    <row r="12" spans="1:7">
      <c r="A12" s="1" t="s">
        <v>230</v>
      </c>
      <c r="B12" t="s">
        <v>231</v>
      </c>
      <c r="C12" t="s">
        <v>232</v>
      </c>
    </row>
    <row r="14" spans="1:7">
      <c r="A14" s="1" t="s">
        <v>233</v>
      </c>
    </row>
    <row r="15" spans="1:7">
      <c r="A15" s="1" t="s">
        <v>234</v>
      </c>
    </row>
    <row r="16" spans="1:7">
      <c r="A16" s="1" t="s">
        <v>235</v>
      </c>
    </row>
    <row r="19" spans="1:3">
      <c r="A19" s="1" t="s">
        <v>111</v>
      </c>
      <c r="B19" t="s">
        <v>236</v>
      </c>
    </row>
    <row r="20" spans="1:3">
      <c r="A20" s="39" t="s">
        <v>237</v>
      </c>
    </row>
    <row r="23" spans="1:3" ht="17.100000000000001">
      <c r="A23" s="28" t="s">
        <v>118</v>
      </c>
      <c r="B23" s="28" t="s">
        <v>119</v>
      </c>
      <c r="C23" s="4"/>
    </row>
    <row r="24" spans="1:3" ht="68.099999999999994">
      <c r="A24" s="7" t="s">
        <v>238</v>
      </c>
      <c r="B24" s="3" t="s">
        <v>41</v>
      </c>
      <c r="C24" s="38"/>
    </row>
    <row r="25" spans="1:3">
      <c r="B25" s="3" t="s">
        <v>47</v>
      </c>
      <c r="C25" s="38"/>
    </row>
    <row r="26" spans="1:3">
      <c r="B26" s="3" t="s">
        <v>50</v>
      </c>
      <c r="C26" s="38"/>
    </row>
    <row r="27" spans="1:3">
      <c r="B27" s="3" t="s">
        <v>52</v>
      </c>
    </row>
    <row r="28" spans="1:3" ht="33.950000000000003">
      <c r="A28" s="7" t="s">
        <v>239</v>
      </c>
      <c r="B28" s="3" t="s">
        <v>240</v>
      </c>
    </row>
    <row r="29" spans="1:3">
      <c r="B29" s="3" t="s">
        <v>241</v>
      </c>
    </row>
    <row r="30" spans="1:3">
      <c r="B30" s="3" t="s">
        <v>242</v>
      </c>
    </row>
    <row r="31" spans="1:3">
      <c r="B31" s="3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56E9-DD1A-E74E-A1F4-E99E259A7413}">
  <dimension ref="A3:F21"/>
  <sheetViews>
    <sheetView zoomScale="130" zoomScaleNormal="130" workbookViewId="0">
      <selection activeCell="B21" sqref="B21"/>
    </sheetView>
  </sheetViews>
  <sheetFormatPr defaultColWidth="11" defaultRowHeight="15.95"/>
  <cols>
    <col min="1" max="1" width="31.5" customWidth="1"/>
    <col min="2" max="2" width="38" customWidth="1"/>
    <col min="3" max="3" width="33.875" customWidth="1"/>
    <col min="4" max="4" width="31.125" customWidth="1"/>
  </cols>
  <sheetData>
    <row r="3" spans="1:6">
      <c r="A3" s="1" t="s">
        <v>111</v>
      </c>
      <c r="B3" t="s">
        <v>244</v>
      </c>
    </row>
    <row r="4" spans="1:6">
      <c r="A4" s="1" t="s">
        <v>113</v>
      </c>
      <c r="B4" t="s">
        <v>245</v>
      </c>
    </row>
    <row r="5" spans="1:6">
      <c r="A5" s="1" t="s">
        <v>114</v>
      </c>
      <c r="B5" t="s">
        <v>55</v>
      </c>
    </row>
    <row r="6" spans="1:6">
      <c r="A6" s="1" t="s">
        <v>6</v>
      </c>
      <c r="B6" t="s">
        <v>115</v>
      </c>
    </row>
    <row r="7" spans="1:6">
      <c r="A7" s="1" t="s">
        <v>8</v>
      </c>
      <c r="B7" s="1" t="s">
        <v>123</v>
      </c>
      <c r="C7" s="1"/>
    </row>
    <row r="8" spans="1:6">
      <c r="A8" s="1"/>
    </row>
    <row r="12" spans="1:6">
      <c r="A12" s="31" t="s">
        <v>118</v>
      </c>
      <c r="B12" s="31" t="s">
        <v>119</v>
      </c>
      <c r="C12" s="29" t="s">
        <v>116</v>
      </c>
      <c r="D12" s="29" t="s">
        <v>11</v>
      </c>
      <c r="E12" s="32" t="s">
        <v>5</v>
      </c>
      <c r="F12" s="1" t="s">
        <v>120</v>
      </c>
    </row>
    <row r="13" spans="1:6">
      <c r="A13" t="s">
        <v>12</v>
      </c>
      <c r="B13" t="s">
        <v>56</v>
      </c>
      <c r="C13" t="s">
        <v>19</v>
      </c>
      <c r="D13" t="s">
        <v>56</v>
      </c>
    </row>
    <row r="14" spans="1:6">
      <c r="A14" t="s">
        <v>12</v>
      </c>
      <c r="B14" t="s">
        <v>58</v>
      </c>
      <c r="C14" t="s">
        <v>19</v>
      </c>
      <c r="D14" t="s">
        <v>58</v>
      </c>
    </row>
    <row r="15" spans="1:6">
      <c r="A15" t="s">
        <v>86</v>
      </c>
      <c r="B15" t="s">
        <v>98</v>
      </c>
      <c r="C15" t="s">
        <v>44</v>
      </c>
      <c r="D15" t="s">
        <v>98</v>
      </c>
    </row>
    <row r="16" spans="1:6">
      <c r="A16" t="s">
        <v>86</v>
      </c>
      <c r="B16" t="s">
        <v>100</v>
      </c>
      <c r="C16" t="s">
        <v>44</v>
      </c>
      <c r="D16" t="s">
        <v>100</v>
      </c>
    </row>
    <row r="17" spans="1:4">
      <c r="A17" t="s">
        <v>86</v>
      </c>
      <c r="B17" t="s">
        <v>101</v>
      </c>
      <c r="C17" t="s">
        <v>44</v>
      </c>
      <c r="D17" t="s">
        <v>102</v>
      </c>
    </row>
    <row r="18" spans="1:4">
      <c r="A18" t="s">
        <v>103</v>
      </c>
      <c r="B18" t="s">
        <v>246</v>
      </c>
      <c r="C18" t="s">
        <v>44</v>
      </c>
      <c r="D18" t="s">
        <v>246</v>
      </c>
    </row>
    <row r="19" spans="1:4">
      <c r="A19" t="s">
        <v>103</v>
      </c>
      <c r="B19" t="s">
        <v>247</v>
      </c>
      <c r="C19" t="s">
        <v>44</v>
      </c>
      <c r="D19" t="s">
        <v>248</v>
      </c>
    </row>
    <row r="20" spans="1:4">
      <c r="A20" s="41" t="s">
        <v>249</v>
      </c>
      <c r="B20" s="41" t="s">
        <v>250</v>
      </c>
      <c r="C20" s="41" t="s">
        <v>19</v>
      </c>
      <c r="D20" s="41" t="s">
        <v>250</v>
      </c>
    </row>
    <row r="21" spans="1:4">
      <c r="A21" s="41" t="s">
        <v>251</v>
      </c>
      <c r="B21" s="41" t="s">
        <v>252</v>
      </c>
      <c r="C21" s="41" t="s">
        <v>19</v>
      </c>
      <c r="D21" s="41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F510-50E8-3A49-BE2C-2FA9F84385DF}">
  <sheetPr>
    <tabColor rgb="FFFF0000"/>
  </sheetPr>
  <dimension ref="A2:M24"/>
  <sheetViews>
    <sheetView workbookViewId="0">
      <selection activeCell="E24" sqref="E24"/>
    </sheetView>
  </sheetViews>
  <sheetFormatPr defaultColWidth="11" defaultRowHeight="15.95"/>
  <cols>
    <col min="4" max="4" width="7.125" customWidth="1"/>
    <col min="5" max="5" width="34.375" customWidth="1"/>
    <col min="12" max="12" width="18.125" customWidth="1"/>
    <col min="13" max="13" width="33" customWidth="1"/>
  </cols>
  <sheetData>
    <row r="2" spans="1:13" ht="18.95">
      <c r="A2" s="43" t="s">
        <v>253</v>
      </c>
    </row>
    <row r="9" spans="1:13">
      <c r="E9" t="s">
        <v>254</v>
      </c>
    </row>
    <row r="11" spans="1:13">
      <c r="E11" t="s">
        <v>255</v>
      </c>
    </row>
    <row r="13" spans="1:13">
      <c r="E13" t="s">
        <v>256</v>
      </c>
    </row>
    <row r="14" spans="1:13">
      <c r="E14" s="1" t="s">
        <v>257</v>
      </c>
    </row>
    <row r="15" spans="1:13" ht="68.099999999999994">
      <c r="E15" s="7" t="s">
        <v>258</v>
      </c>
      <c r="M15" s="44" t="s">
        <v>259</v>
      </c>
    </row>
    <row r="16" spans="1:13">
      <c r="E16" t="s">
        <v>260</v>
      </c>
    </row>
    <row r="17" spans="5:13">
      <c r="E17" t="s">
        <v>261</v>
      </c>
    </row>
    <row r="19" spans="5:13">
      <c r="M19" t="s">
        <v>262</v>
      </c>
    </row>
    <row r="20" spans="5:13">
      <c r="E20" t="s">
        <v>263</v>
      </c>
    </row>
    <row r="21" spans="5:13">
      <c r="E21" t="s">
        <v>264</v>
      </c>
    </row>
    <row r="23" spans="5:13">
      <c r="E23" t="s">
        <v>265</v>
      </c>
    </row>
    <row r="24" spans="5:13">
      <c r="E24" t="s">
        <v>266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1C52-D21C-0E4E-9F73-9B64299E0265}">
  <sheetPr>
    <tabColor theme="9"/>
  </sheetPr>
  <dimension ref="A1:I8"/>
  <sheetViews>
    <sheetView zoomScale="150" zoomScaleNormal="150" workbookViewId="0">
      <pane ySplit="1" topLeftCell="A2" activePane="bottomLeft" state="frozen"/>
      <selection pane="bottomLeft" activeCell="B17" sqref="B17"/>
    </sheetView>
  </sheetViews>
  <sheetFormatPr defaultColWidth="11" defaultRowHeight="15.95"/>
  <cols>
    <col min="1" max="1" width="22.375" customWidth="1"/>
    <col min="2" max="2" width="20" customWidth="1"/>
    <col min="3" max="3" width="15.625" customWidth="1"/>
    <col min="7" max="7" width="15.625" customWidth="1"/>
    <col min="8" max="8" width="16.375" customWidth="1"/>
    <col min="9" max="9" width="18.5" customWidth="1"/>
    <col min="10" max="10" width="13.5" customWidth="1"/>
  </cols>
  <sheetData>
    <row r="1" spans="1:9" s="45" customFormat="1">
      <c r="A1" s="45" t="s">
        <v>267</v>
      </c>
      <c r="B1" s="45" t="s">
        <v>268</v>
      </c>
      <c r="C1" s="45" t="s">
        <v>269</v>
      </c>
      <c r="D1" s="45" t="s">
        <v>270</v>
      </c>
      <c r="E1" s="45" t="s">
        <v>62</v>
      </c>
      <c r="F1" s="45" t="s">
        <v>271</v>
      </c>
      <c r="G1" s="45" t="s">
        <v>272</v>
      </c>
      <c r="H1" s="45" t="s">
        <v>273</v>
      </c>
      <c r="I1" s="45" t="s">
        <v>274</v>
      </c>
    </row>
    <row r="2" spans="1:9">
      <c r="A2" t="s">
        <v>275</v>
      </c>
      <c r="B2" t="s">
        <v>276</v>
      </c>
      <c r="C2" t="s">
        <v>277</v>
      </c>
      <c r="D2" t="s">
        <v>278</v>
      </c>
      <c r="E2">
        <v>18</v>
      </c>
      <c r="F2">
        <v>15</v>
      </c>
      <c r="G2" t="s">
        <v>279</v>
      </c>
      <c r="H2" t="s">
        <v>280</v>
      </c>
      <c r="I2" t="s">
        <v>279</v>
      </c>
    </row>
    <row r="3" spans="1:9">
      <c r="A3" s="46" t="s">
        <v>275</v>
      </c>
      <c r="B3" s="46" t="s">
        <v>276</v>
      </c>
      <c r="C3" s="46" t="s">
        <v>277</v>
      </c>
      <c r="D3" s="46" t="s">
        <v>278</v>
      </c>
      <c r="E3" s="46">
        <v>18</v>
      </c>
      <c r="F3">
        <v>10</v>
      </c>
      <c r="G3" s="46" t="s">
        <v>279</v>
      </c>
      <c r="H3" t="s">
        <v>280</v>
      </c>
      <c r="I3" s="46" t="s">
        <v>279</v>
      </c>
    </row>
    <row r="4" spans="1:9">
      <c r="A4" t="s">
        <v>281</v>
      </c>
      <c r="B4" t="s">
        <v>282</v>
      </c>
      <c r="C4" t="s">
        <v>277</v>
      </c>
      <c r="D4" t="s">
        <v>278</v>
      </c>
      <c r="E4">
        <v>52</v>
      </c>
      <c r="F4">
        <v>30</v>
      </c>
      <c r="G4" t="s">
        <v>283</v>
      </c>
      <c r="H4" t="s">
        <v>284</v>
      </c>
      <c r="I4" t="s">
        <v>285</v>
      </c>
    </row>
    <row r="5" spans="1:9">
      <c r="A5" t="s">
        <v>286</v>
      </c>
      <c r="B5" t="s">
        <v>287</v>
      </c>
      <c r="C5" t="s">
        <v>277</v>
      </c>
      <c r="D5" t="s">
        <v>278</v>
      </c>
      <c r="E5">
        <v>23</v>
      </c>
      <c r="F5">
        <v>60</v>
      </c>
      <c r="G5" t="s">
        <v>283</v>
      </c>
      <c r="H5" t="s">
        <v>284</v>
      </c>
      <c r="I5" t="s">
        <v>285</v>
      </c>
    </row>
    <row r="6" spans="1:9">
      <c r="A6" t="s">
        <v>286</v>
      </c>
      <c r="B6" t="s">
        <v>287</v>
      </c>
      <c r="C6" t="s">
        <v>288</v>
      </c>
      <c r="D6" t="s">
        <v>289</v>
      </c>
      <c r="E6">
        <v>1</v>
      </c>
      <c r="F6">
        <v>15</v>
      </c>
      <c r="G6" t="s">
        <v>283</v>
      </c>
      <c r="H6" t="s">
        <v>284</v>
      </c>
      <c r="I6" t="s">
        <v>285</v>
      </c>
    </row>
    <row r="7" spans="1:9">
      <c r="A7" t="s">
        <v>286</v>
      </c>
      <c r="B7" t="s">
        <v>290</v>
      </c>
      <c r="C7" t="s">
        <v>277</v>
      </c>
      <c r="D7" t="s">
        <v>278</v>
      </c>
      <c r="E7">
        <v>23</v>
      </c>
      <c r="F7">
        <v>60</v>
      </c>
      <c r="G7" t="s">
        <v>283</v>
      </c>
      <c r="H7" t="s">
        <v>284</v>
      </c>
      <c r="I7" t="s">
        <v>285</v>
      </c>
    </row>
    <row r="8" spans="1:9">
      <c r="A8" t="s">
        <v>286</v>
      </c>
      <c r="B8" t="s">
        <v>290</v>
      </c>
      <c r="C8" t="s">
        <v>288</v>
      </c>
      <c r="D8" t="s">
        <v>289</v>
      </c>
      <c r="E8">
        <v>1</v>
      </c>
      <c r="F8">
        <v>15</v>
      </c>
      <c r="G8" t="s">
        <v>283</v>
      </c>
      <c r="H8" t="s">
        <v>284</v>
      </c>
      <c r="I8" t="s">
        <v>285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EC43-A249-B74C-87A8-827F2478FEF5}">
  <sheetPr>
    <tabColor theme="7"/>
  </sheetPr>
  <dimension ref="A1:H72"/>
  <sheetViews>
    <sheetView topLeftCell="A2" zoomScale="140" zoomScaleNormal="140" workbookViewId="0">
      <pane ySplit="1" topLeftCell="A43" activePane="bottomLeft" state="frozen"/>
      <selection pane="bottomLeft" activeCell="C83" sqref="C83"/>
      <selection activeCell="A2" sqref="A2"/>
    </sheetView>
  </sheetViews>
  <sheetFormatPr defaultColWidth="11" defaultRowHeight="15.95"/>
  <cols>
    <col min="1" max="1" width="30.5" customWidth="1"/>
    <col min="2" max="2" width="27.875" style="47" customWidth="1"/>
    <col min="3" max="3" width="24.125" customWidth="1"/>
    <col min="4" max="4" width="27.375" customWidth="1"/>
    <col min="5" max="8" width="23.625" customWidth="1"/>
  </cols>
  <sheetData>
    <row r="1" spans="1:8">
      <c r="D1" t="s">
        <v>291</v>
      </c>
    </row>
    <row r="2" spans="1:8" s="45" customFormat="1">
      <c r="A2" s="45" t="s">
        <v>292</v>
      </c>
      <c r="B2" s="45" t="s">
        <v>293</v>
      </c>
      <c r="C2" s="45" t="s">
        <v>294</v>
      </c>
      <c r="D2" s="45" t="s">
        <v>291</v>
      </c>
      <c r="E2" s="45" t="s">
        <v>295</v>
      </c>
      <c r="F2" s="45" t="s">
        <v>296</v>
      </c>
      <c r="G2" s="45" t="s">
        <v>297</v>
      </c>
      <c r="H2" s="45" t="s">
        <v>298</v>
      </c>
    </row>
    <row r="3" spans="1:8">
      <c r="A3" t="s">
        <v>299</v>
      </c>
      <c r="B3" s="47" t="s">
        <v>300</v>
      </c>
      <c r="C3">
        <f>ClusterManifest!E2*ClusterManifest!F2+ClusterManifest!E3*ClusterManifest!F3</f>
        <v>450</v>
      </c>
      <c r="D3">
        <f>ClusterManifest!E4*ClusterManifest!F4</f>
        <v>1560</v>
      </c>
      <c r="E3">
        <f>D3</f>
        <v>1560</v>
      </c>
      <c r="F3">
        <f>E3</f>
        <v>1560</v>
      </c>
      <c r="G3">
        <f>F3</f>
        <v>1560</v>
      </c>
      <c r="H3">
        <f>ClusterManifest!E5*ClusterManifest!F5+ClusterManifest!E6*ClusterManifest!F6</f>
        <v>1395</v>
      </c>
    </row>
    <row r="4" spans="1:8">
      <c r="A4" t="s">
        <v>301</v>
      </c>
      <c r="B4" s="47" t="s">
        <v>302</v>
      </c>
      <c r="C4">
        <f>C3</f>
        <v>450</v>
      </c>
      <c r="D4">
        <f>D3</f>
        <v>1560</v>
      </c>
      <c r="E4">
        <f t="shared" ref="E4:F5" si="0">D4</f>
        <v>1560</v>
      </c>
      <c r="F4">
        <f t="shared" si="0"/>
        <v>1560</v>
      </c>
      <c r="G4">
        <f t="shared" ref="G4" si="1">F4</f>
        <v>1560</v>
      </c>
      <c r="H4">
        <f>H3</f>
        <v>1395</v>
      </c>
    </row>
    <row r="5" spans="1:8">
      <c r="A5" t="s">
        <v>303</v>
      </c>
      <c r="B5" s="53" t="s">
        <v>303</v>
      </c>
      <c r="C5">
        <f>ClusterManifest!E2+ClusterManifest!E3</f>
        <v>36</v>
      </c>
      <c r="D5">
        <f>ClusterManifest!E4</f>
        <v>52</v>
      </c>
      <c r="E5">
        <f t="shared" si="0"/>
        <v>52</v>
      </c>
      <c r="F5">
        <f t="shared" si="0"/>
        <v>52</v>
      </c>
      <c r="G5">
        <f t="shared" ref="G5" si="2">F5</f>
        <v>52</v>
      </c>
      <c r="H5">
        <f>ClusterManifest!E5+ClusterManifest!E6</f>
        <v>24</v>
      </c>
    </row>
    <row r="6" spans="1:8">
      <c r="A6" t="s">
        <v>304</v>
      </c>
      <c r="B6" s="47" t="s">
        <v>305</v>
      </c>
      <c r="C6">
        <f>C5</f>
        <v>36</v>
      </c>
      <c r="D6">
        <f t="shared" ref="D6:H6" si="3">D5</f>
        <v>52</v>
      </c>
      <c r="E6">
        <f t="shared" si="3"/>
        <v>52</v>
      </c>
      <c r="F6">
        <f t="shared" si="3"/>
        <v>52</v>
      </c>
      <c r="G6">
        <f t="shared" si="3"/>
        <v>52</v>
      </c>
      <c r="H6">
        <f t="shared" si="3"/>
        <v>24</v>
      </c>
    </row>
    <row r="7" spans="1:8">
      <c r="A7" t="s">
        <v>273</v>
      </c>
      <c r="B7" s="47" t="s">
        <v>273</v>
      </c>
      <c r="C7" t="str">
        <f>ClusterManifest!H2</f>
        <v>Air, RDHx</v>
      </c>
      <c r="D7" t="str">
        <f>ClusterManifest!H4</f>
        <v>Air, DTC</v>
      </c>
      <c r="E7" t="str">
        <f>D7</f>
        <v>Air, DTC</v>
      </c>
      <c r="F7" t="str">
        <f>E7</f>
        <v>Air, DTC</v>
      </c>
      <c r="G7" t="str">
        <f>F7</f>
        <v>Air, DTC</v>
      </c>
      <c r="H7" t="str">
        <f>ClusterManifest!H5</f>
        <v>Air, DTC</v>
      </c>
    </row>
    <row r="8" spans="1:8">
      <c r="A8" s="52" t="s">
        <v>272</v>
      </c>
      <c r="B8" s="52" t="s">
        <v>306</v>
      </c>
      <c r="C8" t="str">
        <f>ClusterManifest!G2</f>
        <v>N</v>
      </c>
      <c r="D8" t="str">
        <f>ClusterManifest!G4</f>
        <v>2N</v>
      </c>
      <c r="E8" t="str">
        <f>D8</f>
        <v>2N</v>
      </c>
      <c r="F8" t="str">
        <f>E8</f>
        <v>2N</v>
      </c>
      <c r="G8" t="str">
        <f>F8</f>
        <v>2N</v>
      </c>
      <c r="H8" t="str">
        <f>ClusterManifest!G5</f>
        <v>2N</v>
      </c>
    </row>
    <row r="9" spans="1:8">
      <c r="A9" t="s">
        <v>307</v>
      </c>
      <c r="B9" s="47" t="s">
        <v>308</v>
      </c>
      <c r="C9" t="s">
        <v>277</v>
      </c>
      <c r="D9" t="s">
        <v>277</v>
      </c>
      <c r="E9" t="s">
        <v>277</v>
      </c>
      <c r="F9" t="s">
        <v>277</v>
      </c>
      <c r="G9" t="s">
        <v>277</v>
      </c>
      <c r="H9" t="s">
        <v>277</v>
      </c>
    </row>
    <row r="10" spans="1:8">
      <c r="A10" s="6" t="s">
        <v>309</v>
      </c>
      <c r="B10" s="47" t="s">
        <v>271</v>
      </c>
      <c r="C10">
        <f>ClusterManifest!F2</f>
        <v>15</v>
      </c>
      <c r="D10">
        <f>ClusterManifest!F4</f>
        <v>30</v>
      </c>
      <c r="E10">
        <f>D10</f>
        <v>30</v>
      </c>
      <c r="F10">
        <f t="shared" ref="F10:G10" si="4">E10</f>
        <v>30</v>
      </c>
      <c r="G10">
        <f t="shared" si="4"/>
        <v>30</v>
      </c>
      <c r="H10">
        <v>60</v>
      </c>
    </row>
    <row r="11" spans="1:8">
      <c r="A11" s="6" t="s">
        <v>310</v>
      </c>
      <c r="B11" s="47" t="s">
        <v>62</v>
      </c>
      <c r="C11">
        <f>ClusterManifest!E2</f>
        <v>18</v>
      </c>
      <c r="D11">
        <f>ClusterManifest!E4</f>
        <v>52</v>
      </c>
      <c r="E11">
        <f>D11</f>
        <v>52</v>
      </c>
      <c r="F11">
        <f t="shared" ref="F11:G11" si="5">E11</f>
        <v>52</v>
      </c>
      <c r="G11">
        <f t="shared" si="5"/>
        <v>52</v>
      </c>
      <c r="H11">
        <v>23</v>
      </c>
    </row>
    <row r="12" spans="1:8">
      <c r="A12" s="6" t="s">
        <v>311</v>
      </c>
      <c r="B12" s="47" t="s">
        <v>312</v>
      </c>
      <c r="C12">
        <f>C11</f>
        <v>18</v>
      </c>
      <c r="D12">
        <f>D11</f>
        <v>52</v>
      </c>
      <c r="E12">
        <f>D12</f>
        <v>52</v>
      </c>
      <c r="F12">
        <f t="shared" ref="F12:G12" si="6">E12</f>
        <v>52</v>
      </c>
      <c r="G12">
        <f t="shared" si="6"/>
        <v>52</v>
      </c>
      <c r="H12">
        <v>23</v>
      </c>
    </row>
    <row r="13" spans="1:8">
      <c r="A13" s="6" t="s">
        <v>313</v>
      </c>
      <c r="B13" s="47" t="s">
        <v>314</v>
      </c>
      <c r="C13" t="str">
        <f>ClusterManifest!H2</f>
        <v>Air, RDHx</v>
      </c>
      <c r="D13" t="str">
        <f>ClusterManifest!H4</f>
        <v>Air, DTC</v>
      </c>
      <c r="E13" t="str">
        <f>D13</f>
        <v>Air, DTC</v>
      </c>
      <c r="F13" t="str">
        <f t="shared" ref="F13:G13" si="7">E13</f>
        <v>Air, DTC</v>
      </c>
      <c r="G13" t="str">
        <f t="shared" si="7"/>
        <v>Air, DTC</v>
      </c>
      <c r="H13" t="str">
        <f>H7</f>
        <v>Air, DTC</v>
      </c>
    </row>
    <row r="14" spans="1:8">
      <c r="A14" s="54" t="s">
        <v>315</v>
      </c>
      <c r="B14" s="54" t="s">
        <v>316</v>
      </c>
      <c r="C14" s="50" t="s">
        <v>317</v>
      </c>
      <c r="D14" s="50" t="s">
        <v>318</v>
      </c>
      <c r="E14" s="50" t="str">
        <f>D14</f>
        <v>CC-R3</v>
      </c>
      <c r="F14" s="50" t="str">
        <f t="shared" ref="F14:G14" si="8">E14</f>
        <v>CC-R3</v>
      </c>
      <c r="G14" s="50" t="str">
        <f t="shared" si="8"/>
        <v>CC-R3</v>
      </c>
      <c r="H14" s="50" t="s">
        <v>319</v>
      </c>
    </row>
    <row r="15" spans="1:8">
      <c r="A15" t="s">
        <v>320</v>
      </c>
      <c r="B15" s="47" t="s">
        <v>308</v>
      </c>
      <c r="C15" t="s">
        <v>277</v>
      </c>
      <c r="D15" s="19"/>
      <c r="E15" s="19"/>
      <c r="F15" s="19"/>
      <c r="G15" s="19"/>
      <c r="H15" t="s">
        <v>288</v>
      </c>
    </row>
    <row r="16" spans="1:8">
      <c r="A16" s="6" t="s">
        <v>321</v>
      </c>
      <c r="B16" s="47" t="s">
        <v>271</v>
      </c>
      <c r="C16">
        <f>ClusterManifest!F3</f>
        <v>10</v>
      </c>
      <c r="D16" s="19"/>
      <c r="E16" s="19"/>
      <c r="F16" s="19"/>
      <c r="G16" s="19"/>
      <c r="H16">
        <f>ClusterManifest!F6</f>
        <v>15</v>
      </c>
    </row>
    <row r="17" spans="1:8">
      <c r="A17" s="6" t="s">
        <v>322</v>
      </c>
      <c r="B17" s="47" t="s">
        <v>62</v>
      </c>
      <c r="C17">
        <f>ClusterManifest!E3</f>
        <v>18</v>
      </c>
      <c r="D17" s="19"/>
      <c r="E17" s="19"/>
      <c r="F17" s="19"/>
      <c r="G17" s="19"/>
      <c r="H17">
        <v>1</v>
      </c>
    </row>
    <row r="18" spans="1:8">
      <c r="A18" s="6" t="s">
        <v>323</v>
      </c>
      <c r="B18" s="47" t="s">
        <v>312</v>
      </c>
      <c r="C18">
        <f>C17</f>
        <v>18</v>
      </c>
      <c r="D18" s="19"/>
      <c r="E18" s="19"/>
      <c r="F18" s="19"/>
      <c r="G18" s="19"/>
      <c r="H18">
        <v>1</v>
      </c>
    </row>
    <row r="19" spans="1:8">
      <c r="A19" s="6" t="s">
        <v>324</v>
      </c>
      <c r="B19" s="47" t="s">
        <v>314</v>
      </c>
      <c r="C19" t="str">
        <f>ClusterManifest!H3</f>
        <v>Air, RDHx</v>
      </c>
      <c r="D19" s="19"/>
      <c r="E19" s="19"/>
      <c r="F19" s="19"/>
      <c r="G19" s="19"/>
      <c r="H19" t="str">
        <f>H7</f>
        <v>Air, DTC</v>
      </c>
    </row>
    <row r="20" spans="1:8">
      <c r="A20" s="55" t="s">
        <v>325</v>
      </c>
      <c r="B20" s="56" t="s">
        <v>316</v>
      </c>
      <c r="C20" t="s">
        <v>317</v>
      </c>
      <c r="D20" s="19"/>
      <c r="E20" s="19"/>
      <c r="F20" s="19"/>
      <c r="G20" s="19"/>
      <c r="H20" t="s">
        <v>319</v>
      </c>
    </row>
    <row r="21" spans="1:8">
      <c r="A21" s="48"/>
      <c r="B21" s="49"/>
    </row>
    <row r="22" spans="1:8">
      <c r="A22" t="s">
        <v>326</v>
      </c>
      <c r="B22" t="s">
        <v>327</v>
      </c>
      <c r="C22" t="s">
        <v>317</v>
      </c>
      <c r="D22" t="s">
        <v>318</v>
      </c>
      <c r="E22" t="s">
        <v>318</v>
      </c>
      <c r="F22" t="s">
        <v>318</v>
      </c>
      <c r="G22" t="s">
        <v>318</v>
      </c>
    </row>
    <row r="23" spans="1:8">
      <c r="A23" t="s">
        <v>328</v>
      </c>
      <c r="B23" t="s">
        <v>329</v>
      </c>
      <c r="C23">
        <v>920</v>
      </c>
      <c r="D23">
        <v>3680</v>
      </c>
      <c r="E23">
        <v>3680</v>
      </c>
      <c r="F23">
        <v>3680</v>
      </c>
      <c r="G23">
        <v>3680</v>
      </c>
      <c r="H23">
        <v>1770</v>
      </c>
    </row>
    <row r="24" spans="1:8">
      <c r="A24" t="s">
        <v>330</v>
      </c>
      <c r="B24" t="s">
        <v>125</v>
      </c>
      <c r="C24">
        <v>48</v>
      </c>
      <c r="D24">
        <v>144</v>
      </c>
      <c r="E24">
        <v>144</v>
      </c>
      <c r="F24">
        <v>144</v>
      </c>
      <c r="G24">
        <v>144</v>
      </c>
      <c r="H24">
        <v>24</v>
      </c>
    </row>
    <row r="25" spans="1:8">
      <c r="A25" t="s">
        <v>331</v>
      </c>
      <c r="B25" t="s">
        <v>304</v>
      </c>
      <c r="C25">
        <v>36</v>
      </c>
      <c r="D25">
        <f>D12</f>
        <v>52</v>
      </c>
      <c r="E25">
        <f>E12</f>
        <v>52</v>
      </c>
      <c r="F25">
        <f>F12</f>
        <v>52</v>
      </c>
      <c r="G25">
        <f>G12</f>
        <v>52</v>
      </c>
      <c r="H25">
        <v>24</v>
      </c>
    </row>
    <row r="26" spans="1:8">
      <c r="A26" t="s">
        <v>332</v>
      </c>
      <c r="B26" t="s">
        <v>301</v>
      </c>
      <c r="C26">
        <v>450</v>
      </c>
      <c r="D26">
        <f>D4</f>
        <v>1560</v>
      </c>
      <c r="E26">
        <f>E4</f>
        <v>1560</v>
      </c>
      <c r="F26">
        <f>F4</f>
        <v>1560</v>
      </c>
      <c r="G26">
        <f>G4</f>
        <v>1560</v>
      </c>
      <c r="H26">
        <v>1395</v>
      </c>
    </row>
    <row r="27" spans="1:8">
      <c r="A27" s="48" t="s">
        <v>333</v>
      </c>
      <c r="B27" s="48" t="s">
        <v>334</v>
      </c>
      <c r="C27">
        <f>C4</f>
        <v>450</v>
      </c>
      <c r="D27">
        <f t="shared" ref="D27:H27" si="9">D4</f>
        <v>1560</v>
      </c>
      <c r="E27">
        <f t="shared" si="9"/>
        <v>1560</v>
      </c>
      <c r="F27">
        <f t="shared" si="9"/>
        <v>1560</v>
      </c>
      <c r="G27">
        <f t="shared" si="9"/>
        <v>1560</v>
      </c>
      <c r="H27">
        <f t="shared" si="9"/>
        <v>1395</v>
      </c>
    </row>
    <row r="28" spans="1:8">
      <c r="A28" s="48" t="s">
        <v>335</v>
      </c>
      <c r="B28" s="48" t="s">
        <v>336</v>
      </c>
      <c r="C28">
        <v>920</v>
      </c>
      <c r="D28">
        <v>3680</v>
      </c>
      <c r="E28">
        <v>3680</v>
      </c>
      <c r="F28">
        <v>3680</v>
      </c>
      <c r="G28">
        <v>3680</v>
      </c>
      <c r="H28">
        <v>1840</v>
      </c>
    </row>
    <row r="29" spans="1:8">
      <c r="A29" s="48" t="s">
        <v>337</v>
      </c>
      <c r="B29" s="48" t="s">
        <v>338</v>
      </c>
      <c r="C29">
        <f>C4</f>
        <v>450</v>
      </c>
      <c r="D29">
        <f t="shared" ref="D29:H29" si="10">D4</f>
        <v>1560</v>
      </c>
      <c r="E29">
        <f t="shared" si="10"/>
        <v>1560</v>
      </c>
      <c r="F29">
        <f t="shared" si="10"/>
        <v>1560</v>
      </c>
      <c r="G29">
        <f t="shared" si="10"/>
        <v>1560</v>
      </c>
      <c r="H29">
        <f t="shared" si="10"/>
        <v>1395</v>
      </c>
    </row>
    <row r="30" spans="1:8">
      <c r="A30" s="48" t="s">
        <v>339</v>
      </c>
      <c r="B30" s="48" t="s">
        <v>137</v>
      </c>
      <c r="C30">
        <v>940</v>
      </c>
      <c r="D30">
        <v>3840</v>
      </c>
      <c r="E30">
        <v>3840</v>
      </c>
      <c r="F30">
        <v>3840</v>
      </c>
      <c r="G30">
        <v>3840</v>
      </c>
      <c r="H30">
        <v>1770</v>
      </c>
    </row>
    <row r="32" spans="1:8" s="7" customFormat="1" ht="68.099999999999994">
      <c r="A32" s="7" t="s">
        <v>340</v>
      </c>
      <c r="B32" s="51" t="s">
        <v>341</v>
      </c>
      <c r="C32" s="7" t="s">
        <v>342</v>
      </c>
      <c r="D32" s="7" t="s">
        <v>343</v>
      </c>
      <c r="E32" s="7" t="str">
        <f>D32</f>
        <v>RPP-R3-A1, RPP-R3-A2, RPP-R3-A3, RPP-R3-A4, RPP-R3-B1, RPP-R3-B2, RPP-R3-B3, RPP-R3-B4</v>
      </c>
      <c r="F32" s="7" t="str">
        <f t="shared" ref="F32:G32" si="11">E32</f>
        <v>RPP-R3-A1, RPP-R3-A2, RPP-R3-A3, RPP-R3-A4, RPP-R3-B1, RPP-R3-B2, RPP-R3-B3, RPP-R3-B4</v>
      </c>
      <c r="G32" s="7" t="str">
        <f t="shared" si="11"/>
        <v>RPP-R3-A1, RPP-R3-A2, RPP-R3-A3, RPP-R3-A4, RPP-R3-B1, RPP-R3-B2, RPP-R3-B3, RPP-R3-B4</v>
      </c>
      <c r="H32" s="7" t="s">
        <v>344</v>
      </c>
    </row>
    <row r="33" spans="1:8" s="7" customFormat="1" ht="68.099999999999994">
      <c r="A33" s="7" t="s">
        <v>345</v>
      </c>
      <c r="B33" s="51" t="s">
        <v>314</v>
      </c>
      <c r="C33" s="7" t="s">
        <v>346</v>
      </c>
      <c r="D33" s="7" t="s">
        <v>347</v>
      </c>
      <c r="E33" s="7" t="str">
        <f>D33</f>
        <v>AIRZONE-R3-E1, AIRZONE-R3-E2, AIRZONE-R3-W1, AIRZONE-R3-W2, LL-R3-E, LL-R3-W</v>
      </c>
      <c r="F33" s="7" t="str">
        <f t="shared" ref="F33:G33" si="12">E33</f>
        <v>AIRZONE-R3-E1, AIRZONE-R3-E2, AIRZONE-R3-W1, AIRZONE-R3-W2, LL-R3-E, LL-R3-W</v>
      </c>
      <c r="G33" s="7" t="str">
        <f t="shared" si="12"/>
        <v>AIRZONE-R3-E1, AIRZONE-R3-E2, AIRZONE-R3-W1, AIRZONE-R3-W2, LL-R3-E, LL-R3-W</v>
      </c>
      <c r="H33" s="7" t="s">
        <v>348</v>
      </c>
    </row>
    <row r="44" spans="1:8">
      <c r="G44" t="s">
        <v>349</v>
      </c>
    </row>
    <row r="49" spans="7:7">
      <c r="G49" t="s">
        <v>350</v>
      </c>
    </row>
    <row r="59" spans="7:7">
      <c r="G59" t="s">
        <v>351</v>
      </c>
    </row>
    <row r="69" spans="5:6">
      <c r="F69" t="s">
        <v>352</v>
      </c>
    </row>
    <row r="72" spans="5:6">
      <c r="E72" t="s">
        <v>353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8170-72F4-6544-9D4C-A80098E49882}">
  <sheetPr>
    <tabColor theme="5"/>
  </sheetPr>
  <dimension ref="A1:G90"/>
  <sheetViews>
    <sheetView tabSelected="1" zoomScale="130" zoomScaleNormal="130" workbookViewId="0">
      <pane ySplit="1" topLeftCell="A53" activePane="bottomLeft" state="frozen"/>
      <selection pane="bottomLeft" activeCell="F93" sqref="F93"/>
    </sheetView>
  </sheetViews>
  <sheetFormatPr defaultColWidth="11" defaultRowHeight="15.95"/>
  <cols>
    <col min="1" max="1" width="14.5" customWidth="1"/>
    <col min="2" max="2" width="20.625" customWidth="1"/>
    <col min="3" max="3" width="20.375" customWidth="1"/>
    <col min="4" max="4" width="11.375" customWidth="1"/>
    <col min="5" max="5" width="20.875" customWidth="1"/>
    <col min="6" max="10" width="19.375" customWidth="1"/>
  </cols>
  <sheetData>
    <row r="1" spans="1:7" s="57" customFormat="1">
      <c r="A1" s="57" t="s">
        <v>0</v>
      </c>
      <c r="B1" s="57" t="s">
        <v>354</v>
      </c>
      <c r="C1" s="57" t="s">
        <v>355</v>
      </c>
      <c r="D1" s="57" t="s">
        <v>356</v>
      </c>
      <c r="E1" s="57" t="s">
        <v>357</v>
      </c>
      <c r="F1" s="57" t="s">
        <v>358</v>
      </c>
      <c r="G1" s="57" t="s">
        <v>359</v>
      </c>
    </row>
    <row r="2" spans="1:7">
      <c r="A2" s="1" t="s">
        <v>12</v>
      </c>
      <c r="B2" t="s">
        <v>360</v>
      </c>
      <c r="C2" t="s">
        <v>361</v>
      </c>
      <c r="D2">
        <v>1</v>
      </c>
      <c r="E2" t="s">
        <v>59</v>
      </c>
      <c r="F2" t="s">
        <v>12</v>
      </c>
    </row>
    <row r="3" spans="1:7">
      <c r="A3" s="1" t="s">
        <v>12</v>
      </c>
      <c r="B3" t="s">
        <v>360</v>
      </c>
      <c r="C3" t="s">
        <v>361</v>
      </c>
      <c r="D3">
        <v>2</v>
      </c>
      <c r="E3" t="s">
        <v>362</v>
      </c>
      <c r="F3" t="s">
        <v>59</v>
      </c>
    </row>
    <row r="4" spans="1:7">
      <c r="A4" s="1" t="s">
        <v>12</v>
      </c>
      <c r="B4" t="s">
        <v>360</v>
      </c>
      <c r="C4" t="s">
        <v>361</v>
      </c>
      <c r="D4">
        <v>3</v>
      </c>
      <c r="E4" t="s">
        <v>363</v>
      </c>
      <c r="F4" t="s">
        <v>362</v>
      </c>
    </row>
    <row r="5" spans="1:7">
      <c r="A5" s="1" t="s">
        <v>12</v>
      </c>
      <c r="B5" t="s">
        <v>364</v>
      </c>
      <c r="C5" t="s">
        <v>365</v>
      </c>
      <c r="D5">
        <v>1</v>
      </c>
      <c r="E5" t="s">
        <v>12</v>
      </c>
      <c r="F5" t="s">
        <v>366</v>
      </c>
    </row>
    <row r="6" spans="1:7">
      <c r="A6" s="58" t="s">
        <v>12</v>
      </c>
      <c r="B6" s="48" t="s">
        <v>364</v>
      </c>
      <c r="C6" s="48" t="s">
        <v>361</v>
      </c>
      <c r="D6" s="48">
        <v>1</v>
      </c>
      <c r="E6" s="48" t="s">
        <v>74</v>
      </c>
      <c r="F6" s="48" t="s">
        <v>12</v>
      </c>
    </row>
    <row r="7" spans="1:7">
      <c r="A7" s="1" t="s">
        <v>12</v>
      </c>
      <c r="B7" t="s">
        <v>364</v>
      </c>
      <c r="C7" t="s">
        <v>361</v>
      </c>
      <c r="D7">
        <v>2</v>
      </c>
      <c r="E7" t="s">
        <v>127</v>
      </c>
      <c r="F7" t="s">
        <v>74</v>
      </c>
    </row>
    <row r="8" spans="1:7">
      <c r="A8" s="1" t="s">
        <v>12</v>
      </c>
      <c r="B8" t="s">
        <v>364</v>
      </c>
      <c r="C8" t="s">
        <v>361</v>
      </c>
      <c r="D8">
        <v>3</v>
      </c>
      <c r="E8" t="s">
        <v>132</v>
      </c>
      <c r="F8" t="s">
        <v>127</v>
      </c>
    </row>
    <row r="9" spans="1:7">
      <c r="A9" s="1" t="s">
        <v>12</v>
      </c>
      <c r="B9" t="s">
        <v>367</v>
      </c>
      <c r="C9" t="s">
        <v>365</v>
      </c>
      <c r="D9">
        <v>1</v>
      </c>
      <c r="E9" t="s">
        <v>12</v>
      </c>
      <c r="F9" t="s">
        <v>249</v>
      </c>
    </row>
    <row r="10" spans="1:7">
      <c r="A10" s="1" t="s">
        <v>12</v>
      </c>
      <c r="B10" t="s">
        <v>367</v>
      </c>
      <c r="C10" t="s">
        <v>365</v>
      </c>
      <c r="D10">
        <v>1</v>
      </c>
      <c r="E10" t="s">
        <v>12</v>
      </c>
      <c r="F10" t="s">
        <v>251</v>
      </c>
    </row>
    <row r="11" spans="1:7">
      <c r="A11" s="1" t="s">
        <v>12</v>
      </c>
      <c r="B11" t="s">
        <v>367</v>
      </c>
      <c r="C11" t="s">
        <v>361</v>
      </c>
      <c r="D11">
        <v>1</v>
      </c>
      <c r="E11" t="s">
        <v>86</v>
      </c>
      <c r="F11" t="s">
        <v>12</v>
      </c>
    </row>
    <row r="12" spans="1:7">
      <c r="A12" s="1" t="s">
        <v>12</v>
      </c>
      <c r="B12" t="s">
        <v>367</v>
      </c>
      <c r="C12" t="s">
        <v>361</v>
      </c>
      <c r="D12">
        <v>1</v>
      </c>
      <c r="E12" t="s">
        <v>103</v>
      </c>
      <c r="F12" t="s">
        <v>12</v>
      </c>
    </row>
    <row r="13" spans="1:7">
      <c r="A13" s="1" t="s">
        <v>12</v>
      </c>
      <c r="B13" t="s">
        <v>367</v>
      </c>
      <c r="C13" t="s">
        <v>361</v>
      </c>
      <c r="D13">
        <v>2</v>
      </c>
      <c r="E13" t="s">
        <v>147</v>
      </c>
      <c r="F13" t="s">
        <v>86</v>
      </c>
    </row>
    <row r="14" spans="1:7">
      <c r="A14" s="1" t="s">
        <v>12</v>
      </c>
      <c r="B14" t="s">
        <v>367</v>
      </c>
      <c r="C14" t="s">
        <v>361</v>
      </c>
      <c r="D14">
        <v>2</v>
      </c>
      <c r="E14" t="s">
        <v>66</v>
      </c>
      <c r="F14" t="s">
        <v>368</v>
      </c>
    </row>
    <row r="15" spans="1:7">
      <c r="A15" s="1" t="s">
        <v>12</v>
      </c>
      <c r="B15" t="s">
        <v>367</v>
      </c>
      <c r="C15" t="s">
        <v>361</v>
      </c>
      <c r="D15">
        <v>3</v>
      </c>
      <c r="E15" t="s">
        <v>136</v>
      </c>
      <c r="F15" t="s">
        <v>147</v>
      </c>
    </row>
    <row r="16" spans="1:7">
      <c r="A16" s="1" t="s">
        <v>12</v>
      </c>
      <c r="B16" t="s">
        <v>367</v>
      </c>
      <c r="C16" t="s">
        <v>361</v>
      </c>
      <c r="D16">
        <v>3</v>
      </c>
      <c r="E16" t="s">
        <v>136</v>
      </c>
      <c r="F16" t="s">
        <v>66</v>
      </c>
    </row>
    <row r="17" spans="1:6">
      <c r="A17" s="1" t="s">
        <v>12</v>
      </c>
      <c r="B17" t="s">
        <v>369</v>
      </c>
      <c r="C17" t="s">
        <v>361</v>
      </c>
      <c r="D17">
        <v>1</v>
      </c>
      <c r="E17" t="s">
        <v>141</v>
      </c>
      <c r="F17" t="s">
        <v>12</v>
      </c>
    </row>
    <row r="18" spans="1:6">
      <c r="A18" s="1" t="s">
        <v>12</v>
      </c>
      <c r="B18" t="s">
        <v>369</v>
      </c>
      <c r="C18" t="s">
        <v>361</v>
      </c>
      <c r="D18">
        <v>2</v>
      </c>
      <c r="E18" t="s">
        <v>173</v>
      </c>
      <c r="F18" t="s">
        <v>141</v>
      </c>
    </row>
    <row r="19" spans="1:6">
      <c r="A19" s="1" t="s">
        <v>12</v>
      </c>
      <c r="B19" t="s">
        <v>369</v>
      </c>
      <c r="C19" t="s">
        <v>361</v>
      </c>
      <c r="D19">
        <v>2</v>
      </c>
      <c r="E19" t="s">
        <v>176</v>
      </c>
      <c r="F19" t="s">
        <v>141</v>
      </c>
    </row>
    <row r="20" spans="1:6">
      <c r="A20" s="1" t="s">
        <v>12</v>
      </c>
      <c r="B20" t="s">
        <v>369</v>
      </c>
      <c r="C20" t="s">
        <v>361</v>
      </c>
      <c r="D20">
        <v>2</v>
      </c>
      <c r="E20" t="s">
        <v>177</v>
      </c>
      <c r="F20" t="s">
        <v>141</v>
      </c>
    </row>
    <row r="21" spans="1:6">
      <c r="A21" s="1" t="s">
        <v>12</v>
      </c>
      <c r="B21" t="s">
        <v>370</v>
      </c>
      <c r="C21" t="s">
        <v>361</v>
      </c>
      <c r="D21">
        <v>1</v>
      </c>
      <c r="E21" t="s">
        <v>141</v>
      </c>
      <c r="F21" t="s">
        <v>12</v>
      </c>
    </row>
    <row r="22" spans="1:6">
      <c r="A22" s="1" t="s">
        <v>12</v>
      </c>
      <c r="B22" t="s">
        <v>370</v>
      </c>
      <c r="C22" t="s">
        <v>361</v>
      </c>
      <c r="D22">
        <v>2</v>
      </c>
      <c r="E22" t="s">
        <v>371</v>
      </c>
      <c r="F22" t="s">
        <v>141</v>
      </c>
    </row>
    <row r="23" spans="1:6">
      <c r="A23" s="1" t="s">
        <v>12</v>
      </c>
      <c r="B23" t="s">
        <v>370</v>
      </c>
      <c r="C23" t="s">
        <v>361</v>
      </c>
      <c r="D23">
        <v>2</v>
      </c>
      <c r="E23" t="s">
        <v>372</v>
      </c>
      <c r="F23" t="s">
        <v>141</v>
      </c>
    </row>
    <row r="24" spans="1:6">
      <c r="A24" s="1" t="s">
        <v>12</v>
      </c>
      <c r="B24" t="s">
        <v>370</v>
      </c>
      <c r="C24" t="s">
        <v>361</v>
      </c>
      <c r="D24">
        <v>3</v>
      </c>
      <c r="E24" t="s">
        <v>268</v>
      </c>
      <c r="F24" t="s">
        <v>371</v>
      </c>
    </row>
    <row r="25" spans="1:6">
      <c r="A25" s="1" t="s">
        <v>12</v>
      </c>
      <c r="B25" t="s">
        <v>370</v>
      </c>
      <c r="C25" t="s">
        <v>361</v>
      </c>
      <c r="D25">
        <v>3</v>
      </c>
      <c r="E25" t="s">
        <v>268</v>
      </c>
      <c r="F25" t="s">
        <v>372</v>
      </c>
    </row>
    <row r="26" spans="1:6">
      <c r="A26" t="s">
        <v>59</v>
      </c>
      <c r="B26" t="s">
        <v>360</v>
      </c>
      <c r="C26" t="s">
        <v>365</v>
      </c>
      <c r="D26">
        <v>1</v>
      </c>
      <c r="E26" t="s">
        <v>59</v>
      </c>
      <c r="F26" t="s">
        <v>12</v>
      </c>
    </row>
    <row r="27" spans="1:6">
      <c r="A27" t="s">
        <v>59</v>
      </c>
      <c r="B27" t="s">
        <v>360</v>
      </c>
      <c r="C27" t="s">
        <v>361</v>
      </c>
      <c r="D27">
        <v>1</v>
      </c>
      <c r="E27" t="s">
        <v>362</v>
      </c>
      <c r="F27" t="s">
        <v>59</v>
      </c>
    </row>
    <row r="28" spans="1:6">
      <c r="A28" t="s">
        <v>59</v>
      </c>
      <c r="B28" t="s">
        <v>360</v>
      </c>
      <c r="C28" t="s">
        <v>361</v>
      </c>
      <c r="D28">
        <v>2</v>
      </c>
      <c r="E28" t="s">
        <v>363</v>
      </c>
      <c r="F28" t="s">
        <v>362</v>
      </c>
    </row>
    <row r="29" spans="1:6">
      <c r="A29" t="s">
        <v>59</v>
      </c>
      <c r="B29" t="s">
        <v>360</v>
      </c>
      <c r="C29" t="s">
        <v>361</v>
      </c>
      <c r="D29">
        <v>3</v>
      </c>
      <c r="E29" t="s">
        <v>373</v>
      </c>
      <c r="F29" t="s">
        <v>363</v>
      </c>
    </row>
    <row r="30" spans="1:6">
      <c r="A30" t="s">
        <v>59</v>
      </c>
      <c r="B30" t="s">
        <v>364</v>
      </c>
      <c r="C30" t="s">
        <v>365</v>
      </c>
      <c r="D30">
        <v>1</v>
      </c>
      <c r="E30" t="s">
        <v>59</v>
      </c>
      <c r="F30" t="s">
        <v>12</v>
      </c>
    </row>
    <row r="31" spans="1:6">
      <c r="A31" t="s">
        <v>59</v>
      </c>
      <c r="B31" t="s">
        <v>364</v>
      </c>
      <c r="C31" t="s">
        <v>365</v>
      </c>
      <c r="D31">
        <v>2</v>
      </c>
      <c r="E31" t="s">
        <v>12</v>
      </c>
      <c r="F31" t="s">
        <v>366</v>
      </c>
    </row>
    <row r="32" spans="1:6">
      <c r="A32" t="s">
        <v>59</v>
      </c>
      <c r="B32" t="s">
        <v>367</v>
      </c>
      <c r="C32" t="s">
        <v>365</v>
      </c>
      <c r="D32">
        <v>1</v>
      </c>
      <c r="E32" t="s">
        <v>59</v>
      </c>
      <c r="F32" t="s">
        <v>12</v>
      </c>
    </row>
    <row r="33" spans="1:6">
      <c r="A33" t="s">
        <v>59</v>
      </c>
      <c r="B33" t="s">
        <v>367</v>
      </c>
      <c r="C33" t="s">
        <v>365</v>
      </c>
      <c r="D33">
        <v>2</v>
      </c>
      <c r="E33" t="s">
        <v>12</v>
      </c>
      <c r="F33" t="s">
        <v>249</v>
      </c>
    </row>
    <row r="34" spans="1:6">
      <c r="A34" t="s">
        <v>59</v>
      </c>
      <c r="B34" t="s">
        <v>367</v>
      </c>
      <c r="C34" t="s">
        <v>365</v>
      </c>
      <c r="D34">
        <v>2</v>
      </c>
      <c r="E34" t="s">
        <v>12</v>
      </c>
      <c r="F34" t="s">
        <v>251</v>
      </c>
    </row>
    <row r="35" spans="1:6">
      <c r="A35" t="s">
        <v>74</v>
      </c>
      <c r="B35" t="s">
        <v>360</v>
      </c>
      <c r="C35" t="s">
        <v>361</v>
      </c>
      <c r="D35">
        <v>1</v>
      </c>
      <c r="E35" t="s">
        <v>362</v>
      </c>
      <c r="F35" t="s">
        <v>74</v>
      </c>
    </row>
    <row r="36" spans="1:6">
      <c r="A36" t="s">
        <v>74</v>
      </c>
      <c r="B36" t="s">
        <v>360</v>
      </c>
      <c r="C36" t="s">
        <v>361</v>
      </c>
      <c r="D36">
        <v>2</v>
      </c>
      <c r="E36" t="s">
        <v>363</v>
      </c>
      <c r="F36" t="s">
        <v>362</v>
      </c>
    </row>
    <row r="37" spans="1:6">
      <c r="A37" s="48" t="s">
        <v>74</v>
      </c>
      <c r="B37" s="48" t="s">
        <v>364</v>
      </c>
      <c r="C37" s="48" t="s">
        <v>365</v>
      </c>
      <c r="D37" s="48">
        <v>1</v>
      </c>
      <c r="E37" s="48" t="s">
        <v>74</v>
      </c>
      <c r="F37" s="48" t="s">
        <v>12</v>
      </c>
    </row>
    <row r="38" spans="1:6">
      <c r="A38" t="s">
        <v>74</v>
      </c>
      <c r="B38" t="s">
        <v>364</v>
      </c>
      <c r="C38" t="s">
        <v>365</v>
      </c>
      <c r="D38">
        <v>2</v>
      </c>
      <c r="E38" t="s">
        <v>12</v>
      </c>
      <c r="F38" t="s">
        <v>366</v>
      </c>
    </row>
    <row r="39" spans="1:6">
      <c r="A39" t="s">
        <v>74</v>
      </c>
      <c r="B39" t="s">
        <v>364</v>
      </c>
      <c r="C39" t="s">
        <v>361</v>
      </c>
      <c r="D39">
        <v>1</v>
      </c>
      <c r="E39" t="s">
        <v>127</v>
      </c>
      <c r="F39" t="s">
        <v>12</v>
      </c>
    </row>
    <row r="40" spans="1:6">
      <c r="A40" t="s">
        <v>74</v>
      </c>
      <c r="B40" t="s">
        <v>364</v>
      </c>
      <c r="C40" t="s">
        <v>361</v>
      </c>
      <c r="D40">
        <v>2</v>
      </c>
      <c r="E40" t="s">
        <v>132</v>
      </c>
      <c r="F40" t="s">
        <v>127</v>
      </c>
    </row>
    <row r="41" spans="1:6">
      <c r="A41" t="s">
        <v>127</v>
      </c>
      <c r="B41" t="s">
        <v>364</v>
      </c>
      <c r="C41" t="s">
        <v>365</v>
      </c>
      <c r="D41">
        <v>1</v>
      </c>
      <c r="E41" t="s">
        <v>127</v>
      </c>
      <c r="F41" t="s">
        <v>74</v>
      </c>
    </row>
    <row r="42" spans="1:6">
      <c r="A42" s="48" t="s">
        <v>127</v>
      </c>
      <c r="B42" s="48" t="s">
        <v>364</v>
      </c>
      <c r="C42" s="48" t="s">
        <v>365</v>
      </c>
      <c r="D42" s="48">
        <v>2</v>
      </c>
      <c r="E42" s="48" t="s">
        <v>74</v>
      </c>
      <c r="F42" s="48" t="s">
        <v>12</v>
      </c>
    </row>
    <row r="43" spans="1:6">
      <c r="A43" t="s">
        <v>127</v>
      </c>
      <c r="B43" t="s">
        <v>364</v>
      </c>
      <c r="C43" t="s">
        <v>361</v>
      </c>
      <c r="D43">
        <v>1</v>
      </c>
      <c r="E43" t="s">
        <v>132</v>
      </c>
      <c r="F43" t="s">
        <v>127</v>
      </c>
    </row>
    <row r="44" spans="1:6">
      <c r="A44" t="s">
        <v>127</v>
      </c>
      <c r="B44" t="s">
        <v>364</v>
      </c>
      <c r="C44" t="s">
        <v>361</v>
      </c>
      <c r="D44">
        <v>2</v>
      </c>
      <c r="E44" t="s">
        <v>374</v>
      </c>
      <c r="F44" t="s">
        <v>132</v>
      </c>
    </row>
    <row r="45" spans="1:6">
      <c r="A45" t="s">
        <v>127</v>
      </c>
      <c r="B45" t="s">
        <v>364</v>
      </c>
      <c r="C45" t="s">
        <v>361</v>
      </c>
      <c r="D45">
        <v>2</v>
      </c>
      <c r="E45" t="s">
        <v>375</v>
      </c>
      <c r="F45" t="s">
        <v>132</v>
      </c>
    </row>
    <row r="46" spans="1:6">
      <c r="A46" t="s">
        <v>132</v>
      </c>
      <c r="B46" t="s">
        <v>364</v>
      </c>
      <c r="C46" t="s">
        <v>365</v>
      </c>
      <c r="D46">
        <v>1</v>
      </c>
      <c r="E46" t="s">
        <v>132</v>
      </c>
      <c r="F46" t="s">
        <v>127</v>
      </c>
    </row>
    <row r="47" spans="1:6">
      <c r="A47" t="s">
        <v>132</v>
      </c>
      <c r="B47" t="s">
        <v>364</v>
      </c>
      <c r="C47" t="s">
        <v>365</v>
      </c>
      <c r="D47">
        <v>2</v>
      </c>
      <c r="E47" t="s">
        <v>127</v>
      </c>
      <c r="F47" t="s">
        <v>74</v>
      </c>
    </row>
    <row r="48" spans="1:6">
      <c r="A48" t="s">
        <v>132</v>
      </c>
      <c r="B48" t="s">
        <v>364</v>
      </c>
      <c r="C48" t="s">
        <v>365</v>
      </c>
      <c r="D48" s="48">
        <v>3</v>
      </c>
      <c r="E48" s="48" t="s">
        <v>74</v>
      </c>
      <c r="F48" s="48" t="s">
        <v>12</v>
      </c>
    </row>
    <row r="49" spans="1:6">
      <c r="A49" t="s">
        <v>132</v>
      </c>
      <c r="B49" t="s">
        <v>364</v>
      </c>
      <c r="C49" t="s">
        <v>361</v>
      </c>
      <c r="D49">
        <v>1</v>
      </c>
      <c r="E49" t="s">
        <v>374</v>
      </c>
      <c r="F49" t="s">
        <v>132</v>
      </c>
    </row>
    <row r="50" spans="1:6">
      <c r="A50" t="s">
        <v>132</v>
      </c>
      <c r="B50" t="s">
        <v>364</v>
      </c>
      <c r="C50" t="s">
        <v>361</v>
      </c>
      <c r="D50">
        <v>1</v>
      </c>
      <c r="E50" t="s">
        <v>375</v>
      </c>
      <c r="F50" t="s">
        <v>132</v>
      </c>
    </row>
    <row r="51" spans="1:6">
      <c r="A51" t="s">
        <v>132</v>
      </c>
      <c r="B51" t="s">
        <v>364</v>
      </c>
      <c r="C51" t="s">
        <v>361</v>
      </c>
      <c r="D51">
        <v>2</v>
      </c>
      <c r="E51" t="s">
        <v>376</v>
      </c>
      <c r="F51" t="s">
        <v>375</v>
      </c>
    </row>
    <row r="52" spans="1:6">
      <c r="A52" t="s">
        <v>132</v>
      </c>
      <c r="B52" t="s">
        <v>364</v>
      </c>
      <c r="C52" t="s">
        <v>361</v>
      </c>
      <c r="D52">
        <v>2</v>
      </c>
      <c r="E52" t="s">
        <v>375</v>
      </c>
      <c r="F52" t="s">
        <v>374</v>
      </c>
    </row>
    <row r="53" spans="1:6">
      <c r="A53" t="s">
        <v>132</v>
      </c>
      <c r="B53" t="s">
        <v>364</v>
      </c>
      <c r="C53" t="s">
        <v>361</v>
      </c>
      <c r="D53">
        <v>2</v>
      </c>
      <c r="E53" t="s">
        <v>377</v>
      </c>
      <c r="F53" t="s">
        <v>375</v>
      </c>
    </row>
    <row r="54" spans="1:6">
      <c r="A54" t="s">
        <v>86</v>
      </c>
      <c r="B54" t="s">
        <v>367</v>
      </c>
      <c r="C54" t="s">
        <v>365</v>
      </c>
      <c r="D54">
        <v>1</v>
      </c>
      <c r="E54" t="s">
        <v>86</v>
      </c>
      <c r="F54" t="s">
        <v>12</v>
      </c>
    </row>
    <row r="55" spans="1:6">
      <c r="A55" t="s">
        <v>86</v>
      </c>
      <c r="B55" t="s">
        <v>367</v>
      </c>
      <c r="C55" t="s">
        <v>365</v>
      </c>
      <c r="D55">
        <v>2</v>
      </c>
      <c r="E55" t="s">
        <v>12</v>
      </c>
      <c r="F55" t="s">
        <v>249</v>
      </c>
    </row>
    <row r="56" spans="1:6">
      <c r="A56" t="s">
        <v>86</v>
      </c>
      <c r="B56" t="s">
        <v>367</v>
      </c>
      <c r="C56" t="s">
        <v>365</v>
      </c>
      <c r="D56">
        <v>2</v>
      </c>
      <c r="E56" t="s">
        <v>12</v>
      </c>
      <c r="F56" t="s">
        <v>251</v>
      </c>
    </row>
    <row r="57" spans="1:6">
      <c r="A57" t="s">
        <v>86</v>
      </c>
      <c r="B57" t="s">
        <v>367</v>
      </c>
      <c r="C57" t="s">
        <v>361</v>
      </c>
      <c r="D57">
        <v>1</v>
      </c>
      <c r="E57" t="s">
        <v>147</v>
      </c>
      <c r="F57" t="s">
        <v>86</v>
      </c>
    </row>
    <row r="58" spans="1:6">
      <c r="A58" t="s">
        <v>86</v>
      </c>
      <c r="B58" t="s">
        <v>367</v>
      </c>
      <c r="C58" t="s">
        <v>361</v>
      </c>
      <c r="D58">
        <v>2</v>
      </c>
      <c r="E58" t="s">
        <v>136</v>
      </c>
      <c r="F58" t="s">
        <v>147</v>
      </c>
    </row>
    <row r="59" spans="1:6">
      <c r="A59" t="s">
        <v>103</v>
      </c>
      <c r="B59" t="s">
        <v>367</v>
      </c>
      <c r="C59" t="s">
        <v>365</v>
      </c>
      <c r="D59">
        <v>1</v>
      </c>
      <c r="E59" t="s">
        <v>103</v>
      </c>
      <c r="F59" t="s">
        <v>12</v>
      </c>
    </row>
    <row r="60" spans="1:6">
      <c r="A60" t="s">
        <v>103</v>
      </c>
      <c r="B60" t="s">
        <v>367</v>
      </c>
      <c r="C60" t="s">
        <v>365</v>
      </c>
      <c r="D60">
        <v>2</v>
      </c>
      <c r="E60" t="s">
        <v>12</v>
      </c>
      <c r="F60" t="s">
        <v>249</v>
      </c>
    </row>
    <row r="61" spans="1:6">
      <c r="A61" t="s">
        <v>103</v>
      </c>
      <c r="B61" t="s">
        <v>367</v>
      </c>
      <c r="C61" t="s">
        <v>365</v>
      </c>
      <c r="D61">
        <v>2</v>
      </c>
      <c r="E61" t="s">
        <v>12</v>
      </c>
      <c r="F61" t="s">
        <v>251</v>
      </c>
    </row>
    <row r="62" spans="1:6">
      <c r="A62" t="s">
        <v>103</v>
      </c>
      <c r="B62" t="s">
        <v>367</v>
      </c>
      <c r="C62" t="s">
        <v>361</v>
      </c>
      <c r="D62">
        <v>1</v>
      </c>
      <c r="E62" t="s">
        <v>66</v>
      </c>
      <c r="F62" t="s">
        <v>103</v>
      </c>
    </row>
    <row r="63" spans="1:6">
      <c r="A63" t="s">
        <v>103</v>
      </c>
      <c r="B63" t="s">
        <v>367</v>
      </c>
      <c r="C63" t="s">
        <v>361</v>
      </c>
      <c r="D63">
        <v>2</v>
      </c>
      <c r="E63" t="s">
        <v>136</v>
      </c>
      <c r="F63" t="s">
        <v>66</v>
      </c>
    </row>
    <row r="64" spans="1:6">
      <c r="A64" s="48" t="s">
        <v>141</v>
      </c>
      <c r="B64" s="48" t="s">
        <v>360</v>
      </c>
      <c r="C64" s="48" t="s">
        <v>365</v>
      </c>
      <c r="D64" s="48">
        <v>1</v>
      </c>
      <c r="E64" s="48" t="s">
        <v>362</v>
      </c>
      <c r="F64" s="48" t="s">
        <v>141</v>
      </c>
    </row>
    <row r="65" spans="1:6">
      <c r="A65" t="s">
        <v>141</v>
      </c>
      <c r="B65" t="s">
        <v>360</v>
      </c>
      <c r="C65" t="s">
        <v>365</v>
      </c>
      <c r="D65">
        <v>2</v>
      </c>
      <c r="E65" t="s">
        <v>362</v>
      </c>
      <c r="F65" t="s">
        <v>59</v>
      </c>
    </row>
    <row r="66" spans="1:6">
      <c r="A66" t="s">
        <v>141</v>
      </c>
      <c r="B66" t="s">
        <v>360</v>
      </c>
      <c r="C66" t="s">
        <v>365</v>
      </c>
      <c r="D66">
        <v>2</v>
      </c>
      <c r="E66" t="s">
        <v>362</v>
      </c>
      <c r="F66" t="s">
        <v>378</v>
      </c>
    </row>
    <row r="67" spans="1:6">
      <c r="A67" t="s">
        <v>141</v>
      </c>
      <c r="B67" t="s">
        <v>360</v>
      </c>
      <c r="C67" t="s">
        <v>365</v>
      </c>
      <c r="D67">
        <v>3</v>
      </c>
      <c r="E67" t="s">
        <v>59</v>
      </c>
      <c r="F67" t="s">
        <v>12</v>
      </c>
    </row>
    <row r="68" spans="1:6">
      <c r="A68" s="48" t="s">
        <v>141</v>
      </c>
      <c r="B68" s="48" t="s">
        <v>360</v>
      </c>
      <c r="C68" s="48" t="s">
        <v>361</v>
      </c>
      <c r="D68" s="48">
        <v>1</v>
      </c>
      <c r="E68" s="48" t="s">
        <v>363</v>
      </c>
      <c r="F68" s="48" t="s">
        <v>141</v>
      </c>
    </row>
    <row r="69" spans="1:6">
      <c r="A69" t="s">
        <v>141</v>
      </c>
      <c r="B69" t="s">
        <v>360</v>
      </c>
      <c r="C69" t="s">
        <v>361</v>
      </c>
      <c r="D69">
        <v>2</v>
      </c>
      <c r="E69" t="s">
        <v>373</v>
      </c>
      <c r="F69" t="s">
        <v>363</v>
      </c>
    </row>
    <row r="70" spans="1:6">
      <c r="A70" s="48" t="s">
        <v>141</v>
      </c>
      <c r="B70" s="48" t="s">
        <v>364</v>
      </c>
      <c r="C70" s="48" t="s">
        <v>365</v>
      </c>
      <c r="D70" s="48">
        <v>1</v>
      </c>
      <c r="E70" s="48" t="s">
        <v>141</v>
      </c>
      <c r="F70" s="48" t="s">
        <v>74</v>
      </c>
    </row>
    <row r="71" spans="1:6">
      <c r="A71" s="48" t="s">
        <v>141</v>
      </c>
      <c r="B71" s="48" t="s">
        <v>364</v>
      </c>
      <c r="C71" s="48" t="s">
        <v>365</v>
      </c>
      <c r="D71" s="48">
        <v>2</v>
      </c>
      <c r="E71" s="48" t="s">
        <v>74</v>
      </c>
      <c r="F71" s="48" t="s">
        <v>12</v>
      </c>
    </row>
    <row r="72" spans="1:6">
      <c r="A72" s="48" t="s">
        <v>141</v>
      </c>
      <c r="B72" s="48" t="s">
        <v>364</v>
      </c>
      <c r="C72" s="48" t="s">
        <v>361</v>
      </c>
      <c r="D72" s="48">
        <v>1</v>
      </c>
      <c r="E72" s="48" t="s">
        <v>127</v>
      </c>
      <c r="F72" s="48" t="s">
        <v>141</v>
      </c>
    </row>
    <row r="73" spans="1:6">
      <c r="A73" s="48" t="s">
        <v>141</v>
      </c>
      <c r="B73" s="48" t="s">
        <v>364</v>
      </c>
      <c r="C73" s="48" t="s">
        <v>361</v>
      </c>
      <c r="D73" s="48">
        <v>2</v>
      </c>
      <c r="E73" s="48" t="s">
        <v>132</v>
      </c>
      <c r="F73" s="48" t="s">
        <v>127</v>
      </c>
    </row>
    <row r="74" spans="1:6">
      <c r="A74" s="48" t="s">
        <v>141</v>
      </c>
      <c r="B74" s="48" t="s">
        <v>367</v>
      </c>
      <c r="C74" s="48" t="s">
        <v>365</v>
      </c>
      <c r="D74" s="48">
        <v>1</v>
      </c>
      <c r="E74" s="48" t="s">
        <v>141</v>
      </c>
      <c r="F74" s="48" t="s">
        <v>86</v>
      </c>
    </row>
    <row r="75" spans="1:6">
      <c r="A75" s="48" t="s">
        <v>141</v>
      </c>
      <c r="B75" s="48" t="s">
        <v>367</v>
      </c>
      <c r="C75" s="48" t="s">
        <v>365</v>
      </c>
      <c r="D75" s="48">
        <v>1</v>
      </c>
      <c r="E75" s="48" t="s">
        <v>141</v>
      </c>
      <c r="F75" s="48" t="s">
        <v>103</v>
      </c>
    </row>
    <row r="76" spans="1:6">
      <c r="A76" t="s">
        <v>141</v>
      </c>
      <c r="B76" t="s">
        <v>367</v>
      </c>
      <c r="C76" t="s">
        <v>365</v>
      </c>
      <c r="D76">
        <v>2</v>
      </c>
      <c r="E76" t="s">
        <v>86</v>
      </c>
      <c r="F76" t="s">
        <v>12</v>
      </c>
    </row>
    <row r="77" spans="1:6">
      <c r="A77" t="s">
        <v>141</v>
      </c>
      <c r="B77" t="s">
        <v>367</v>
      </c>
      <c r="C77" t="s">
        <v>365</v>
      </c>
      <c r="D77">
        <v>2</v>
      </c>
      <c r="E77" t="s">
        <v>103</v>
      </c>
      <c r="F77" t="s">
        <v>12</v>
      </c>
    </row>
    <row r="78" spans="1:6">
      <c r="A78" t="s">
        <v>141</v>
      </c>
      <c r="B78" t="s">
        <v>367</v>
      </c>
      <c r="C78" s="48" t="s">
        <v>361</v>
      </c>
      <c r="D78" s="48">
        <v>1</v>
      </c>
      <c r="E78" s="48" t="s">
        <v>147</v>
      </c>
      <c r="F78" s="48" t="s">
        <v>141</v>
      </c>
    </row>
    <row r="79" spans="1:6">
      <c r="A79" t="s">
        <v>141</v>
      </c>
      <c r="B79" t="s">
        <v>367</v>
      </c>
      <c r="C79" s="48" t="s">
        <v>361</v>
      </c>
      <c r="D79" s="48">
        <v>1</v>
      </c>
      <c r="E79" s="48" t="s">
        <v>66</v>
      </c>
      <c r="F79" s="48" t="s">
        <v>141</v>
      </c>
    </row>
    <row r="80" spans="1:6">
      <c r="A80" t="s">
        <v>141</v>
      </c>
      <c r="B80" t="s">
        <v>367</v>
      </c>
      <c r="C80" t="s">
        <v>361</v>
      </c>
      <c r="D80">
        <v>2</v>
      </c>
      <c r="E80" t="s">
        <v>136</v>
      </c>
      <c r="F80" t="s">
        <v>147</v>
      </c>
    </row>
    <row r="81" spans="1:6">
      <c r="A81" t="s">
        <v>141</v>
      </c>
      <c r="B81" t="s">
        <v>367</v>
      </c>
      <c r="C81" t="s">
        <v>361</v>
      </c>
      <c r="D81">
        <v>2</v>
      </c>
      <c r="E81" t="s">
        <v>136</v>
      </c>
      <c r="F81" t="s">
        <v>66</v>
      </c>
    </row>
    <row r="82" spans="1:6">
      <c r="A82" t="s">
        <v>141</v>
      </c>
      <c r="B82" t="s">
        <v>369</v>
      </c>
      <c r="C82" t="s">
        <v>365</v>
      </c>
      <c r="D82">
        <v>1</v>
      </c>
      <c r="E82" t="s">
        <v>141</v>
      </c>
      <c r="F82" t="s">
        <v>12</v>
      </c>
    </row>
    <row r="83" spans="1:6">
      <c r="A83" t="s">
        <v>141</v>
      </c>
      <c r="B83" t="s">
        <v>369</v>
      </c>
      <c r="C83" t="s">
        <v>361</v>
      </c>
      <c r="D83">
        <v>1</v>
      </c>
      <c r="E83" t="s">
        <v>173</v>
      </c>
      <c r="F83" t="s">
        <v>141</v>
      </c>
    </row>
    <row r="84" spans="1:6">
      <c r="A84" t="s">
        <v>141</v>
      </c>
      <c r="B84" t="s">
        <v>369</v>
      </c>
      <c r="C84" t="s">
        <v>361</v>
      </c>
      <c r="D84">
        <v>1</v>
      </c>
      <c r="E84" t="s">
        <v>176</v>
      </c>
      <c r="F84" t="s">
        <v>141</v>
      </c>
    </row>
    <row r="85" spans="1:6">
      <c r="A85" t="s">
        <v>141</v>
      </c>
      <c r="B85" t="s">
        <v>369</v>
      </c>
      <c r="C85" t="s">
        <v>361</v>
      </c>
      <c r="D85">
        <v>1</v>
      </c>
      <c r="E85" t="s">
        <v>177</v>
      </c>
      <c r="F85" t="s">
        <v>141</v>
      </c>
    </row>
    <row r="86" spans="1:6">
      <c r="A86" t="s">
        <v>141</v>
      </c>
      <c r="B86" t="s">
        <v>370</v>
      </c>
      <c r="C86" t="s">
        <v>365</v>
      </c>
      <c r="D86">
        <v>1</v>
      </c>
      <c r="E86" t="s">
        <v>141</v>
      </c>
      <c r="F86" t="s">
        <v>12</v>
      </c>
    </row>
    <row r="87" spans="1:6">
      <c r="A87" t="s">
        <v>141</v>
      </c>
      <c r="B87" t="s">
        <v>370</v>
      </c>
      <c r="C87" t="s">
        <v>361</v>
      </c>
      <c r="D87">
        <v>1</v>
      </c>
      <c r="E87" t="s">
        <v>371</v>
      </c>
      <c r="F87" t="s">
        <v>141</v>
      </c>
    </row>
    <row r="88" spans="1:6">
      <c r="A88" t="s">
        <v>141</v>
      </c>
      <c r="B88" t="s">
        <v>370</v>
      </c>
      <c r="C88" t="s">
        <v>361</v>
      </c>
      <c r="D88">
        <v>1</v>
      </c>
      <c r="E88" t="s">
        <v>372</v>
      </c>
      <c r="F88" t="s">
        <v>141</v>
      </c>
    </row>
    <row r="89" spans="1:6">
      <c r="A89" t="s">
        <v>141</v>
      </c>
      <c r="B89" t="s">
        <v>370</v>
      </c>
      <c r="C89" t="s">
        <v>361</v>
      </c>
      <c r="D89">
        <v>2</v>
      </c>
      <c r="E89" t="s">
        <v>268</v>
      </c>
      <c r="F89" t="s">
        <v>371</v>
      </c>
    </row>
    <row r="90" spans="1:6">
      <c r="A90" t="s">
        <v>141</v>
      </c>
      <c r="B90" t="s">
        <v>370</v>
      </c>
      <c r="C90" t="s">
        <v>361</v>
      </c>
      <c r="D90">
        <v>2</v>
      </c>
      <c r="E90" t="s">
        <v>268</v>
      </c>
      <c r="F9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Atomiton</dc:creator>
  <cp:keywords/>
  <dc:description/>
  <cp:lastModifiedBy/>
  <cp:revision/>
  <dcterms:created xsi:type="dcterms:W3CDTF">2026-03-16T05:59:33Z</dcterms:created>
  <dcterms:modified xsi:type="dcterms:W3CDTF">2026-03-18T03:29:21Z</dcterms:modified>
  <cp:category/>
  <cp:contentStatus/>
</cp:coreProperties>
</file>