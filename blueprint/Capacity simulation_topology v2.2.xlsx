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e/Documents/AT 2026/Product/Blueprint/"/>
    </mc:Choice>
  </mc:AlternateContent>
  <xr:revisionPtr revIDLastSave="0" documentId="13_ncr:1_{DCEC2E82-F402-D54E-8D75-83EEEAA2C518}" xr6:coauthVersionLast="47" xr6:coauthVersionMax="47" xr10:uidLastSave="{00000000-0000-0000-0000-000000000000}"/>
  <bookViews>
    <workbookView xWindow="4680" yWindow="500" windowWidth="36140" windowHeight="28040" activeTab="8" xr2:uid="{95D1C6BE-2E1F-C146-8885-4098F5C9126A}"/>
  </bookViews>
  <sheets>
    <sheet name="Spatial" sheetId="10" r:id="rId1"/>
    <sheet name="Zone-Aisle" sheetId="32" r:id="rId2"/>
    <sheet name="Sheet2" sheetId="48" r:id="rId3"/>
    <sheet name="Master_Rack" sheetId="11" r:id="rId4"/>
    <sheet name="Load_Margin" sheetId="38" r:id="rId5"/>
    <sheet name="CC" sheetId="19" r:id="rId6"/>
    <sheet name="Cooling-Rack" sheetId="12" r:id="rId7"/>
    <sheet name="Cooling-Dist" sheetId="13" r:id="rId8"/>
    <sheet name="Constraints" sheetId="27" r:id="rId9"/>
    <sheet name="Upstream" sheetId="42" r:id="rId10"/>
    <sheet name="Sheet1" sheetId="47" r:id="rId11"/>
    <sheet name="UpstreamType" sheetId="43" r:id="rId12"/>
    <sheet name="Deployment" sheetId="23" r:id="rId13"/>
    <sheet name="Device Rating Ref" sheetId="33" r:id="rId14"/>
    <sheet name="Capacity Name Ref" sheetId="39" r:id="rId15"/>
  </sheets>
  <calcPr calcId="191029"/>
  <pivotCaches>
    <pivotCache cacheId="29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6" i="27" l="1"/>
  <c r="AY85" i="27"/>
  <c r="AY84" i="27"/>
  <c r="AY83" i="27"/>
  <c r="AY82" i="27"/>
  <c r="AX83" i="27"/>
  <c r="BQ3" i="11"/>
  <c r="BR3" i="11"/>
  <c r="BS3" i="11"/>
  <c r="BT3" i="11"/>
  <c r="BU3" i="11"/>
  <c r="BV3" i="11"/>
  <c r="BQ4" i="11"/>
  <c r="BR4" i="11"/>
  <c r="BS4" i="11"/>
  <c r="BT4" i="11"/>
  <c r="BU4" i="11"/>
  <c r="BV4" i="11"/>
  <c r="BQ5" i="11"/>
  <c r="BR5" i="11"/>
  <c r="BS5" i="11"/>
  <c r="BT5" i="11"/>
  <c r="BU5" i="11"/>
  <c r="BV5" i="11"/>
  <c r="BQ6" i="11"/>
  <c r="BR6" i="11"/>
  <c r="BS6" i="11"/>
  <c r="BT6" i="11"/>
  <c r="BU6" i="11"/>
  <c r="BV6" i="11"/>
  <c r="BQ7" i="11"/>
  <c r="BR7" i="11"/>
  <c r="BS7" i="11"/>
  <c r="BT7" i="11"/>
  <c r="BU7" i="11"/>
  <c r="BV7" i="11"/>
  <c r="BQ8" i="11"/>
  <c r="BR8" i="11"/>
  <c r="BS8" i="11"/>
  <c r="BT8" i="11"/>
  <c r="BU8" i="11"/>
  <c r="BV8" i="11"/>
  <c r="BQ9" i="11"/>
  <c r="BR9" i="11"/>
  <c r="BS9" i="11"/>
  <c r="BT9" i="11"/>
  <c r="BU9" i="11"/>
  <c r="BV9" i="11"/>
  <c r="BQ10" i="11"/>
  <c r="BR10" i="11"/>
  <c r="BS10" i="11"/>
  <c r="BT10" i="11"/>
  <c r="BU10" i="11"/>
  <c r="BV10" i="11"/>
  <c r="BQ11" i="11"/>
  <c r="BR11" i="11"/>
  <c r="BS11" i="11"/>
  <c r="BT11" i="11"/>
  <c r="BU11" i="11"/>
  <c r="BV11" i="11"/>
  <c r="BQ12" i="11"/>
  <c r="BR12" i="11"/>
  <c r="BS12" i="11"/>
  <c r="BT12" i="11"/>
  <c r="BU12" i="11"/>
  <c r="BV12" i="11"/>
  <c r="BQ13" i="11"/>
  <c r="BR13" i="11"/>
  <c r="BS13" i="11"/>
  <c r="BT13" i="11"/>
  <c r="BU13" i="11"/>
  <c r="BV13" i="11"/>
  <c r="BQ14" i="11"/>
  <c r="BR14" i="11"/>
  <c r="BS14" i="11"/>
  <c r="BT14" i="11"/>
  <c r="BU14" i="11"/>
  <c r="BV14" i="11"/>
  <c r="BQ15" i="11"/>
  <c r="BR15" i="11"/>
  <c r="BS15" i="11"/>
  <c r="BT15" i="11"/>
  <c r="BU15" i="11"/>
  <c r="BV15" i="11"/>
  <c r="BQ16" i="11"/>
  <c r="BR16" i="11"/>
  <c r="BS16" i="11"/>
  <c r="BT16" i="11"/>
  <c r="BU16" i="11"/>
  <c r="BV16" i="11"/>
  <c r="BQ17" i="11"/>
  <c r="BR17" i="11"/>
  <c r="BS17" i="11"/>
  <c r="BT17" i="11"/>
  <c r="BU17" i="11"/>
  <c r="BV17" i="11"/>
  <c r="BQ18" i="11"/>
  <c r="BR18" i="11"/>
  <c r="BS18" i="11"/>
  <c r="BT18" i="11"/>
  <c r="BU18" i="11"/>
  <c r="BV18" i="11"/>
  <c r="BQ19" i="11"/>
  <c r="BR19" i="11"/>
  <c r="BS19" i="11"/>
  <c r="BT19" i="11"/>
  <c r="BU19" i="11"/>
  <c r="BV19" i="11"/>
  <c r="BQ20" i="11"/>
  <c r="BR20" i="11"/>
  <c r="BS20" i="11"/>
  <c r="BT20" i="11"/>
  <c r="BU20" i="11"/>
  <c r="BV20" i="11"/>
  <c r="BQ21" i="11"/>
  <c r="BR21" i="11"/>
  <c r="BS21" i="11"/>
  <c r="BT21" i="11"/>
  <c r="BU21" i="11"/>
  <c r="BV21" i="11"/>
  <c r="BQ22" i="11"/>
  <c r="BR22" i="11"/>
  <c r="BS22" i="11"/>
  <c r="BT22" i="11"/>
  <c r="BU22" i="11"/>
  <c r="BV22" i="11"/>
  <c r="BQ23" i="11"/>
  <c r="BR23" i="11"/>
  <c r="BS23" i="11"/>
  <c r="BT23" i="11"/>
  <c r="BU23" i="11"/>
  <c r="BV23" i="11"/>
  <c r="BQ24" i="11"/>
  <c r="BR24" i="11"/>
  <c r="BS24" i="11"/>
  <c r="BT24" i="11"/>
  <c r="BU24" i="11"/>
  <c r="BV24" i="11"/>
  <c r="BQ25" i="11"/>
  <c r="BR25" i="11"/>
  <c r="BS25" i="11"/>
  <c r="BT25" i="11"/>
  <c r="BU25" i="11"/>
  <c r="BV25" i="11"/>
  <c r="BQ26" i="11"/>
  <c r="BR26" i="11"/>
  <c r="BS26" i="11"/>
  <c r="BT26" i="11"/>
  <c r="BU26" i="11"/>
  <c r="BV26" i="11"/>
  <c r="BQ27" i="11"/>
  <c r="BR27" i="11"/>
  <c r="BS27" i="11"/>
  <c r="BT27" i="11"/>
  <c r="BU27" i="11"/>
  <c r="BV27" i="11"/>
  <c r="BQ28" i="11"/>
  <c r="BR28" i="11"/>
  <c r="BS28" i="11"/>
  <c r="BT28" i="11"/>
  <c r="BU28" i="11"/>
  <c r="BV28" i="11"/>
  <c r="BQ29" i="11"/>
  <c r="BR29" i="11"/>
  <c r="BS29" i="11"/>
  <c r="BT29" i="11"/>
  <c r="BU29" i="11"/>
  <c r="BV29" i="11"/>
  <c r="BQ30" i="11"/>
  <c r="BR30" i="11"/>
  <c r="BS30" i="11"/>
  <c r="BT30" i="11"/>
  <c r="BU30" i="11"/>
  <c r="BV30" i="11"/>
  <c r="BQ31" i="11"/>
  <c r="BR31" i="11"/>
  <c r="BS31" i="11"/>
  <c r="BT31" i="11"/>
  <c r="BU31" i="11"/>
  <c r="BV31" i="11"/>
  <c r="BQ32" i="11"/>
  <c r="BR32" i="11"/>
  <c r="BS32" i="11"/>
  <c r="BT32" i="11"/>
  <c r="BU32" i="11"/>
  <c r="BV32" i="11"/>
  <c r="BQ33" i="11"/>
  <c r="BR33" i="11"/>
  <c r="BS33" i="11"/>
  <c r="BT33" i="11"/>
  <c r="BU33" i="11"/>
  <c r="BV33" i="11"/>
  <c r="BQ34" i="11"/>
  <c r="BR34" i="11"/>
  <c r="BS34" i="11"/>
  <c r="BT34" i="11"/>
  <c r="BU34" i="11"/>
  <c r="BV34" i="11"/>
  <c r="BQ35" i="11"/>
  <c r="BR35" i="11"/>
  <c r="BS35" i="11"/>
  <c r="BT35" i="11"/>
  <c r="BU35" i="11"/>
  <c r="BV35" i="11"/>
  <c r="BQ36" i="11"/>
  <c r="BR36" i="11"/>
  <c r="BS36" i="11"/>
  <c r="BT36" i="11"/>
  <c r="BU36" i="11"/>
  <c r="BV36" i="11"/>
  <c r="BQ37" i="11"/>
  <c r="BR37" i="11"/>
  <c r="BS37" i="11"/>
  <c r="BT37" i="11"/>
  <c r="BU37" i="11"/>
  <c r="BV37" i="11"/>
  <c r="BQ38" i="11"/>
  <c r="BR38" i="11"/>
  <c r="BS38" i="11"/>
  <c r="BT38" i="11"/>
  <c r="BU38" i="11"/>
  <c r="BV38" i="11"/>
  <c r="BQ39" i="11"/>
  <c r="BR39" i="11"/>
  <c r="BS39" i="11"/>
  <c r="BT39" i="11"/>
  <c r="BU39" i="11"/>
  <c r="BV39" i="11"/>
  <c r="BQ40" i="11"/>
  <c r="BR40" i="11"/>
  <c r="BS40" i="11"/>
  <c r="BT40" i="11"/>
  <c r="BU40" i="11"/>
  <c r="BV40" i="11"/>
  <c r="BQ41" i="11"/>
  <c r="BR41" i="11"/>
  <c r="BS41" i="11"/>
  <c r="BT41" i="11"/>
  <c r="BU41" i="11"/>
  <c r="BV41" i="11"/>
  <c r="BQ42" i="11"/>
  <c r="BR42" i="11"/>
  <c r="BS42" i="11"/>
  <c r="BT42" i="11"/>
  <c r="BU42" i="11"/>
  <c r="BV42" i="11"/>
  <c r="BQ43" i="11"/>
  <c r="BR43" i="11"/>
  <c r="BS43" i="11"/>
  <c r="BT43" i="11"/>
  <c r="BU43" i="11"/>
  <c r="BV43" i="11"/>
  <c r="BQ44" i="11"/>
  <c r="BR44" i="11"/>
  <c r="BS44" i="11"/>
  <c r="BT44" i="11"/>
  <c r="BU44" i="11"/>
  <c r="BV44" i="11"/>
  <c r="BQ45" i="11"/>
  <c r="BR45" i="11"/>
  <c r="BS45" i="11"/>
  <c r="BT45" i="11"/>
  <c r="BU45" i="11"/>
  <c r="BV45" i="11"/>
  <c r="BQ46" i="11"/>
  <c r="BR46" i="11"/>
  <c r="BS46" i="11"/>
  <c r="BT46" i="11"/>
  <c r="BU46" i="11"/>
  <c r="BV46" i="11"/>
  <c r="BQ47" i="11"/>
  <c r="BR47" i="11"/>
  <c r="BS47" i="11"/>
  <c r="BT47" i="11"/>
  <c r="BU47" i="11"/>
  <c r="BV47" i="11"/>
  <c r="BQ48" i="11"/>
  <c r="BR48" i="11"/>
  <c r="BS48" i="11"/>
  <c r="BT48" i="11"/>
  <c r="BU48" i="11"/>
  <c r="BV48" i="11"/>
  <c r="BQ49" i="11"/>
  <c r="BR49" i="11"/>
  <c r="BS49" i="11"/>
  <c r="BT49" i="11"/>
  <c r="BU49" i="11"/>
  <c r="BV49" i="11"/>
  <c r="BQ50" i="11"/>
  <c r="BR50" i="11"/>
  <c r="BS50" i="11"/>
  <c r="BT50" i="11"/>
  <c r="BU50" i="11"/>
  <c r="BV50" i="11"/>
  <c r="BQ51" i="11"/>
  <c r="BR51" i="11"/>
  <c r="BS51" i="11"/>
  <c r="BT51" i="11"/>
  <c r="BU51" i="11"/>
  <c r="BV51" i="11"/>
  <c r="BQ52" i="11"/>
  <c r="BR52" i="11"/>
  <c r="BS52" i="11"/>
  <c r="BT52" i="11"/>
  <c r="BU52" i="11"/>
  <c r="BV52" i="11"/>
  <c r="BQ53" i="11"/>
  <c r="BR53" i="11"/>
  <c r="BS53" i="11"/>
  <c r="BT53" i="11"/>
  <c r="BU53" i="11"/>
  <c r="BV53" i="11"/>
  <c r="BQ54" i="11"/>
  <c r="BR54" i="11"/>
  <c r="BS54" i="11"/>
  <c r="BT54" i="11"/>
  <c r="BU54" i="11"/>
  <c r="BV54" i="11"/>
  <c r="BQ55" i="11"/>
  <c r="BR55" i="11"/>
  <c r="BS55" i="11"/>
  <c r="BT55" i="11"/>
  <c r="BU55" i="11"/>
  <c r="BV55" i="11"/>
  <c r="BQ56" i="11"/>
  <c r="BR56" i="11"/>
  <c r="BS56" i="11"/>
  <c r="BT56" i="11"/>
  <c r="BU56" i="11"/>
  <c r="BV56" i="11"/>
  <c r="BQ57" i="11"/>
  <c r="BR57" i="11"/>
  <c r="BS57" i="11"/>
  <c r="BT57" i="11"/>
  <c r="BU57" i="11"/>
  <c r="BV57" i="11"/>
  <c r="BQ58" i="11"/>
  <c r="BR58" i="11"/>
  <c r="BS58" i="11"/>
  <c r="BT58" i="11"/>
  <c r="BU58" i="11"/>
  <c r="BV58" i="11"/>
  <c r="BQ59" i="11"/>
  <c r="BR59" i="11"/>
  <c r="BS59" i="11"/>
  <c r="BT59" i="11"/>
  <c r="BU59" i="11"/>
  <c r="BV59" i="11"/>
  <c r="BQ60" i="11"/>
  <c r="BR60" i="11"/>
  <c r="BS60" i="11"/>
  <c r="BT60" i="11"/>
  <c r="BU60" i="11"/>
  <c r="BV60" i="11"/>
  <c r="BQ61" i="11"/>
  <c r="BR61" i="11"/>
  <c r="BS61" i="11"/>
  <c r="BT61" i="11"/>
  <c r="BU61" i="11"/>
  <c r="BV61" i="11"/>
  <c r="BQ62" i="11"/>
  <c r="BR62" i="11"/>
  <c r="BS62" i="11"/>
  <c r="BT62" i="11"/>
  <c r="BU62" i="11"/>
  <c r="BV62" i="11"/>
  <c r="BQ63" i="11"/>
  <c r="BR63" i="11"/>
  <c r="BS63" i="11"/>
  <c r="BT63" i="11"/>
  <c r="BU63" i="11"/>
  <c r="BV63" i="11"/>
  <c r="BQ64" i="11"/>
  <c r="BR64" i="11"/>
  <c r="BS64" i="11"/>
  <c r="BT64" i="11"/>
  <c r="BU64" i="11"/>
  <c r="BV64" i="11"/>
  <c r="BQ65" i="11"/>
  <c r="BR65" i="11"/>
  <c r="BS65" i="11"/>
  <c r="BT65" i="11"/>
  <c r="BU65" i="11"/>
  <c r="BV65" i="11"/>
  <c r="BQ66" i="11"/>
  <c r="BR66" i="11"/>
  <c r="BS66" i="11"/>
  <c r="BT66" i="11"/>
  <c r="BU66" i="11"/>
  <c r="BV66" i="11"/>
  <c r="BQ67" i="11"/>
  <c r="BR67" i="11"/>
  <c r="BS67" i="11"/>
  <c r="BT67" i="11"/>
  <c r="BU67" i="11"/>
  <c r="BV67" i="11"/>
  <c r="BQ68" i="11"/>
  <c r="BR68" i="11"/>
  <c r="BS68" i="11"/>
  <c r="BT68" i="11"/>
  <c r="BU68" i="11"/>
  <c r="BV68" i="11"/>
  <c r="BQ69" i="11"/>
  <c r="BR69" i="11"/>
  <c r="BS69" i="11"/>
  <c r="BT69" i="11"/>
  <c r="BU69" i="11"/>
  <c r="BV69" i="11"/>
  <c r="BQ70" i="11"/>
  <c r="BR70" i="11"/>
  <c r="BS70" i="11"/>
  <c r="BT70" i="11"/>
  <c r="BU70" i="11"/>
  <c r="BV70" i="11"/>
  <c r="BQ71" i="11"/>
  <c r="BR71" i="11"/>
  <c r="BS71" i="11"/>
  <c r="BT71" i="11"/>
  <c r="BU71" i="11"/>
  <c r="BV71" i="11"/>
  <c r="BQ72" i="11"/>
  <c r="BR72" i="11"/>
  <c r="BS72" i="11"/>
  <c r="BT72" i="11"/>
  <c r="BU72" i="11"/>
  <c r="BV72" i="11"/>
  <c r="BQ73" i="11"/>
  <c r="BR73" i="11"/>
  <c r="BS73" i="11"/>
  <c r="BT73" i="11"/>
  <c r="BU73" i="11"/>
  <c r="BV73" i="11"/>
  <c r="BQ74" i="11"/>
  <c r="BR74" i="11"/>
  <c r="BS74" i="11"/>
  <c r="BT74" i="11"/>
  <c r="BU74" i="11"/>
  <c r="BV74" i="11"/>
  <c r="BQ75" i="11"/>
  <c r="BR75" i="11"/>
  <c r="BS75" i="11"/>
  <c r="BT75" i="11"/>
  <c r="BU75" i="11"/>
  <c r="BV75" i="11"/>
  <c r="BQ76" i="11"/>
  <c r="BR76" i="11"/>
  <c r="BS76" i="11"/>
  <c r="BT76" i="11"/>
  <c r="BU76" i="11"/>
  <c r="BV76" i="11"/>
  <c r="BQ77" i="11"/>
  <c r="BR77" i="11"/>
  <c r="BS77" i="11"/>
  <c r="BT77" i="11"/>
  <c r="BU77" i="11"/>
  <c r="BV77" i="11"/>
  <c r="BQ78" i="11"/>
  <c r="BR78" i="11"/>
  <c r="BS78" i="11"/>
  <c r="BT78" i="11"/>
  <c r="BU78" i="11"/>
  <c r="BV78" i="11"/>
  <c r="BQ79" i="11"/>
  <c r="BR79" i="11"/>
  <c r="BS79" i="11"/>
  <c r="BT79" i="11"/>
  <c r="BU79" i="11"/>
  <c r="BV79" i="11"/>
  <c r="BQ80" i="11"/>
  <c r="BR80" i="11"/>
  <c r="BS80" i="11"/>
  <c r="BT80" i="11"/>
  <c r="BU80" i="11"/>
  <c r="BV80" i="11"/>
  <c r="BQ81" i="11"/>
  <c r="BR81" i="11"/>
  <c r="BS81" i="11"/>
  <c r="BT81" i="11"/>
  <c r="BU81" i="11"/>
  <c r="BV81" i="11"/>
  <c r="BQ82" i="11"/>
  <c r="BR82" i="11"/>
  <c r="BS82" i="11"/>
  <c r="BT82" i="11"/>
  <c r="BU82" i="11"/>
  <c r="BV82" i="11"/>
  <c r="BQ83" i="11"/>
  <c r="BR83" i="11"/>
  <c r="BS83" i="11"/>
  <c r="BT83" i="11"/>
  <c r="BU83" i="11"/>
  <c r="BV83" i="11"/>
  <c r="BQ84" i="11"/>
  <c r="BR84" i="11"/>
  <c r="BS84" i="11"/>
  <c r="BT84" i="11"/>
  <c r="BU84" i="11"/>
  <c r="BV84" i="11"/>
  <c r="BQ85" i="11"/>
  <c r="BR85" i="11"/>
  <c r="BS85" i="11"/>
  <c r="BT85" i="11"/>
  <c r="BU85" i="11"/>
  <c r="BV85" i="11"/>
  <c r="BQ86" i="11"/>
  <c r="BR86" i="11"/>
  <c r="BS86" i="11"/>
  <c r="BT86" i="11"/>
  <c r="BU86" i="11"/>
  <c r="BV86" i="11"/>
  <c r="BQ87" i="11"/>
  <c r="BR87" i="11"/>
  <c r="BS87" i="11"/>
  <c r="BT87" i="11"/>
  <c r="BU87" i="11"/>
  <c r="BV87" i="11"/>
  <c r="BQ88" i="11"/>
  <c r="BR88" i="11"/>
  <c r="BS88" i="11"/>
  <c r="BT88" i="11"/>
  <c r="BU88" i="11"/>
  <c r="BV88" i="11"/>
  <c r="BQ89" i="11"/>
  <c r="BR89" i="11"/>
  <c r="BS89" i="11"/>
  <c r="BT89" i="11"/>
  <c r="BU89" i="11"/>
  <c r="BV89" i="11"/>
  <c r="BQ90" i="11"/>
  <c r="BR90" i="11"/>
  <c r="BS90" i="11"/>
  <c r="BT90" i="11"/>
  <c r="BU90" i="11"/>
  <c r="BV90" i="11"/>
  <c r="BQ91" i="11"/>
  <c r="BR91" i="11"/>
  <c r="BS91" i="11"/>
  <c r="BT91" i="11"/>
  <c r="BU91" i="11"/>
  <c r="BV91" i="11"/>
  <c r="BQ92" i="11"/>
  <c r="BR92" i="11"/>
  <c r="BS92" i="11"/>
  <c r="BT92" i="11"/>
  <c r="BU92" i="11"/>
  <c r="BV92" i="11"/>
  <c r="BQ93" i="11"/>
  <c r="BR93" i="11"/>
  <c r="BS93" i="11"/>
  <c r="BT93" i="11"/>
  <c r="BU93" i="11"/>
  <c r="BV93" i="11"/>
  <c r="BQ94" i="11"/>
  <c r="BR94" i="11"/>
  <c r="BS94" i="11"/>
  <c r="BT94" i="11"/>
  <c r="BU94" i="11"/>
  <c r="BV94" i="11"/>
  <c r="BQ95" i="11"/>
  <c r="BR95" i="11"/>
  <c r="BS95" i="11"/>
  <c r="BT95" i="11"/>
  <c r="BU95" i="11"/>
  <c r="BV95" i="11"/>
  <c r="BQ96" i="11"/>
  <c r="BR96" i="11"/>
  <c r="BS96" i="11"/>
  <c r="BT96" i="11"/>
  <c r="BU96" i="11"/>
  <c r="BV96" i="11"/>
  <c r="BQ97" i="11"/>
  <c r="BR97" i="11"/>
  <c r="BS97" i="11"/>
  <c r="BT97" i="11"/>
  <c r="BU97" i="11"/>
  <c r="BV97" i="11"/>
  <c r="BQ98" i="11"/>
  <c r="BR98" i="11"/>
  <c r="BS98" i="11"/>
  <c r="BT98" i="11"/>
  <c r="BU98" i="11"/>
  <c r="BV98" i="11"/>
  <c r="BQ99" i="11"/>
  <c r="BR99" i="11"/>
  <c r="BS99" i="11"/>
  <c r="BT99" i="11"/>
  <c r="BU99" i="11"/>
  <c r="BV99" i="11"/>
  <c r="BQ100" i="11"/>
  <c r="BR100" i="11"/>
  <c r="BS100" i="11"/>
  <c r="BT100" i="11"/>
  <c r="BU100" i="11"/>
  <c r="BV100" i="11"/>
  <c r="BQ101" i="11"/>
  <c r="BR101" i="11"/>
  <c r="BS101" i="11"/>
  <c r="BT101" i="11"/>
  <c r="BU101" i="11"/>
  <c r="BV101" i="11"/>
  <c r="BQ102" i="11"/>
  <c r="BR102" i="11"/>
  <c r="BS102" i="11"/>
  <c r="BT102" i="11"/>
  <c r="BU102" i="11"/>
  <c r="BV102" i="11"/>
  <c r="BQ103" i="11"/>
  <c r="BR103" i="11"/>
  <c r="BS103" i="11"/>
  <c r="BT103" i="11"/>
  <c r="BU103" i="11"/>
  <c r="BV103" i="11"/>
  <c r="BQ104" i="11"/>
  <c r="BR104" i="11"/>
  <c r="BS104" i="11"/>
  <c r="BT104" i="11"/>
  <c r="BU104" i="11"/>
  <c r="BV104" i="11"/>
  <c r="BQ105" i="11"/>
  <c r="BR105" i="11"/>
  <c r="BS105" i="11"/>
  <c r="BT105" i="11"/>
  <c r="BU105" i="11"/>
  <c r="BV105" i="11"/>
  <c r="BQ106" i="11"/>
  <c r="BR106" i="11"/>
  <c r="BS106" i="11"/>
  <c r="BT106" i="11"/>
  <c r="BU106" i="11"/>
  <c r="BV106" i="11"/>
  <c r="BQ107" i="11"/>
  <c r="BR107" i="11"/>
  <c r="BS107" i="11"/>
  <c r="BT107" i="11"/>
  <c r="BU107" i="11"/>
  <c r="BV107" i="11"/>
  <c r="BQ108" i="11"/>
  <c r="BR108" i="11"/>
  <c r="BS108" i="11"/>
  <c r="BT108" i="11"/>
  <c r="BU108" i="11"/>
  <c r="BV108" i="11"/>
  <c r="BQ109" i="11"/>
  <c r="BR109" i="11"/>
  <c r="BS109" i="11"/>
  <c r="BT109" i="11"/>
  <c r="BU109" i="11"/>
  <c r="BV109" i="11"/>
  <c r="BQ110" i="11"/>
  <c r="BR110" i="11"/>
  <c r="BS110" i="11"/>
  <c r="BT110" i="11"/>
  <c r="BU110" i="11"/>
  <c r="BV110" i="11"/>
  <c r="BQ111" i="11"/>
  <c r="BR111" i="11"/>
  <c r="BS111" i="11"/>
  <c r="BT111" i="11"/>
  <c r="BU111" i="11"/>
  <c r="BV111" i="11"/>
  <c r="BQ112" i="11"/>
  <c r="BR112" i="11"/>
  <c r="BS112" i="11"/>
  <c r="BT112" i="11"/>
  <c r="BU112" i="11"/>
  <c r="BV112" i="11"/>
  <c r="BQ113" i="11"/>
  <c r="BR113" i="11"/>
  <c r="BS113" i="11"/>
  <c r="BT113" i="11"/>
  <c r="BU113" i="11"/>
  <c r="BV113" i="11"/>
  <c r="BQ114" i="11"/>
  <c r="BR114" i="11"/>
  <c r="BS114" i="11"/>
  <c r="BT114" i="11"/>
  <c r="BU114" i="11"/>
  <c r="BV114" i="11"/>
  <c r="BQ115" i="11"/>
  <c r="BR115" i="11"/>
  <c r="BS115" i="11"/>
  <c r="BT115" i="11"/>
  <c r="BU115" i="11"/>
  <c r="BV115" i="11"/>
  <c r="BQ116" i="11"/>
  <c r="BR116" i="11"/>
  <c r="BS116" i="11"/>
  <c r="BT116" i="11"/>
  <c r="BU116" i="11"/>
  <c r="BV116" i="11"/>
  <c r="BQ117" i="11"/>
  <c r="BR117" i="11"/>
  <c r="BS117" i="11"/>
  <c r="BT117" i="11"/>
  <c r="BU117" i="11"/>
  <c r="BV117" i="11"/>
  <c r="BQ118" i="11"/>
  <c r="BR118" i="11"/>
  <c r="BS118" i="11"/>
  <c r="BT118" i="11"/>
  <c r="BU118" i="11"/>
  <c r="BV118" i="11"/>
  <c r="BQ119" i="11"/>
  <c r="BR119" i="11"/>
  <c r="BS119" i="11"/>
  <c r="BT119" i="11"/>
  <c r="BU119" i="11"/>
  <c r="BV119" i="11"/>
  <c r="BQ120" i="11"/>
  <c r="BR120" i="11"/>
  <c r="BS120" i="11"/>
  <c r="BT120" i="11"/>
  <c r="BU120" i="11"/>
  <c r="BV120" i="11"/>
  <c r="BQ121" i="11"/>
  <c r="BR121" i="11"/>
  <c r="BS121" i="11"/>
  <c r="BT121" i="11"/>
  <c r="BU121" i="11"/>
  <c r="BV121" i="11"/>
  <c r="BQ122" i="11"/>
  <c r="BR122" i="11"/>
  <c r="BS122" i="11"/>
  <c r="BT122" i="11"/>
  <c r="BU122" i="11"/>
  <c r="BV122" i="11"/>
  <c r="BQ123" i="11"/>
  <c r="BR123" i="11"/>
  <c r="BS123" i="11"/>
  <c r="BT123" i="11"/>
  <c r="BU123" i="11"/>
  <c r="BV123" i="11"/>
  <c r="BQ124" i="11"/>
  <c r="BR124" i="11"/>
  <c r="BS124" i="11"/>
  <c r="BT124" i="11"/>
  <c r="BU124" i="11"/>
  <c r="BV124" i="11"/>
  <c r="BQ125" i="11"/>
  <c r="BR125" i="11"/>
  <c r="BS125" i="11"/>
  <c r="BT125" i="11"/>
  <c r="BU125" i="11"/>
  <c r="BV125" i="11"/>
  <c r="BQ126" i="11"/>
  <c r="BR126" i="11"/>
  <c r="BS126" i="11"/>
  <c r="BT126" i="11"/>
  <c r="BU126" i="11"/>
  <c r="BV126" i="11"/>
  <c r="BQ127" i="11"/>
  <c r="BR127" i="11"/>
  <c r="BS127" i="11"/>
  <c r="BT127" i="11"/>
  <c r="BU127" i="11"/>
  <c r="BV127" i="11"/>
  <c r="BQ128" i="11"/>
  <c r="BR128" i="11"/>
  <c r="BS128" i="11"/>
  <c r="BT128" i="11"/>
  <c r="BU128" i="11"/>
  <c r="BV128" i="11"/>
  <c r="BQ129" i="11"/>
  <c r="BR129" i="11"/>
  <c r="BS129" i="11"/>
  <c r="BT129" i="11"/>
  <c r="BU129" i="11"/>
  <c r="BV129" i="11"/>
  <c r="BQ130" i="11"/>
  <c r="BR130" i="11"/>
  <c r="BS130" i="11"/>
  <c r="BT130" i="11"/>
  <c r="BU130" i="11"/>
  <c r="BV130" i="11"/>
  <c r="BQ131" i="11"/>
  <c r="BR131" i="11"/>
  <c r="BS131" i="11"/>
  <c r="BT131" i="11"/>
  <c r="BU131" i="11"/>
  <c r="BV131" i="11"/>
  <c r="BQ132" i="11"/>
  <c r="BR132" i="11"/>
  <c r="BS132" i="11"/>
  <c r="BT132" i="11"/>
  <c r="BU132" i="11"/>
  <c r="BV132" i="11"/>
  <c r="BQ133" i="11"/>
  <c r="BR133" i="11"/>
  <c r="BS133" i="11"/>
  <c r="BT133" i="11"/>
  <c r="BU133" i="11"/>
  <c r="BV133" i="11"/>
  <c r="BQ134" i="11"/>
  <c r="BR134" i="11"/>
  <c r="BS134" i="11"/>
  <c r="BT134" i="11"/>
  <c r="BU134" i="11"/>
  <c r="BV134" i="11"/>
  <c r="BQ135" i="11"/>
  <c r="BR135" i="11"/>
  <c r="BS135" i="11"/>
  <c r="BT135" i="11"/>
  <c r="BU135" i="11"/>
  <c r="BV135" i="11"/>
  <c r="BQ136" i="11"/>
  <c r="BR136" i="11"/>
  <c r="BS136" i="11"/>
  <c r="BT136" i="11"/>
  <c r="BU136" i="11"/>
  <c r="BV136" i="11"/>
  <c r="BQ137" i="11"/>
  <c r="BR137" i="11"/>
  <c r="BS137" i="11"/>
  <c r="BT137" i="11"/>
  <c r="BU137" i="11"/>
  <c r="BV137" i="11"/>
  <c r="BQ138" i="11"/>
  <c r="BR138" i="11"/>
  <c r="BS138" i="11"/>
  <c r="BT138" i="11"/>
  <c r="BU138" i="11"/>
  <c r="BV138" i="11"/>
  <c r="BQ139" i="11"/>
  <c r="BR139" i="11"/>
  <c r="BS139" i="11"/>
  <c r="BT139" i="11"/>
  <c r="BU139" i="11"/>
  <c r="BV139" i="11"/>
  <c r="BQ140" i="11"/>
  <c r="BR140" i="11"/>
  <c r="BS140" i="11"/>
  <c r="BT140" i="11"/>
  <c r="BU140" i="11"/>
  <c r="BV140" i="11"/>
  <c r="BQ141" i="11"/>
  <c r="BR141" i="11"/>
  <c r="BS141" i="11"/>
  <c r="BT141" i="11"/>
  <c r="BU141" i="11"/>
  <c r="BV141" i="11"/>
  <c r="BQ142" i="11"/>
  <c r="BR142" i="11"/>
  <c r="BS142" i="11"/>
  <c r="BT142" i="11"/>
  <c r="BU142" i="11"/>
  <c r="BV142" i="11"/>
  <c r="BQ143" i="11"/>
  <c r="BR143" i="11"/>
  <c r="BS143" i="11"/>
  <c r="BT143" i="11"/>
  <c r="BU143" i="11"/>
  <c r="BV143" i="11"/>
  <c r="BQ144" i="11"/>
  <c r="BR144" i="11"/>
  <c r="BS144" i="11"/>
  <c r="BT144" i="11"/>
  <c r="BU144" i="11"/>
  <c r="BV144" i="11"/>
  <c r="BQ145" i="11"/>
  <c r="BR145" i="11"/>
  <c r="BS145" i="11"/>
  <c r="BT145" i="11"/>
  <c r="BU145" i="11"/>
  <c r="BV145" i="11"/>
  <c r="BQ146" i="11"/>
  <c r="BR146" i="11"/>
  <c r="BS146" i="11"/>
  <c r="BT146" i="11"/>
  <c r="BU146" i="11"/>
  <c r="BV146" i="11"/>
  <c r="BQ147" i="11"/>
  <c r="BR147" i="11"/>
  <c r="BS147" i="11"/>
  <c r="BT147" i="11"/>
  <c r="BU147" i="11"/>
  <c r="BV147" i="11"/>
  <c r="BQ148" i="11"/>
  <c r="BR148" i="11"/>
  <c r="BS148" i="11"/>
  <c r="BT148" i="11"/>
  <c r="BU148" i="11"/>
  <c r="BV148" i="11"/>
  <c r="BQ149" i="11"/>
  <c r="BR149" i="11"/>
  <c r="BS149" i="11"/>
  <c r="BT149" i="11"/>
  <c r="BU149" i="11"/>
  <c r="BV149" i="11"/>
  <c r="BQ150" i="11"/>
  <c r="BR150" i="11"/>
  <c r="BS150" i="11"/>
  <c r="BT150" i="11"/>
  <c r="BU150" i="11"/>
  <c r="BV150" i="11"/>
  <c r="BQ151" i="11"/>
  <c r="BR151" i="11"/>
  <c r="BS151" i="11"/>
  <c r="BT151" i="11"/>
  <c r="BU151" i="11"/>
  <c r="BV151" i="11"/>
  <c r="BQ152" i="11"/>
  <c r="BR152" i="11"/>
  <c r="BS152" i="11"/>
  <c r="BT152" i="11"/>
  <c r="BU152" i="11"/>
  <c r="BV152" i="11"/>
  <c r="BQ153" i="11"/>
  <c r="BR153" i="11"/>
  <c r="BS153" i="11"/>
  <c r="BT153" i="11"/>
  <c r="BU153" i="11"/>
  <c r="BV153" i="11"/>
  <c r="BQ154" i="11"/>
  <c r="BR154" i="11"/>
  <c r="BS154" i="11"/>
  <c r="BT154" i="11"/>
  <c r="BU154" i="11"/>
  <c r="BV154" i="11"/>
  <c r="BQ155" i="11"/>
  <c r="BR155" i="11"/>
  <c r="BS155" i="11"/>
  <c r="BT155" i="11"/>
  <c r="BU155" i="11"/>
  <c r="BV155" i="11"/>
  <c r="BQ156" i="11"/>
  <c r="BR156" i="11"/>
  <c r="BS156" i="11"/>
  <c r="BT156" i="11"/>
  <c r="BU156" i="11"/>
  <c r="BV156" i="11"/>
  <c r="BQ157" i="11"/>
  <c r="BR157" i="11"/>
  <c r="BS157" i="11"/>
  <c r="BT157" i="11"/>
  <c r="BU157" i="11"/>
  <c r="BV157" i="11"/>
  <c r="BQ158" i="11"/>
  <c r="BR158" i="11"/>
  <c r="BS158" i="11"/>
  <c r="BT158" i="11"/>
  <c r="BU158" i="11"/>
  <c r="BV158" i="11"/>
  <c r="BQ159" i="11"/>
  <c r="BR159" i="11"/>
  <c r="BS159" i="11"/>
  <c r="BT159" i="11"/>
  <c r="BU159" i="11"/>
  <c r="BV159" i="11"/>
  <c r="BQ160" i="11"/>
  <c r="BR160" i="11"/>
  <c r="BS160" i="11"/>
  <c r="BT160" i="11"/>
  <c r="BU160" i="11"/>
  <c r="BV160" i="11"/>
  <c r="BQ161" i="11"/>
  <c r="BR161" i="11"/>
  <c r="BS161" i="11"/>
  <c r="BT161" i="11"/>
  <c r="BU161" i="11"/>
  <c r="BV161" i="11"/>
  <c r="BQ162" i="11"/>
  <c r="BR162" i="11"/>
  <c r="BS162" i="11"/>
  <c r="BT162" i="11"/>
  <c r="BU162" i="11"/>
  <c r="BV162" i="11"/>
  <c r="BQ163" i="11"/>
  <c r="BR163" i="11"/>
  <c r="BS163" i="11"/>
  <c r="BT163" i="11"/>
  <c r="BU163" i="11"/>
  <c r="BV163" i="11"/>
  <c r="BQ164" i="11"/>
  <c r="BR164" i="11"/>
  <c r="BS164" i="11"/>
  <c r="BT164" i="11"/>
  <c r="BU164" i="11"/>
  <c r="BV164" i="11"/>
  <c r="BQ165" i="11"/>
  <c r="BR165" i="11"/>
  <c r="BS165" i="11"/>
  <c r="BT165" i="11"/>
  <c r="BU165" i="11"/>
  <c r="BV165" i="11"/>
  <c r="BQ166" i="11"/>
  <c r="BR166" i="11"/>
  <c r="BS166" i="11"/>
  <c r="BT166" i="11"/>
  <c r="BU166" i="11"/>
  <c r="BV166" i="11"/>
  <c r="BQ167" i="11"/>
  <c r="BR167" i="11"/>
  <c r="BS167" i="11"/>
  <c r="BT167" i="11"/>
  <c r="BU167" i="11"/>
  <c r="BV167" i="11"/>
  <c r="BQ168" i="11"/>
  <c r="BR168" i="11"/>
  <c r="BS168" i="11"/>
  <c r="BT168" i="11"/>
  <c r="BU168" i="11"/>
  <c r="BV168" i="11"/>
  <c r="BQ169" i="11"/>
  <c r="BR169" i="11"/>
  <c r="BS169" i="11"/>
  <c r="BT169" i="11"/>
  <c r="BU169" i="11"/>
  <c r="BV169" i="11"/>
  <c r="BQ170" i="11"/>
  <c r="BR170" i="11"/>
  <c r="BS170" i="11"/>
  <c r="BT170" i="11"/>
  <c r="BU170" i="11"/>
  <c r="BV170" i="11"/>
  <c r="BQ171" i="11"/>
  <c r="BR171" i="11"/>
  <c r="BS171" i="11"/>
  <c r="BT171" i="11"/>
  <c r="BU171" i="11"/>
  <c r="BV171" i="11"/>
  <c r="BQ172" i="11"/>
  <c r="BR172" i="11"/>
  <c r="BS172" i="11"/>
  <c r="BT172" i="11"/>
  <c r="BU172" i="11"/>
  <c r="BV172" i="11"/>
  <c r="BQ173" i="11"/>
  <c r="BR173" i="11"/>
  <c r="BS173" i="11"/>
  <c r="BT173" i="11"/>
  <c r="BU173" i="11"/>
  <c r="BV173" i="11"/>
  <c r="BQ174" i="11"/>
  <c r="BR174" i="11"/>
  <c r="BS174" i="11"/>
  <c r="BT174" i="11"/>
  <c r="BU174" i="11"/>
  <c r="BV174" i="11"/>
  <c r="BQ175" i="11"/>
  <c r="BR175" i="11"/>
  <c r="BS175" i="11"/>
  <c r="BT175" i="11"/>
  <c r="BU175" i="11"/>
  <c r="BV175" i="11"/>
  <c r="BQ176" i="11"/>
  <c r="BR176" i="11"/>
  <c r="BS176" i="11"/>
  <c r="BT176" i="11"/>
  <c r="BU176" i="11"/>
  <c r="BV176" i="11"/>
  <c r="BQ177" i="11"/>
  <c r="BR177" i="11"/>
  <c r="BS177" i="11"/>
  <c r="BT177" i="11"/>
  <c r="BU177" i="11"/>
  <c r="BV177" i="11"/>
  <c r="BQ178" i="11"/>
  <c r="BR178" i="11"/>
  <c r="BS178" i="11"/>
  <c r="BT178" i="11"/>
  <c r="BU178" i="11"/>
  <c r="BV178" i="11"/>
  <c r="BQ179" i="11"/>
  <c r="BR179" i="11"/>
  <c r="BS179" i="11"/>
  <c r="BT179" i="11"/>
  <c r="BU179" i="11"/>
  <c r="BV179" i="11"/>
  <c r="BQ180" i="11"/>
  <c r="BR180" i="11"/>
  <c r="BS180" i="11"/>
  <c r="BT180" i="11"/>
  <c r="BU180" i="11"/>
  <c r="BV180" i="11"/>
  <c r="BQ181" i="11"/>
  <c r="BR181" i="11"/>
  <c r="BS181" i="11"/>
  <c r="BT181" i="11"/>
  <c r="BU181" i="11"/>
  <c r="BV181" i="11"/>
  <c r="BQ182" i="11"/>
  <c r="BR182" i="11"/>
  <c r="BS182" i="11"/>
  <c r="BT182" i="11"/>
  <c r="BU182" i="11"/>
  <c r="BV182" i="11"/>
  <c r="BQ183" i="11"/>
  <c r="BR183" i="11"/>
  <c r="BS183" i="11"/>
  <c r="BT183" i="11"/>
  <c r="BU183" i="11"/>
  <c r="BV183" i="11"/>
  <c r="BQ184" i="11"/>
  <c r="BR184" i="11"/>
  <c r="BS184" i="11"/>
  <c r="BT184" i="11"/>
  <c r="BU184" i="11"/>
  <c r="BV184" i="11"/>
  <c r="BQ185" i="11"/>
  <c r="BR185" i="11"/>
  <c r="BS185" i="11"/>
  <c r="BT185" i="11"/>
  <c r="BU185" i="11"/>
  <c r="BV185" i="11"/>
  <c r="BQ186" i="11"/>
  <c r="BR186" i="11"/>
  <c r="BS186" i="11"/>
  <c r="BT186" i="11"/>
  <c r="BU186" i="11"/>
  <c r="BV186" i="11"/>
  <c r="BQ187" i="11"/>
  <c r="BR187" i="11"/>
  <c r="BS187" i="11"/>
  <c r="BT187" i="11"/>
  <c r="BU187" i="11"/>
  <c r="BV187" i="11"/>
  <c r="BQ188" i="11"/>
  <c r="BR188" i="11"/>
  <c r="BS188" i="11"/>
  <c r="BT188" i="11"/>
  <c r="BU188" i="11"/>
  <c r="BV188" i="11"/>
  <c r="BQ189" i="11"/>
  <c r="BR189" i="11"/>
  <c r="BS189" i="11"/>
  <c r="BT189" i="11"/>
  <c r="BU189" i="11"/>
  <c r="BV189" i="11"/>
  <c r="BQ190" i="11"/>
  <c r="BR190" i="11"/>
  <c r="BS190" i="11"/>
  <c r="BT190" i="11"/>
  <c r="BU190" i="11"/>
  <c r="BV190" i="11"/>
  <c r="BQ191" i="11"/>
  <c r="BR191" i="11"/>
  <c r="BS191" i="11"/>
  <c r="BT191" i="11"/>
  <c r="BU191" i="11"/>
  <c r="BV191" i="11"/>
  <c r="BQ192" i="11"/>
  <c r="BR192" i="11"/>
  <c r="BS192" i="11"/>
  <c r="BT192" i="11"/>
  <c r="BU192" i="11"/>
  <c r="BV192" i="11"/>
  <c r="BQ193" i="11"/>
  <c r="BR193" i="11"/>
  <c r="BS193" i="11"/>
  <c r="BT193" i="11"/>
  <c r="BU193" i="11"/>
  <c r="BV193" i="11"/>
  <c r="BQ194" i="11"/>
  <c r="BR194" i="11"/>
  <c r="BS194" i="11"/>
  <c r="BT194" i="11"/>
  <c r="BU194" i="11"/>
  <c r="BV194" i="11"/>
  <c r="BQ195" i="11"/>
  <c r="BR195" i="11"/>
  <c r="BS195" i="11"/>
  <c r="BT195" i="11"/>
  <c r="BU195" i="11"/>
  <c r="BV195" i="11"/>
  <c r="BQ196" i="11"/>
  <c r="BR196" i="11"/>
  <c r="BS196" i="11"/>
  <c r="BT196" i="11"/>
  <c r="BU196" i="11"/>
  <c r="BV196" i="11"/>
  <c r="BQ197" i="11"/>
  <c r="BR197" i="11"/>
  <c r="BS197" i="11"/>
  <c r="BT197" i="11"/>
  <c r="BU197" i="11"/>
  <c r="BV197" i="11"/>
  <c r="BQ198" i="11"/>
  <c r="BR198" i="11"/>
  <c r="BS198" i="11"/>
  <c r="BT198" i="11"/>
  <c r="BU198" i="11"/>
  <c r="BV198" i="11"/>
  <c r="BQ199" i="11"/>
  <c r="BR199" i="11"/>
  <c r="BS199" i="11"/>
  <c r="BT199" i="11"/>
  <c r="BU199" i="11"/>
  <c r="BV199" i="11"/>
  <c r="BQ200" i="11"/>
  <c r="BR200" i="11"/>
  <c r="BS200" i="11"/>
  <c r="BT200" i="11"/>
  <c r="BU200" i="11"/>
  <c r="BV200" i="11"/>
  <c r="BQ201" i="11"/>
  <c r="BR201" i="11"/>
  <c r="BS201" i="11"/>
  <c r="BT201" i="11"/>
  <c r="BU201" i="11"/>
  <c r="BV201" i="11"/>
  <c r="BQ202" i="11"/>
  <c r="BR202" i="11"/>
  <c r="BS202" i="11"/>
  <c r="BT202" i="11"/>
  <c r="BU202" i="11"/>
  <c r="BV202" i="11"/>
  <c r="BQ203" i="11"/>
  <c r="BR203" i="11"/>
  <c r="BS203" i="11"/>
  <c r="BT203" i="11"/>
  <c r="BU203" i="11"/>
  <c r="BV203" i="11"/>
  <c r="BQ204" i="11"/>
  <c r="BR204" i="11"/>
  <c r="BS204" i="11"/>
  <c r="BT204" i="11"/>
  <c r="BU204" i="11"/>
  <c r="BV204" i="11"/>
  <c r="BQ205" i="11"/>
  <c r="BR205" i="11"/>
  <c r="BS205" i="11"/>
  <c r="BT205" i="11"/>
  <c r="BU205" i="11"/>
  <c r="BV205" i="11"/>
  <c r="BQ206" i="11"/>
  <c r="BR206" i="11"/>
  <c r="BS206" i="11"/>
  <c r="BT206" i="11"/>
  <c r="BU206" i="11"/>
  <c r="BV206" i="11"/>
  <c r="BQ207" i="11"/>
  <c r="BR207" i="11"/>
  <c r="BS207" i="11"/>
  <c r="BT207" i="11"/>
  <c r="BU207" i="11"/>
  <c r="BV207" i="11"/>
  <c r="BQ208" i="11"/>
  <c r="BR208" i="11"/>
  <c r="BS208" i="11"/>
  <c r="BT208" i="11"/>
  <c r="BU208" i="11"/>
  <c r="BV208" i="11"/>
  <c r="BQ209" i="11"/>
  <c r="BR209" i="11"/>
  <c r="BS209" i="11"/>
  <c r="BT209" i="11"/>
  <c r="BU209" i="11"/>
  <c r="BV209" i="11"/>
  <c r="BQ210" i="11"/>
  <c r="BR210" i="11"/>
  <c r="BS210" i="11"/>
  <c r="BT210" i="11"/>
  <c r="BU210" i="11"/>
  <c r="BV210" i="11"/>
  <c r="BQ211" i="11"/>
  <c r="BR211" i="11"/>
  <c r="BS211" i="11"/>
  <c r="BT211" i="11"/>
  <c r="BU211" i="11"/>
  <c r="BV211" i="11"/>
  <c r="BQ212" i="11"/>
  <c r="BR212" i="11"/>
  <c r="BS212" i="11"/>
  <c r="BT212" i="11"/>
  <c r="BU212" i="11"/>
  <c r="BV212" i="11"/>
  <c r="BQ213" i="11"/>
  <c r="BR213" i="11"/>
  <c r="BS213" i="11"/>
  <c r="BT213" i="11"/>
  <c r="BU213" i="11"/>
  <c r="BV213" i="11"/>
  <c r="BQ214" i="11"/>
  <c r="BR214" i="11"/>
  <c r="BS214" i="11"/>
  <c r="BT214" i="11"/>
  <c r="BU214" i="11"/>
  <c r="BV214" i="11"/>
  <c r="BQ215" i="11"/>
  <c r="BR215" i="11"/>
  <c r="BS215" i="11"/>
  <c r="BT215" i="11"/>
  <c r="BU215" i="11"/>
  <c r="BV215" i="11"/>
  <c r="BQ216" i="11"/>
  <c r="BR216" i="11"/>
  <c r="BS216" i="11"/>
  <c r="BT216" i="11"/>
  <c r="BU216" i="11"/>
  <c r="BV216" i="11"/>
  <c r="BQ217" i="11"/>
  <c r="BR217" i="11"/>
  <c r="BS217" i="11"/>
  <c r="BT217" i="11"/>
  <c r="BU217" i="11"/>
  <c r="BV217" i="11"/>
  <c r="BQ218" i="11"/>
  <c r="BR218" i="11"/>
  <c r="BS218" i="11"/>
  <c r="BT218" i="11"/>
  <c r="BU218" i="11"/>
  <c r="BV218" i="11"/>
  <c r="BQ219" i="11"/>
  <c r="BR219" i="11"/>
  <c r="BS219" i="11"/>
  <c r="BT219" i="11"/>
  <c r="BU219" i="11"/>
  <c r="BV219" i="11"/>
  <c r="BQ220" i="11"/>
  <c r="BR220" i="11"/>
  <c r="BS220" i="11"/>
  <c r="BT220" i="11"/>
  <c r="BU220" i="11"/>
  <c r="BV220" i="11"/>
  <c r="BQ221" i="11"/>
  <c r="BR221" i="11"/>
  <c r="BS221" i="11"/>
  <c r="BT221" i="11"/>
  <c r="BU221" i="11"/>
  <c r="BV221" i="11"/>
  <c r="BQ222" i="11"/>
  <c r="BR222" i="11"/>
  <c r="BS222" i="11"/>
  <c r="BT222" i="11"/>
  <c r="BU222" i="11"/>
  <c r="BV222" i="11"/>
  <c r="BQ223" i="11"/>
  <c r="BR223" i="11"/>
  <c r="BS223" i="11"/>
  <c r="BT223" i="11"/>
  <c r="BU223" i="11"/>
  <c r="BV223" i="11"/>
  <c r="BQ224" i="11"/>
  <c r="BR224" i="11"/>
  <c r="BS224" i="11"/>
  <c r="BT224" i="11"/>
  <c r="BU224" i="11"/>
  <c r="BV224" i="11"/>
  <c r="BQ225" i="11"/>
  <c r="BR225" i="11"/>
  <c r="BS225" i="11"/>
  <c r="BT225" i="11"/>
  <c r="BU225" i="11"/>
  <c r="BV225" i="11"/>
  <c r="BQ226" i="11"/>
  <c r="BR226" i="11"/>
  <c r="BS226" i="11"/>
  <c r="BT226" i="11"/>
  <c r="BU226" i="11"/>
  <c r="BV226" i="11"/>
  <c r="BQ227" i="11"/>
  <c r="BR227" i="11"/>
  <c r="BS227" i="11"/>
  <c r="BT227" i="11"/>
  <c r="BU227" i="11"/>
  <c r="BV227" i="11"/>
  <c r="BQ228" i="11"/>
  <c r="BR228" i="11"/>
  <c r="BS228" i="11"/>
  <c r="BT228" i="11"/>
  <c r="BU228" i="11"/>
  <c r="BV228" i="11"/>
  <c r="BQ229" i="11"/>
  <c r="BR229" i="11"/>
  <c r="BS229" i="11"/>
  <c r="BT229" i="11"/>
  <c r="BU229" i="11"/>
  <c r="BV229" i="11"/>
  <c r="BQ230" i="11"/>
  <c r="BR230" i="11"/>
  <c r="BS230" i="11"/>
  <c r="BT230" i="11"/>
  <c r="BU230" i="11"/>
  <c r="BV230" i="11"/>
  <c r="BQ231" i="11"/>
  <c r="BR231" i="11"/>
  <c r="BS231" i="11"/>
  <c r="BT231" i="11"/>
  <c r="BU231" i="11"/>
  <c r="BV231" i="11"/>
  <c r="BQ232" i="11"/>
  <c r="BR232" i="11"/>
  <c r="BS232" i="11"/>
  <c r="BT232" i="11"/>
  <c r="BU232" i="11"/>
  <c r="BV232" i="11"/>
  <c r="BQ233" i="11"/>
  <c r="BR233" i="11"/>
  <c r="BS233" i="11"/>
  <c r="BT233" i="11"/>
  <c r="BU233" i="11"/>
  <c r="BV233" i="11"/>
  <c r="BQ234" i="11"/>
  <c r="BR234" i="11"/>
  <c r="BS234" i="11"/>
  <c r="BT234" i="11"/>
  <c r="BU234" i="11"/>
  <c r="BV234" i="11"/>
  <c r="BQ235" i="11"/>
  <c r="BR235" i="11"/>
  <c r="BS235" i="11"/>
  <c r="BT235" i="11"/>
  <c r="BU235" i="11"/>
  <c r="BV235" i="11"/>
  <c r="BQ236" i="11"/>
  <c r="BR236" i="11"/>
  <c r="BS236" i="11"/>
  <c r="BT236" i="11"/>
  <c r="BU236" i="11"/>
  <c r="BV236" i="11"/>
  <c r="BQ237" i="11"/>
  <c r="BR237" i="11"/>
  <c r="BS237" i="11"/>
  <c r="BT237" i="11"/>
  <c r="BU237" i="11"/>
  <c r="BV237" i="11"/>
  <c r="BQ238" i="11"/>
  <c r="BR238" i="11"/>
  <c r="BS238" i="11"/>
  <c r="BT238" i="11"/>
  <c r="BU238" i="11"/>
  <c r="BV238" i="11"/>
  <c r="BQ239" i="11"/>
  <c r="BR239" i="11"/>
  <c r="BS239" i="11"/>
  <c r="BT239" i="11"/>
  <c r="BU239" i="11"/>
  <c r="BV239" i="11"/>
  <c r="BQ240" i="11"/>
  <c r="BR240" i="11"/>
  <c r="BS240" i="11"/>
  <c r="BT240" i="11"/>
  <c r="BU240" i="11"/>
  <c r="BV240" i="11"/>
  <c r="BQ241" i="11"/>
  <c r="BR241" i="11"/>
  <c r="BS241" i="11"/>
  <c r="BT241" i="11"/>
  <c r="BU241" i="11"/>
  <c r="BV241" i="11"/>
  <c r="BQ242" i="11"/>
  <c r="BR242" i="11"/>
  <c r="BS242" i="11"/>
  <c r="BT242" i="11"/>
  <c r="BU242" i="11"/>
  <c r="BV242" i="11"/>
  <c r="BQ243" i="11"/>
  <c r="BR243" i="11"/>
  <c r="BS243" i="11"/>
  <c r="BT243" i="11"/>
  <c r="BU243" i="11"/>
  <c r="BV243" i="11"/>
  <c r="BQ244" i="11"/>
  <c r="BR244" i="11"/>
  <c r="BS244" i="11"/>
  <c r="BT244" i="11"/>
  <c r="BU244" i="11"/>
  <c r="BV244" i="11"/>
  <c r="BQ245" i="11"/>
  <c r="BR245" i="11"/>
  <c r="BS245" i="11"/>
  <c r="BT245" i="11"/>
  <c r="BU245" i="11"/>
  <c r="BV245" i="11"/>
  <c r="BQ246" i="11"/>
  <c r="BR246" i="11"/>
  <c r="BS246" i="11"/>
  <c r="BT246" i="11"/>
  <c r="BU246" i="11"/>
  <c r="BV246" i="11"/>
  <c r="BQ247" i="11"/>
  <c r="BR247" i="11"/>
  <c r="BS247" i="11"/>
  <c r="BT247" i="11"/>
  <c r="BU247" i="11"/>
  <c r="BV247" i="11"/>
  <c r="BQ248" i="11"/>
  <c r="BR248" i="11"/>
  <c r="BS248" i="11"/>
  <c r="BT248" i="11"/>
  <c r="BU248" i="11"/>
  <c r="BV248" i="11"/>
  <c r="BQ249" i="11"/>
  <c r="BR249" i="11"/>
  <c r="BS249" i="11"/>
  <c r="BT249" i="11"/>
  <c r="BU249" i="11"/>
  <c r="BV249" i="11"/>
  <c r="BQ250" i="11"/>
  <c r="BR250" i="11"/>
  <c r="BS250" i="11"/>
  <c r="BT250" i="11"/>
  <c r="BU250" i="11"/>
  <c r="BV250" i="11"/>
  <c r="BQ251" i="11"/>
  <c r="BR251" i="11"/>
  <c r="BS251" i="11"/>
  <c r="BT251" i="11"/>
  <c r="BU251" i="11"/>
  <c r="BV251" i="11"/>
  <c r="BQ252" i="11"/>
  <c r="BR252" i="11"/>
  <c r="BS252" i="11"/>
  <c r="BT252" i="11"/>
  <c r="BU252" i="11"/>
  <c r="BV252" i="11"/>
  <c r="BQ253" i="11"/>
  <c r="BR253" i="11"/>
  <c r="BS253" i="11"/>
  <c r="BT253" i="11"/>
  <c r="BU253" i="11"/>
  <c r="BV253" i="11"/>
  <c r="BQ254" i="11"/>
  <c r="BR254" i="11"/>
  <c r="BS254" i="11"/>
  <c r="BT254" i="11"/>
  <c r="BU254" i="11"/>
  <c r="BV254" i="11"/>
  <c r="BQ255" i="11"/>
  <c r="BR255" i="11"/>
  <c r="BS255" i="11"/>
  <c r="BT255" i="11"/>
  <c r="BU255" i="11"/>
  <c r="BV255" i="11"/>
  <c r="BQ256" i="11"/>
  <c r="BR256" i="11"/>
  <c r="BS256" i="11"/>
  <c r="BT256" i="11"/>
  <c r="BU256" i="11"/>
  <c r="BV256" i="11"/>
  <c r="BQ257" i="11"/>
  <c r="BR257" i="11"/>
  <c r="BS257" i="11"/>
  <c r="BT257" i="11"/>
  <c r="BU257" i="11"/>
  <c r="BV257" i="11"/>
  <c r="BQ258" i="11"/>
  <c r="BR258" i="11"/>
  <c r="BS258" i="11"/>
  <c r="BT258" i="11"/>
  <c r="BU258" i="11"/>
  <c r="BV258" i="11"/>
  <c r="BQ259" i="11"/>
  <c r="BR259" i="11"/>
  <c r="BS259" i="11"/>
  <c r="BT259" i="11"/>
  <c r="BU259" i="11"/>
  <c r="BV259" i="11"/>
  <c r="BQ260" i="11"/>
  <c r="BR260" i="11"/>
  <c r="BS260" i="11"/>
  <c r="BT260" i="11"/>
  <c r="BU260" i="11"/>
  <c r="BV260" i="11"/>
  <c r="BQ261" i="11"/>
  <c r="BR261" i="11"/>
  <c r="BS261" i="11"/>
  <c r="BT261" i="11"/>
  <c r="BU261" i="11"/>
  <c r="BV261" i="11"/>
  <c r="BQ262" i="11"/>
  <c r="BR262" i="11"/>
  <c r="BS262" i="11"/>
  <c r="BT262" i="11"/>
  <c r="BU262" i="11"/>
  <c r="BV262" i="11"/>
  <c r="BQ263" i="11"/>
  <c r="BR263" i="11"/>
  <c r="BS263" i="11"/>
  <c r="BT263" i="11"/>
  <c r="BU263" i="11"/>
  <c r="BV263" i="11"/>
  <c r="BQ264" i="11"/>
  <c r="BR264" i="11"/>
  <c r="BS264" i="11"/>
  <c r="BT264" i="11"/>
  <c r="BU264" i="11"/>
  <c r="BV264" i="11"/>
  <c r="BQ265" i="11"/>
  <c r="BR265" i="11"/>
  <c r="BS265" i="11"/>
  <c r="BT265" i="11"/>
  <c r="BU265" i="11"/>
  <c r="BV265" i="11"/>
  <c r="BV2" i="11"/>
  <c r="BU2" i="11"/>
  <c r="BT2" i="11"/>
  <c r="BS2" i="11"/>
  <c r="BR2" i="11"/>
  <c r="BQ2" i="11"/>
  <c r="Q42" i="27"/>
  <c r="P82" i="27"/>
  <c r="AX84" i="27"/>
  <c r="AX85" i="27"/>
  <c r="AX86" i="27"/>
  <c r="AX82" i="27"/>
  <c r="N281" i="38"/>
  <c r="N282" i="38"/>
  <c r="N283" i="38"/>
  <c r="N284" i="38"/>
  <c r="N285" i="38"/>
  <c r="N286" i="38"/>
  <c r="N287" i="38"/>
  <c r="N288" i="38"/>
  <c r="N289" i="38"/>
  <c r="N290" i="38"/>
  <c r="N291" i="38"/>
  <c r="N292" i="38"/>
  <c r="N293" i="38"/>
  <c r="N294" i="38"/>
  <c r="N295" i="38"/>
  <c r="N296" i="38"/>
  <c r="N297" i="38"/>
  <c r="N298" i="38"/>
  <c r="N299" i="38"/>
  <c r="N300" i="38"/>
  <c r="N301" i="38"/>
  <c r="N302" i="38"/>
  <c r="N303" i="38"/>
  <c r="N304" i="38"/>
  <c r="N305" i="38"/>
  <c r="N306" i="38"/>
  <c r="N307" i="38"/>
  <c r="N308" i="38"/>
  <c r="N309" i="38"/>
  <c r="N310" i="38"/>
  <c r="N311" i="38"/>
  <c r="N312" i="38"/>
  <c r="N313" i="38"/>
  <c r="N314" i="38"/>
  <c r="N315" i="38"/>
  <c r="N316" i="38"/>
  <c r="N317" i="38"/>
  <c r="N318" i="38"/>
  <c r="N319" i="38"/>
  <c r="N320" i="38"/>
  <c r="N321" i="38"/>
  <c r="N322" i="38"/>
  <c r="N323" i="38"/>
  <c r="N324" i="38"/>
  <c r="N325" i="38"/>
  <c r="N326" i="38"/>
  <c r="N327" i="38"/>
  <c r="N328" i="38"/>
  <c r="N329" i="38"/>
  <c r="N330" i="38"/>
  <c r="N331" i="38"/>
  <c r="N332" i="38"/>
  <c r="N280" i="38"/>
  <c r="N197" i="38"/>
  <c r="N198" i="38"/>
  <c r="N199" i="38"/>
  <c r="N200" i="38"/>
  <c r="N201" i="38"/>
  <c r="N202" i="38"/>
  <c r="N203" i="38"/>
  <c r="N204" i="38"/>
  <c r="N205" i="38"/>
  <c r="N206" i="38"/>
  <c r="N207" i="38"/>
  <c r="N208" i="38"/>
  <c r="N209" i="38"/>
  <c r="N210" i="38"/>
  <c r="N211" i="38"/>
  <c r="N212" i="38"/>
  <c r="N213" i="38"/>
  <c r="N214" i="38"/>
  <c r="N215" i="38"/>
  <c r="N216" i="38"/>
  <c r="N217" i="38"/>
  <c r="N218" i="38"/>
  <c r="N219" i="38"/>
  <c r="N220" i="38"/>
  <c r="N221" i="38"/>
  <c r="N222" i="38"/>
  <c r="N223" i="38"/>
  <c r="N224" i="38"/>
  <c r="N225" i="38"/>
  <c r="N226" i="38"/>
  <c r="N227" i="38"/>
  <c r="N228" i="38"/>
  <c r="N229" i="38"/>
  <c r="N230" i="38"/>
  <c r="N231" i="38"/>
  <c r="N232" i="38"/>
  <c r="N233" i="38"/>
  <c r="N234" i="38"/>
  <c r="N235" i="38"/>
  <c r="N236" i="38"/>
  <c r="N237" i="38"/>
  <c r="N238" i="38"/>
  <c r="N239" i="38"/>
  <c r="N240" i="38"/>
  <c r="N241" i="38"/>
  <c r="N242" i="38"/>
  <c r="N243" i="38"/>
  <c r="N244" i="38"/>
  <c r="N245" i="38"/>
  <c r="N246" i="38"/>
  <c r="N247" i="38"/>
  <c r="N248" i="38"/>
  <c r="N196" i="38"/>
  <c r="N113" i="38"/>
  <c r="N114" i="38"/>
  <c r="N115" i="38"/>
  <c r="N116" i="38"/>
  <c r="N117" i="38"/>
  <c r="N118" i="38"/>
  <c r="N119" i="38"/>
  <c r="N120" i="38"/>
  <c r="N121" i="38"/>
  <c r="N122" i="38"/>
  <c r="N123" i="38"/>
  <c r="N124" i="38"/>
  <c r="N125" i="38"/>
  <c r="N126" i="38"/>
  <c r="N127" i="38"/>
  <c r="N128" i="38"/>
  <c r="N129" i="38"/>
  <c r="N130" i="38"/>
  <c r="N131" i="38"/>
  <c r="N132" i="38"/>
  <c r="N133" i="38"/>
  <c r="N134" i="38"/>
  <c r="N135" i="38"/>
  <c r="N136" i="38"/>
  <c r="N137" i="38"/>
  <c r="N138" i="38"/>
  <c r="N139" i="38"/>
  <c r="N140" i="38"/>
  <c r="N141" i="38"/>
  <c r="N142" i="38"/>
  <c r="N143" i="38"/>
  <c r="N144" i="38"/>
  <c r="N145" i="38"/>
  <c r="N146" i="38"/>
  <c r="N147" i="38"/>
  <c r="N148" i="38"/>
  <c r="N149" i="38"/>
  <c r="N150" i="38"/>
  <c r="N151" i="38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12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28" i="38"/>
  <c r="AU95" i="27"/>
  <c r="AU96" i="27"/>
  <c r="AU97" i="27"/>
  <c r="AU98" i="27"/>
  <c r="AU99" i="27"/>
  <c r="AU100" i="27"/>
  <c r="AU101" i="27"/>
  <c r="AU102" i="27"/>
  <c r="AU103" i="27"/>
  <c r="AU104" i="27"/>
  <c r="AU105" i="27"/>
  <c r="AU106" i="27"/>
  <c r="AU107" i="27"/>
  <c r="AU108" i="27"/>
  <c r="AU109" i="27"/>
  <c r="AU110" i="27"/>
  <c r="AU111" i="27"/>
  <c r="AU112" i="27"/>
  <c r="AU113" i="27"/>
  <c r="AU114" i="27"/>
  <c r="AU115" i="27"/>
  <c r="AU116" i="27"/>
  <c r="AU117" i="27"/>
  <c r="AU118" i="27"/>
  <c r="AU119" i="27"/>
  <c r="AU120" i="27"/>
  <c r="AU94" i="27"/>
  <c r="C77" i="33"/>
  <c r="C76" i="33"/>
  <c r="C75" i="33"/>
  <c r="C74" i="33"/>
  <c r="C73" i="33"/>
  <c r="C52" i="33"/>
  <c r="D52" i="33" s="1"/>
  <c r="C53" i="33"/>
  <c r="D53" i="33" s="1"/>
  <c r="C54" i="33"/>
  <c r="D54" i="33" s="1"/>
  <c r="C55" i="33"/>
  <c r="D55" i="33" s="1"/>
  <c r="C56" i="33"/>
  <c r="D56" i="33" s="1"/>
  <c r="C57" i="33"/>
  <c r="D57" i="33" s="1"/>
  <c r="C58" i="33"/>
  <c r="D58" i="33" s="1"/>
  <c r="C59" i="33"/>
  <c r="D59" i="33" s="1"/>
  <c r="C60" i="33"/>
  <c r="D60" i="33" s="1"/>
  <c r="C61" i="33"/>
  <c r="D61" i="33" s="1"/>
  <c r="C62" i="33"/>
  <c r="D62" i="33" s="1"/>
  <c r="C63" i="33"/>
  <c r="D63" i="33" s="1"/>
  <c r="C64" i="33"/>
  <c r="D64" i="33" s="1"/>
  <c r="C65" i="33"/>
  <c r="D65" i="33" s="1"/>
  <c r="C66" i="33"/>
  <c r="D66" i="33" s="1"/>
  <c r="C67" i="33"/>
  <c r="D67" i="33" s="1"/>
  <c r="C51" i="33"/>
  <c r="D51" i="33" s="1"/>
  <c r="AS53" i="27"/>
  <c r="AS54" i="27"/>
  <c r="AS55" i="27"/>
  <c r="AS56" i="27"/>
  <c r="AS57" i="27"/>
  <c r="AS58" i="27"/>
  <c r="AS52" i="27"/>
  <c r="AQ59" i="27"/>
  <c r="AQ60" i="27"/>
  <c r="AQ61" i="27"/>
  <c r="AQ62" i="27"/>
  <c r="AQ63" i="27"/>
  <c r="AQ64" i="27"/>
  <c r="AQ65" i="27"/>
  <c r="AQ66" i="27"/>
  <c r="AQ67" i="27"/>
  <c r="AO87" i="27"/>
  <c r="AO93" i="27"/>
  <c r="AO92" i="27"/>
  <c r="AO91" i="27"/>
  <c r="AO90" i="27"/>
  <c r="AO89" i="27"/>
  <c r="AO88" i="27"/>
  <c r="H68" i="27"/>
  <c r="T320" i="38" s="1"/>
  <c r="BA3" i="11"/>
  <c r="BG3" i="11" s="1"/>
  <c r="BB3" i="11"/>
  <c r="BH3" i="11" s="1"/>
  <c r="BC3" i="11"/>
  <c r="BI3" i="11" s="1"/>
  <c r="BD3" i="11"/>
  <c r="BJ3" i="11" s="1"/>
  <c r="BE3" i="11"/>
  <c r="BK3" i="11" s="1"/>
  <c r="BF3" i="11"/>
  <c r="BL3" i="11" s="1"/>
  <c r="BA4" i="11"/>
  <c r="BG4" i="11" s="1"/>
  <c r="BB4" i="11"/>
  <c r="BH4" i="11" s="1"/>
  <c r="BC4" i="11"/>
  <c r="BI4" i="11" s="1"/>
  <c r="BD4" i="11"/>
  <c r="BJ4" i="11" s="1"/>
  <c r="BE4" i="11"/>
  <c r="BK4" i="11" s="1"/>
  <c r="BF4" i="11"/>
  <c r="BL4" i="11" s="1"/>
  <c r="BA5" i="11"/>
  <c r="BG5" i="11" s="1"/>
  <c r="BB5" i="11"/>
  <c r="BH5" i="11" s="1"/>
  <c r="BC5" i="11"/>
  <c r="BI5" i="11" s="1"/>
  <c r="BD5" i="11"/>
  <c r="BJ5" i="11" s="1"/>
  <c r="BE5" i="11"/>
  <c r="BK5" i="11" s="1"/>
  <c r="BF5" i="11"/>
  <c r="BL5" i="11" s="1"/>
  <c r="BA6" i="11"/>
  <c r="BG6" i="11" s="1"/>
  <c r="BB6" i="11"/>
  <c r="BH6" i="11" s="1"/>
  <c r="BC6" i="11"/>
  <c r="BI6" i="11" s="1"/>
  <c r="BD6" i="11"/>
  <c r="BJ6" i="11" s="1"/>
  <c r="BE6" i="11"/>
  <c r="BK6" i="11" s="1"/>
  <c r="BF6" i="11"/>
  <c r="BL6" i="11" s="1"/>
  <c r="BA7" i="11"/>
  <c r="BG7" i="11" s="1"/>
  <c r="BB7" i="11"/>
  <c r="BH7" i="11" s="1"/>
  <c r="BC7" i="11"/>
  <c r="BI7" i="11" s="1"/>
  <c r="BD7" i="11"/>
  <c r="BJ7" i="11" s="1"/>
  <c r="BE7" i="11"/>
  <c r="BK7" i="11" s="1"/>
  <c r="BF7" i="11"/>
  <c r="BL7" i="11" s="1"/>
  <c r="BA8" i="11"/>
  <c r="BG8" i="11" s="1"/>
  <c r="BB8" i="11"/>
  <c r="BH8" i="11" s="1"/>
  <c r="BC8" i="11"/>
  <c r="BI8" i="11" s="1"/>
  <c r="BD8" i="11"/>
  <c r="BJ8" i="11" s="1"/>
  <c r="BE8" i="11"/>
  <c r="BK8" i="11" s="1"/>
  <c r="BF8" i="11"/>
  <c r="BL8" i="11" s="1"/>
  <c r="BA9" i="11"/>
  <c r="BG9" i="11" s="1"/>
  <c r="BB9" i="11"/>
  <c r="BH9" i="11" s="1"/>
  <c r="BC9" i="11"/>
  <c r="BI9" i="11" s="1"/>
  <c r="BD9" i="11"/>
  <c r="BJ9" i="11" s="1"/>
  <c r="BE9" i="11"/>
  <c r="BK9" i="11" s="1"/>
  <c r="BF9" i="11"/>
  <c r="BL9" i="11" s="1"/>
  <c r="BA10" i="11"/>
  <c r="BG10" i="11" s="1"/>
  <c r="BB10" i="11"/>
  <c r="BH10" i="11" s="1"/>
  <c r="BC10" i="11"/>
  <c r="BI10" i="11" s="1"/>
  <c r="BD10" i="11"/>
  <c r="BJ10" i="11" s="1"/>
  <c r="BE10" i="11"/>
  <c r="BK10" i="11" s="1"/>
  <c r="BF10" i="11"/>
  <c r="BL10" i="11" s="1"/>
  <c r="BA11" i="11"/>
  <c r="BG11" i="11" s="1"/>
  <c r="BB11" i="11"/>
  <c r="BH11" i="11" s="1"/>
  <c r="BC11" i="11"/>
  <c r="BI11" i="11" s="1"/>
  <c r="BD11" i="11"/>
  <c r="BJ11" i="11" s="1"/>
  <c r="BE11" i="11"/>
  <c r="BK11" i="11" s="1"/>
  <c r="BF11" i="11"/>
  <c r="BL11" i="11" s="1"/>
  <c r="BA12" i="11"/>
  <c r="BG12" i="11" s="1"/>
  <c r="BB12" i="11"/>
  <c r="BH12" i="11" s="1"/>
  <c r="BC12" i="11"/>
  <c r="BI12" i="11" s="1"/>
  <c r="BD12" i="11"/>
  <c r="BJ12" i="11" s="1"/>
  <c r="BE12" i="11"/>
  <c r="BK12" i="11" s="1"/>
  <c r="BF12" i="11"/>
  <c r="BL12" i="11" s="1"/>
  <c r="BA13" i="11"/>
  <c r="BG13" i="11" s="1"/>
  <c r="BB13" i="11"/>
  <c r="BH13" i="11" s="1"/>
  <c r="BC13" i="11"/>
  <c r="BI13" i="11" s="1"/>
  <c r="BD13" i="11"/>
  <c r="BJ13" i="11" s="1"/>
  <c r="BE13" i="11"/>
  <c r="BK13" i="11" s="1"/>
  <c r="BF13" i="11"/>
  <c r="BL13" i="11" s="1"/>
  <c r="BA14" i="11"/>
  <c r="BG14" i="11" s="1"/>
  <c r="BB14" i="11"/>
  <c r="BH14" i="11" s="1"/>
  <c r="BC14" i="11"/>
  <c r="BI14" i="11" s="1"/>
  <c r="BD14" i="11"/>
  <c r="BJ14" i="11" s="1"/>
  <c r="BE14" i="11"/>
  <c r="BK14" i="11" s="1"/>
  <c r="BF14" i="11"/>
  <c r="BL14" i="11" s="1"/>
  <c r="BA15" i="11"/>
  <c r="BG15" i="11" s="1"/>
  <c r="BB15" i="11"/>
  <c r="BH15" i="11" s="1"/>
  <c r="BC15" i="11"/>
  <c r="BI15" i="11" s="1"/>
  <c r="BD15" i="11"/>
  <c r="BJ15" i="11" s="1"/>
  <c r="BE15" i="11"/>
  <c r="BK15" i="11" s="1"/>
  <c r="BF15" i="11"/>
  <c r="BL15" i="11" s="1"/>
  <c r="BA16" i="11"/>
  <c r="BG16" i="11" s="1"/>
  <c r="BB16" i="11"/>
  <c r="BH16" i="11" s="1"/>
  <c r="BC16" i="11"/>
  <c r="BI16" i="11" s="1"/>
  <c r="BD16" i="11"/>
  <c r="BJ16" i="11" s="1"/>
  <c r="BE16" i="11"/>
  <c r="BK16" i="11" s="1"/>
  <c r="BF16" i="11"/>
  <c r="BL16" i="11" s="1"/>
  <c r="BA17" i="11"/>
  <c r="BG17" i="11" s="1"/>
  <c r="BB17" i="11"/>
  <c r="BH17" i="11" s="1"/>
  <c r="BC17" i="11"/>
  <c r="BI17" i="11" s="1"/>
  <c r="BD17" i="11"/>
  <c r="BJ17" i="11" s="1"/>
  <c r="BE17" i="11"/>
  <c r="BK17" i="11" s="1"/>
  <c r="BF17" i="11"/>
  <c r="BL17" i="11" s="1"/>
  <c r="BA18" i="11"/>
  <c r="BG18" i="11" s="1"/>
  <c r="BB18" i="11"/>
  <c r="BH18" i="11" s="1"/>
  <c r="BC18" i="11"/>
  <c r="BI18" i="11" s="1"/>
  <c r="BD18" i="11"/>
  <c r="BJ18" i="11" s="1"/>
  <c r="BE18" i="11"/>
  <c r="BK18" i="11" s="1"/>
  <c r="BF18" i="11"/>
  <c r="BL18" i="11" s="1"/>
  <c r="BA19" i="11"/>
  <c r="BG19" i="11" s="1"/>
  <c r="BB19" i="11"/>
  <c r="BH19" i="11" s="1"/>
  <c r="BC19" i="11"/>
  <c r="BI19" i="11" s="1"/>
  <c r="BD19" i="11"/>
  <c r="BJ19" i="11" s="1"/>
  <c r="BE19" i="11"/>
  <c r="BK19" i="11" s="1"/>
  <c r="BF19" i="11"/>
  <c r="BL19" i="11" s="1"/>
  <c r="BA20" i="11"/>
  <c r="BG20" i="11" s="1"/>
  <c r="BB20" i="11"/>
  <c r="BH20" i="11" s="1"/>
  <c r="BC20" i="11"/>
  <c r="BI20" i="11" s="1"/>
  <c r="BD20" i="11"/>
  <c r="BJ20" i="11" s="1"/>
  <c r="BE20" i="11"/>
  <c r="BK20" i="11" s="1"/>
  <c r="BF20" i="11"/>
  <c r="BL20" i="11" s="1"/>
  <c r="BA21" i="11"/>
  <c r="BG21" i="11" s="1"/>
  <c r="BB21" i="11"/>
  <c r="BH21" i="11" s="1"/>
  <c r="BC21" i="11"/>
  <c r="BI21" i="11" s="1"/>
  <c r="BD21" i="11"/>
  <c r="BJ21" i="11" s="1"/>
  <c r="BE21" i="11"/>
  <c r="BK21" i="11" s="1"/>
  <c r="BF21" i="11"/>
  <c r="BL21" i="11" s="1"/>
  <c r="BA22" i="11"/>
  <c r="BG22" i="11" s="1"/>
  <c r="BB22" i="11"/>
  <c r="BH22" i="11" s="1"/>
  <c r="BC22" i="11"/>
  <c r="BI22" i="11" s="1"/>
  <c r="BD22" i="11"/>
  <c r="BJ22" i="11" s="1"/>
  <c r="BE22" i="11"/>
  <c r="BK22" i="11" s="1"/>
  <c r="BF22" i="11"/>
  <c r="BL22" i="11" s="1"/>
  <c r="BA23" i="11"/>
  <c r="BG23" i="11" s="1"/>
  <c r="BB23" i="11"/>
  <c r="BH23" i="11" s="1"/>
  <c r="BC23" i="11"/>
  <c r="BI23" i="11" s="1"/>
  <c r="BD23" i="11"/>
  <c r="BJ23" i="11" s="1"/>
  <c r="BE23" i="11"/>
  <c r="BK23" i="11" s="1"/>
  <c r="BF23" i="11"/>
  <c r="BL23" i="11" s="1"/>
  <c r="BA24" i="11"/>
  <c r="BG24" i="11" s="1"/>
  <c r="BB24" i="11"/>
  <c r="BH24" i="11" s="1"/>
  <c r="BC24" i="11"/>
  <c r="BI24" i="11" s="1"/>
  <c r="BD24" i="11"/>
  <c r="BJ24" i="11" s="1"/>
  <c r="BE24" i="11"/>
  <c r="BK24" i="11" s="1"/>
  <c r="BF24" i="11"/>
  <c r="BL24" i="11" s="1"/>
  <c r="BA25" i="11"/>
  <c r="BG25" i="11" s="1"/>
  <c r="BB25" i="11"/>
  <c r="BH25" i="11" s="1"/>
  <c r="BC25" i="11"/>
  <c r="BI25" i="11" s="1"/>
  <c r="BD25" i="11"/>
  <c r="BJ25" i="11" s="1"/>
  <c r="BE25" i="11"/>
  <c r="BK25" i="11" s="1"/>
  <c r="BF25" i="11"/>
  <c r="BL25" i="11" s="1"/>
  <c r="BA26" i="11"/>
  <c r="BG26" i="11" s="1"/>
  <c r="BB26" i="11"/>
  <c r="BH26" i="11" s="1"/>
  <c r="BC26" i="11"/>
  <c r="BI26" i="11" s="1"/>
  <c r="BD26" i="11"/>
  <c r="BJ26" i="11" s="1"/>
  <c r="BE26" i="11"/>
  <c r="BK26" i="11" s="1"/>
  <c r="BF26" i="11"/>
  <c r="BL26" i="11" s="1"/>
  <c r="BA27" i="11"/>
  <c r="BG27" i="11" s="1"/>
  <c r="BB27" i="11"/>
  <c r="BH27" i="11" s="1"/>
  <c r="BC27" i="11"/>
  <c r="BI27" i="11" s="1"/>
  <c r="BD27" i="11"/>
  <c r="BJ27" i="11" s="1"/>
  <c r="BE27" i="11"/>
  <c r="BK27" i="11" s="1"/>
  <c r="BF27" i="11"/>
  <c r="BL27" i="11" s="1"/>
  <c r="BA28" i="11"/>
  <c r="BG28" i="11" s="1"/>
  <c r="BB28" i="11"/>
  <c r="BH28" i="11" s="1"/>
  <c r="BC28" i="11"/>
  <c r="BI28" i="11" s="1"/>
  <c r="BD28" i="11"/>
  <c r="BJ28" i="11" s="1"/>
  <c r="BE28" i="11"/>
  <c r="BK28" i="11" s="1"/>
  <c r="BF28" i="11"/>
  <c r="BL28" i="11" s="1"/>
  <c r="BA29" i="11"/>
  <c r="BG29" i="11" s="1"/>
  <c r="BB29" i="11"/>
  <c r="BH29" i="11" s="1"/>
  <c r="BC29" i="11"/>
  <c r="BI29" i="11" s="1"/>
  <c r="BD29" i="11"/>
  <c r="BJ29" i="11" s="1"/>
  <c r="BE29" i="11"/>
  <c r="BK29" i="11" s="1"/>
  <c r="BF29" i="11"/>
  <c r="BL29" i="11" s="1"/>
  <c r="BA30" i="11"/>
  <c r="BG30" i="11" s="1"/>
  <c r="BB30" i="11"/>
  <c r="BH30" i="11" s="1"/>
  <c r="BC30" i="11"/>
  <c r="BI30" i="11" s="1"/>
  <c r="BD30" i="11"/>
  <c r="BJ30" i="11" s="1"/>
  <c r="BE30" i="11"/>
  <c r="BK30" i="11" s="1"/>
  <c r="BF30" i="11"/>
  <c r="BL30" i="11" s="1"/>
  <c r="BA31" i="11"/>
  <c r="BG31" i="11" s="1"/>
  <c r="BB31" i="11"/>
  <c r="BH31" i="11" s="1"/>
  <c r="BC31" i="11"/>
  <c r="BI31" i="11" s="1"/>
  <c r="BD31" i="11"/>
  <c r="BJ31" i="11" s="1"/>
  <c r="BE31" i="11"/>
  <c r="BK31" i="11" s="1"/>
  <c r="BF31" i="11"/>
  <c r="BL31" i="11" s="1"/>
  <c r="BA32" i="11"/>
  <c r="BG32" i="11" s="1"/>
  <c r="BB32" i="11"/>
  <c r="BH32" i="11" s="1"/>
  <c r="BC32" i="11"/>
  <c r="BI32" i="11" s="1"/>
  <c r="BD32" i="11"/>
  <c r="BJ32" i="11" s="1"/>
  <c r="BE32" i="11"/>
  <c r="BK32" i="11" s="1"/>
  <c r="BF32" i="11"/>
  <c r="BL32" i="11" s="1"/>
  <c r="BA33" i="11"/>
  <c r="BG33" i="11" s="1"/>
  <c r="BB33" i="11"/>
  <c r="BH33" i="11" s="1"/>
  <c r="BC33" i="11"/>
  <c r="BI33" i="11" s="1"/>
  <c r="BD33" i="11"/>
  <c r="BJ33" i="11" s="1"/>
  <c r="BE33" i="11"/>
  <c r="BK33" i="11" s="1"/>
  <c r="BF33" i="11"/>
  <c r="BL33" i="11" s="1"/>
  <c r="BA34" i="11"/>
  <c r="BG34" i="11" s="1"/>
  <c r="BB34" i="11"/>
  <c r="BH34" i="11" s="1"/>
  <c r="BC34" i="11"/>
  <c r="BI34" i="11" s="1"/>
  <c r="BD34" i="11"/>
  <c r="BJ34" i="11" s="1"/>
  <c r="BE34" i="11"/>
  <c r="BK34" i="11" s="1"/>
  <c r="BF34" i="11"/>
  <c r="BL34" i="11" s="1"/>
  <c r="BA35" i="11"/>
  <c r="BG35" i="11" s="1"/>
  <c r="BB35" i="11"/>
  <c r="BH35" i="11" s="1"/>
  <c r="BC35" i="11"/>
  <c r="BI35" i="11" s="1"/>
  <c r="BD35" i="11"/>
  <c r="BJ35" i="11" s="1"/>
  <c r="BE35" i="11"/>
  <c r="BK35" i="11" s="1"/>
  <c r="BF35" i="11"/>
  <c r="BL35" i="11" s="1"/>
  <c r="BA36" i="11"/>
  <c r="BG36" i="11" s="1"/>
  <c r="BB36" i="11"/>
  <c r="BH36" i="11" s="1"/>
  <c r="BC36" i="11"/>
  <c r="BI36" i="11" s="1"/>
  <c r="BD36" i="11"/>
  <c r="BJ36" i="11" s="1"/>
  <c r="BE36" i="11"/>
  <c r="BK36" i="11" s="1"/>
  <c r="BF36" i="11"/>
  <c r="BL36" i="11" s="1"/>
  <c r="BA37" i="11"/>
  <c r="BG37" i="11" s="1"/>
  <c r="BB37" i="11"/>
  <c r="BH37" i="11" s="1"/>
  <c r="BC37" i="11"/>
  <c r="BI37" i="11" s="1"/>
  <c r="BD37" i="11"/>
  <c r="BJ37" i="11" s="1"/>
  <c r="BE37" i="11"/>
  <c r="BK37" i="11" s="1"/>
  <c r="BF37" i="11"/>
  <c r="BL37" i="11" s="1"/>
  <c r="BA38" i="11"/>
  <c r="BG38" i="11" s="1"/>
  <c r="BB38" i="11"/>
  <c r="BH38" i="11" s="1"/>
  <c r="BC38" i="11"/>
  <c r="BI38" i="11" s="1"/>
  <c r="BD38" i="11"/>
  <c r="BJ38" i="11" s="1"/>
  <c r="BE38" i="11"/>
  <c r="BK38" i="11" s="1"/>
  <c r="BF38" i="11"/>
  <c r="BL38" i="11" s="1"/>
  <c r="BA39" i="11"/>
  <c r="BG39" i="11" s="1"/>
  <c r="BB39" i="11"/>
  <c r="BH39" i="11" s="1"/>
  <c r="BC39" i="11"/>
  <c r="BI39" i="11" s="1"/>
  <c r="BD39" i="11"/>
  <c r="BJ39" i="11" s="1"/>
  <c r="BE39" i="11"/>
  <c r="BK39" i="11" s="1"/>
  <c r="BF39" i="11"/>
  <c r="BL39" i="11" s="1"/>
  <c r="BA40" i="11"/>
  <c r="BG40" i="11" s="1"/>
  <c r="BB40" i="11"/>
  <c r="BH40" i="11" s="1"/>
  <c r="BC40" i="11"/>
  <c r="BI40" i="11" s="1"/>
  <c r="BD40" i="11"/>
  <c r="BJ40" i="11" s="1"/>
  <c r="BE40" i="11"/>
  <c r="BK40" i="11" s="1"/>
  <c r="BF40" i="11"/>
  <c r="BL40" i="11" s="1"/>
  <c r="BA41" i="11"/>
  <c r="BG41" i="11" s="1"/>
  <c r="BB41" i="11"/>
  <c r="BH41" i="11" s="1"/>
  <c r="BC41" i="11"/>
  <c r="BI41" i="11" s="1"/>
  <c r="BD41" i="11"/>
  <c r="BJ41" i="11" s="1"/>
  <c r="BE41" i="11"/>
  <c r="BK41" i="11" s="1"/>
  <c r="BF41" i="11"/>
  <c r="BL41" i="11" s="1"/>
  <c r="BA42" i="11"/>
  <c r="BG42" i="11" s="1"/>
  <c r="BB42" i="11"/>
  <c r="BH42" i="11" s="1"/>
  <c r="BC42" i="11"/>
  <c r="BI42" i="11" s="1"/>
  <c r="BD42" i="11"/>
  <c r="BJ42" i="11" s="1"/>
  <c r="BE42" i="11"/>
  <c r="BK42" i="11" s="1"/>
  <c r="BF42" i="11"/>
  <c r="BL42" i="11" s="1"/>
  <c r="BA43" i="11"/>
  <c r="BG43" i="11" s="1"/>
  <c r="BB43" i="11"/>
  <c r="BH43" i="11" s="1"/>
  <c r="BC43" i="11"/>
  <c r="BI43" i="11" s="1"/>
  <c r="BD43" i="11"/>
  <c r="BJ43" i="11" s="1"/>
  <c r="BE43" i="11"/>
  <c r="BK43" i="11" s="1"/>
  <c r="BF43" i="11"/>
  <c r="BL43" i="11" s="1"/>
  <c r="BA44" i="11"/>
  <c r="BG44" i="11" s="1"/>
  <c r="BB44" i="11"/>
  <c r="BH44" i="11" s="1"/>
  <c r="BC44" i="11"/>
  <c r="BI44" i="11" s="1"/>
  <c r="BD44" i="11"/>
  <c r="BJ44" i="11" s="1"/>
  <c r="BE44" i="11"/>
  <c r="BK44" i="11" s="1"/>
  <c r="BF44" i="11"/>
  <c r="BL44" i="11" s="1"/>
  <c r="BA45" i="11"/>
  <c r="BG45" i="11" s="1"/>
  <c r="BB45" i="11"/>
  <c r="BH45" i="11" s="1"/>
  <c r="BC45" i="11"/>
  <c r="BI45" i="11" s="1"/>
  <c r="BD45" i="11"/>
  <c r="BJ45" i="11" s="1"/>
  <c r="BE45" i="11"/>
  <c r="BK45" i="11" s="1"/>
  <c r="BF45" i="11"/>
  <c r="BL45" i="11" s="1"/>
  <c r="BA46" i="11"/>
  <c r="BG46" i="11" s="1"/>
  <c r="BB46" i="11"/>
  <c r="BH46" i="11" s="1"/>
  <c r="BC46" i="11"/>
  <c r="BI46" i="11" s="1"/>
  <c r="BD46" i="11"/>
  <c r="BJ46" i="11" s="1"/>
  <c r="BE46" i="11"/>
  <c r="BK46" i="11" s="1"/>
  <c r="BF46" i="11"/>
  <c r="BL46" i="11" s="1"/>
  <c r="BA47" i="11"/>
  <c r="BG47" i="11" s="1"/>
  <c r="BB47" i="11"/>
  <c r="BH47" i="11" s="1"/>
  <c r="BC47" i="11"/>
  <c r="BI47" i="11" s="1"/>
  <c r="BD47" i="11"/>
  <c r="BJ47" i="11" s="1"/>
  <c r="BE47" i="11"/>
  <c r="BK47" i="11" s="1"/>
  <c r="BF47" i="11"/>
  <c r="BL47" i="11" s="1"/>
  <c r="BA48" i="11"/>
  <c r="BG48" i="11" s="1"/>
  <c r="BB48" i="11"/>
  <c r="BH48" i="11" s="1"/>
  <c r="BC48" i="11"/>
  <c r="BI48" i="11" s="1"/>
  <c r="BD48" i="11"/>
  <c r="BJ48" i="11" s="1"/>
  <c r="BE48" i="11"/>
  <c r="BK48" i="11" s="1"/>
  <c r="BF48" i="11"/>
  <c r="BL48" i="11" s="1"/>
  <c r="BA49" i="11"/>
  <c r="BG49" i="11" s="1"/>
  <c r="BB49" i="11"/>
  <c r="BH49" i="11" s="1"/>
  <c r="BC49" i="11"/>
  <c r="BI49" i="11" s="1"/>
  <c r="BD49" i="11"/>
  <c r="BJ49" i="11" s="1"/>
  <c r="BE49" i="11"/>
  <c r="BK49" i="11" s="1"/>
  <c r="BF49" i="11"/>
  <c r="BL49" i="11" s="1"/>
  <c r="BA50" i="11"/>
  <c r="BG50" i="11" s="1"/>
  <c r="BB50" i="11"/>
  <c r="BH50" i="11" s="1"/>
  <c r="BC50" i="11"/>
  <c r="BI50" i="11" s="1"/>
  <c r="BD50" i="11"/>
  <c r="BJ50" i="11" s="1"/>
  <c r="BE50" i="11"/>
  <c r="BK50" i="11" s="1"/>
  <c r="BF50" i="11"/>
  <c r="BL50" i="11" s="1"/>
  <c r="BA51" i="11"/>
  <c r="BG51" i="11" s="1"/>
  <c r="BB51" i="11"/>
  <c r="BH51" i="11" s="1"/>
  <c r="BC51" i="11"/>
  <c r="BI51" i="11" s="1"/>
  <c r="BD51" i="11"/>
  <c r="BJ51" i="11" s="1"/>
  <c r="BE51" i="11"/>
  <c r="BK51" i="11" s="1"/>
  <c r="BF51" i="11"/>
  <c r="BL51" i="11" s="1"/>
  <c r="BA52" i="11"/>
  <c r="BG52" i="11" s="1"/>
  <c r="BB52" i="11"/>
  <c r="BH52" i="11" s="1"/>
  <c r="BC52" i="11"/>
  <c r="BI52" i="11" s="1"/>
  <c r="BD52" i="11"/>
  <c r="BJ52" i="11" s="1"/>
  <c r="BE52" i="11"/>
  <c r="BK52" i="11" s="1"/>
  <c r="BF52" i="11"/>
  <c r="BL52" i="11" s="1"/>
  <c r="BA53" i="11"/>
  <c r="BG53" i="11" s="1"/>
  <c r="BB53" i="11"/>
  <c r="BH53" i="11" s="1"/>
  <c r="BC53" i="11"/>
  <c r="BI53" i="11" s="1"/>
  <c r="BD53" i="11"/>
  <c r="BJ53" i="11" s="1"/>
  <c r="BE53" i="11"/>
  <c r="BK53" i="11" s="1"/>
  <c r="BF53" i="11"/>
  <c r="BL53" i="11" s="1"/>
  <c r="BA54" i="11"/>
  <c r="BG54" i="11" s="1"/>
  <c r="BB54" i="11"/>
  <c r="BH54" i="11" s="1"/>
  <c r="BC54" i="11"/>
  <c r="BI54" i="11" s="1"/>
  <c r="BD54" i="11"/>
  <c r="BJ54" i="11" s="1"/>
  <c r="BE54" i="11"/>
  <c r="BK54" i="11" s="1"/>
  <c r="BF54" i="11"/>
  <c r="BL54" i="11" s="1"/>
  <c r="BA55" i="11"/>
  <c r="BG55" i="11" s="1"/>
  <c r="BB55" i="11"/>
  <c r="BH55" i="11" s="1"/>
  <c r="BC55" i="11"/>
  <c r="BI55" i="11" s="1"/>
  <c r="BD55" i="11"/>
  <c r="BJ55" i="11" s="1"/>
  <c r="BE55" i="11"/>
  <c r="BK55" i="11" s="1"/>
  <c r="BF55" i="11"/>
  <c r="BL55" i="11" s="1"/>
  <c r="BA56" i="11"/>
  <c r="BG56" i="11" s="1"/>
  <c r="BB56" i="11"/>
  <c r="BH56" i="11" s="1"/>
  <c r="BC56" i="11"/>
  <c r="BI56" i="11" s="1"/>
  <c r="BD56" i="11"/>
  <c r="BJ56" i="11" s="1"/>
  <c r="BE56" i="11"/>
  <c r="BK56" i="11" s="1"/>
  <c r="BF56" i="11"/>
  <c r="BL56" i="11" s="1"/>
  <c r="BA57" i="11"/>
  <c r="BG57" i="11" s="1"/>
  <c r="BB57" i="11"/>
  <c r="BH57" i="11" s="1"/>
  <c r="BC57" i="11"/>
  <c r="BI57" i="11" s="1"/>
  <c r="BD57" i="11"/>
  <c r="BJ57" i="11" s="1"/>
  <c r="BE57" i="11"/>
  <c r="BK57" i="11" s="1"/>
  <c r="BF57" i="11"/>
  <c r="BL57" i="11" s="1"/>
  <c r="BA58" i="11"/>
  <c r="BG58" i="11" s="1"/>
  <c r="BB58" i="11"/>
  <c r="BH58" i="11" s="1"/>
  <c r="BC58" i="11"/>
  <c r="BI58" i="11" s="1"/>
  <c r="BD58" i="11"/>
  <c r="BJ58" i="11" s="1"/>
  <c r="BE58" i="11"/>
  <c r="BK58" i="11" s="1"/>
  <c r="BF58" i="11"/>
  <c r="BL58" i="11" s="1"/>
  <c r="BA59" i="11"/>
  <c r="BG59" i="11" s="1"/>
  <c r="BB59" i="11"/>
  <c r="BH59" i="11" s="1"/>
  <c r="BC59" i="11"/>
  <c r="BI59" i="11" s="1"/>
  <c r="BD59" i="11"/>
  <c r="BJ59" i="11" s="1"/>
  <c r="BE59" i="11"/>
  <c r="BK59" i="11" s="1"/>
  <c r="BF59" i="11"/>
  <c r="BL59" i="11" s="1"/>
  <c r="BA60" i="11"/>
  <c r="BG60" i="11" s="1"/>
  <c r="BB60" i="11"/>
  <c r="BH60" i="11" s="1"/>
  <c r="BC60" i="11"/>
  <c r="BI60" i="11" s="1"/>
  <c r="BD60" i="11"/>
  <c r="BJ60" i="11" s="1"/>
  <c r="BE60" i="11"/>
  <c r="BK60" i="11" s="1"/>
  <c r="BF60" i="11"/>
  <c r="BL60" i="11" s="1"/>
  <c r="BA61" i="11"/>
  <c r="BG61" i="11" s="1"/>
  <c r="BB61" i="11"/>
  <c r="BH61" i="11" s="1"/>
  <c r="BC61" i="11"/>
  <c r="BI61" i="11" s="1"/>
  <c r="BD61" i="11"/>
  <c r="BJ61" i="11" s="1"/>
  <c r="BE61" i="11"/>
  <c r="BK61" i="11" s="1"/>
  <c r="BF61" i="11"/>
  <c r="BL61" i="11" s="1"/>
  <c r="BA62" i="11"/>
  <c r="BG62" i="11" s="1"/>
  <c r="BB62" i="11"/>
  <c r="BH62" i="11" s="1"/>
  <c r="BC62" i="11"/>
  <c r="BI62" i="11" s="1"/>
  <c r="BD62" i="11"/>
  <c r="BJ62" i="11" s="1"/>
  <c r="BE62" i="11"/>
  <c r="BK62" i="11" s="1"/>
  <c r="BF62" i="11"/>
  <c r="BL62" i="11" s="1"/>
  <c r="BA63" i="11"/>
  <c r="BG63" i="11" s="1"/>
  <c r="BB63" i="11"/>
  <c r="BH63" i="11" s="1"/>
  <c r="BC63" i="11"/>
  <c r="BI63" i="11" s="1"/>
  <c r="BD63" i="11"/>
  <c r="BJ63" i="11" s="1"/>
  <c r="BE63" i="11"/>
  <c r="BK63" i="11" s="1"/>
  <c r="BF63" i="11"/>
  <c r="BL63" i="11" s="1"/>
  <c r="BA64" i="11"/>
  <c r="BG64" i="11" s="1"/>
  <c r="BB64" i="11"/>
  <c r="BH64" i="11" s="1"/>
  <c r="BC64" i="11"/>
  <c r="BI64" i="11" s="1"/>
  <c r="BD64" i="11"/>
  <c r="BJ64" i="11" s="1"/>
  <c r="BE64" i="11"/>
  <c r="BK64" i="11" s="1"/>
  <c r="BF64" i="11"/>
  <c r="BL64" i="11" s="1"/>
  <c r="BA65" i="11"/>
  <c r="BG65" i="11" s="1"/>
  <c r="BB65" i="11"/>
  <c r="BH65" i="11" s="1"/>
  <c r="BC65" i="11"/>
  <c r="BI65" i="11" s="1"/>
  <c r="BD65" i="11"/>
  <c r="BJ65" i="11" s="1"/>
  <c r="BE65" i="11"/>
  <c r="BK65" i="11" s="1"/>
  <c r="BF65" i="11"/>
  <c r="BL65" i="11" s="1"/>
  <c r="BA66" i="11"/>
  <c r="BG66" i="11" s="1"/>
  <c r="BB66" i="11"/>
  <c r="BH66" i="11" s="1"/>
  <c r="BC66" i="11"/>
  <c r="BI66" i="11" s="1"/>
  <c r="BD66" i="11"/>
  <c r="BJ66" i="11" s="1"/>
  <c r="BE66" i="11"/>
  <c r="BK66" i="11" s="1"/>
  <c r="BF66" i="11"/>
  <c r="BL66" i="11" s="1"/>
  <c r="BA67" i="11"/>
  <c r="BG67" i="11" s="1"/>
  <c r="BB67" i="11"/>
  <c r="BH67" i="11" s="1"/>
  <c r="BC67" i="11"/>
  <c r="BI67" i="11" s="1"/>
  <c r="BD67" i="11"/>
  <c r="BJ67" i="11" s="1"/>
  <c r="BE67" i="11"/>
  <c r="BK67" i="11" s="1"/>
  <c r="BF67" i="11"/>
  <c r="BL67" i="11" s="1"/>
  <c r="BA68" i="11"/>
  <c r="BG68" i="11" s="1"/>
  <c r="BB68" i="11"/>
  <c r="BH68" i="11" s="1"/>
  <c r="BC68" i="11"/>
  <c r="BI68" i="11" s="1"/>
  <c r="BD68" i="11"/>
  <c r="BJ68" i="11" s="1"/>
  <c r="BE68" i="11"/>
  <c r="BK68" i="11" s="1"/>
  <c r="BF68" i="11"/>
  <c r="BL68" i="11" s="1"/>
  <c r="BA69" i="11"/>
  <c r="BG69" i="11" s="1"/>
  <c r="BB69" i="11"/>
  <c r="BH69" i="11" s="1"/>
  <c r="BC69" i="11"/>
  <c r="BI69" i="11" s="1"/>
  <c r="BD69" i="11"/>
  <c r="BJ69" i="11" s="1"/>
  <c r="BE69" i="11"/>
  <c r="BK69" i="11" s="1"/>
  <c r="BF69" i="11"/>
  <c r="BL69" i="11" s="1"/>
  <c r="BA70" i="11"/>
  <c r="BG70" i="11" s="1"/>
  <c r="BB70" i="11"/>
  <c r="BH70" i="11" s="1"/>
  <c r="BC70" i="11"/>
  <c r="BI70" i="11" s="1"/>
  <c r="BD70" i="11"/>
  <c r="BJ70" i="11" s="1"/>
  <c r="BE70" i="11"/>
  <c r="BK70" i="11" s="1"/>
  <c r="BF70" i="11"/>
  <c r="BL70" i="11" s="1"/>
  <c r="BA71" i="11"/>
  <c r="BG71" i="11" s="1"/>
  <c r="BB71" i="11"/>
  <c r="BH71" i="11" s="1"/>
  <c r="BC71" i="11"/>
  <c r="BI71" i="11" s="1"/>
  <c r="BD71" i="11"/>
  <c r="BJ71" i="11" s="1"/>
  <c r="BE71" i="11"/>
  <c r="BK71" i="11" s="1"/>
  <c r="BF71" i="11"/>
  <c r="BL71" i="11" s="1"/>
  <c r="BA72" i="11"/>
  <c r="BG72" i="11" s="1"/>
  <c r="BB72" i="11"/>
  <c r="BH72" i="11" s="1"/>
  <c r="BC72" i="11"/>
  <c r="BI72" i="11" s="1"/>
  <c r="BD72" i="11"/>
  <c r="BJ72" i="11" s="1"/>
  <c r="BE72" i="11"/>
  <c r="BK72" i="11" s="1"/>
  <c r="BF72" i="11"/>
  <c r="BL72" i="11" s="1"/>
  <c r="BA73" i="11"/>
  <c r="BG73" i="11" s="1"/>
  <c r="BB73" i="11"/>
  <c r="BH73" i="11" s="1"/>
  <c r="BC73" i="11"/>
  <c r="BI73" i="11" s="1"/>
  <c r="BD73" i="11"/>
  <c r="BJ73" i="11" s="1"/>
  <c r="BE73" i="11"/>
  <c r="BK73" i="11" s="1"/>
  <c r="BF73" i="11"/>
  <c r="BL73" i="11" s="1"/>
  <c r="BA74" i="11"/>
  <c r="BG74" i="11" s="1"/>
  <c r="BB74" i="11"/>
  <c r="BH74" i="11" s="1"/>
  <c r="BC74" i="11"/>
  <c r="BI74" i="11" s="1"/>
  <c r="BD74" i="11"/>
  <c r="BJ74" i="11" s="1"/>
  <c r="BE74" i="11"/>
  <c r="BK74" i="11" s="1"/>
  <c r="BF74" i="11"/>
  <c r="BL74" i="11" s="1"/>
  <c r="BA75" i="11"/>
  <c r="BG75" i="11" s="1"/>
  <c r="BB75" i="11"/>
  <c r="BH75" i="11" s="1"/>
  <c r="BC75" i="11"/>
  <c r="BI75" i="11" s="1"/>
  <c r="BD75" i="11"/>
  <c r="BJ75" i="11" s="1"/>
  <c r="BE75" i="11"/>
  <c r="BK75" i="11" s="1"/>
  <c r="BF75" i="11"/>
  <c r="BL75" i="11" s="1"/>
  <c r="BA76" i="11"/>
  <c r="BG76" i="11" s="1"/>
  <c r="BB76" i="11"/>
  <c r="BH76" i="11" s="1"/>
  <c r="BC76" i="11"/>
  <c r="BI76" i="11" s="1"/>
  <c r="BD76" i="11"/>
  <c r="BJ76" i="11" s="1"/>
  <c r="BE76" i="11"/>
  <c r="BK76" i="11" s="1"/>
  <c r="BF76" i="11"/>
  <c r="BL76" i="11" s="1"/>
  <c r="BA77" i="11"/>
  <c r="BG77" i="11" s="1"/>
  <c r="BB77" i="11"/>
  <c r="BH77" i="11" s="1"/>
  <c r="BC77" i="11"/>
  <c r="BI77" i="11" s="1"/>
  <c r="BD77" i="11"/>
  <c r="BJ77" i="11" s="1"/>
  <c r="BE77" i="11"/>
  <c r="BK77" i="11" s="1"/>
  <c r="BF77" i="11"/>
  <c r="BL77" i="11" s="1"/>
  <c r="BA78" i="11"/>
  <c r="BG78" i="11" s="1"/>
  <c r="BB78" i="11"/>
  <c r="BH78" i="11" s="1"/>
  <c r="BC78" i="11"/>
  <c r="BI78" i="11" s="1"/>
  <c r="BD78" i="11"/>
  <c r="BJ78" i="11" s="1"/>
  <c r="BE78" i="11"/>
  <c r="BK78" i="11" s="1"/>
  <c r="BF78" i="11"/>
  <c r="BL78" i="11" s="1"/>
  <c r="BA79" i="11"/>
  <c r="BG79" i="11" s="1"/>
  <c r="BB79" i="11"/>
  <c r="BH79" i="11" s="1"/>
  <c r="BC79" i="11"/>
  <c r="BI79" i="11" s="1"/>
  <c r="BD79" i="11"/>
  <c r="BJ79" i="11" s="1"/>
  <c r="BE79" i="11"/>
  <c r="BK79" i="11" s="1"/>
  <c r="BF79" i="11"/>
  <c r="BL79" i="11" s="1"/>
  <c r="BA80" i="11"/>
  <c r="BG80" i="11" s="1"/>
  <c r="BB80" i="11"/>
  <c r="BH80" i="11" s="1"/>
  <c r="BC80" i="11"/>
  <c r="BI80" i="11" s="1"/>
  <c r="BD80" i="11"/>
  <c r="BJ80" i="11" s="1"/>
  <c r="BE80" i="11"/>
  <c r="BK80" i="11" s="1"/>
  <c r="BF80" i="11"/>
  <c r="BL80" i="11" s="1"/>
  <c r="BA81" i="11"/>
  <c r="BG81" i="11" s="1"/>
  <c r="BB81" i="11"/>
  <c r="BH81" i="11" s="1"/>
  <c r="BC81" i="11"/>
  <c r="BI81" i="11" s="1"/>
  <c r="BD81" i="11"/>
  <c r="BJ81" i="11" s="1"/>
  <c r="BE81" i="11"/>
  <c r="BK81" i="11" s="1"/>
  <c r="BF81" i="11"/>
  <c r="BL81" i="11" s="1"/>
  <c r="BA82" i="11"/>
  <c r="BG82" i="11" s="1"/>
  <c r="BB82" i="11"/>
  <c r="BH82" i="11" s="1"/>
  <c r="BC82" i="11"/>
  <c r="BI82" i="11" s="1"/>
  <c r="BD82" i="11"/>
  <c r="BJ82" i="11" s="1"/>
  <c r="BE82" i="11"/>
  <c r="BK82" i="11" s="1"/>
  <c r="BF82" i="11"/>
  <c r="BL82" i="11" s="1"/>
  <c r="BA83" i="11"/>
  <c r="BG83" i="11" s="1"/>
  <c r="BB83" i="11"/>
  <c r="BH83" i="11" s="1"/>
  <c r="BC83" i="11"/>
  <c r="BI83" i="11" s="1"/>
  <c r="BD83" i="11"/>
  <c r="BJ83" i="11" s="1"/>
  <c r="BE83" i="11"/>
  <c r="BK83" i="11" s="1"/>
  <c r="BF83" i="11"/>
  <c r="BL83" i="11" s="1"/>
  <c r="BA84" i="11"/>
  <c r="BG84" i="11" s="1"/>
  <c r="BB84" i="11"/>
  <c r="BH84" i="11" s="1"/>
  <c r="BC84" i="11"/>
  <c r="BI84" i="11" s="1"/>
  <c r="BD84" i="11"/>
  <c r="BJ84" i="11" s="1"/>
  <c r="BE84" i="11"/>
  <c r="BK84" i="11" s="1"/>
  <c r="BF84" i="11"/>
  <c r="BL84" i="11" s="1"/>
  <c r="BA85" i="11"/>
  <c r="BG85" i="11" s="1"/>
  <c r="BB85" i="11"/>
  <c r="BH85" i="11" s="1"/>
  <c r="BC85" i="11"/>
  <c r="BI85" i="11" s="1"/>
  <c r="BD85" i="11"/>
  <c r="BJ85" i="11" s="1"/>
  <c r="BE85" i="11"/>
  <c r="BK85" i="11" s="1"/>
  <c r="BF85" i="11"/>
  <c r="BL85" i="11" s="1"/>
  <c r="BA86" i="11"/>
  <c r="BG86" i="11" s="1"/>
  <c r="BB86" i="11"/>
  <c r="BH86" i="11" s="1"/>
  <c r="BC86" i="11"/>
  <c r="BI86" i="11" s="1"/>
  <c r="BD86" i="11"/>
  <c r="BJ86" i="11" s="1"/>
  <c r="BE86" i="11"/>
  <c r="BK86" i="11" s="1"/>
  <c r="BF86" i="11"/>
  <c r="BL86" i="11" s="1"/>
  <c r="BA87" i="11"/>
  <c r="BG87" i="11" s="1"/>
  <c r="BB87" i="11"/>
  <c r="BH87" i="11" s="1"/>
  <c r="BC87" i="11"/>
  <c r="BI87" i="11" s="1"/>
  <c r="BD87" i="11"/>
  <c r="BJ87" i="11" s="1"/>
  <c r="BE87" i="11"/>
  <c r="BK87" i="11" s="1"/>
  <c r="BF87" i="11"/>
  <c r="BL87" i="11" s="1"/>
  <c r="BA88" i="11"/>
  <c r="BG88" i="11" s="1"/>
  <c r="BB88" i="11"/>
  <c r="BH88" i="11" s="1"/>
  <c r="BC88" i="11"/>
  <c r="BI88" i="11" s="1"/>
  <c r="BD88" i="11"/>
  <c r="BJ88" i="11" s="1"/>
  <c r="BE88" i="11"/>
  <c r="BK88" i="11" s="1"/>
  <c r="BF88" i="11"/>
  <c r="BL88" i="11" s="1"/>
  <c r="BA89" i="11"/>
  <c r="BG89" i="11" s="1"/>
  <c r="BB89" i="11"/>
  <c r="BH89" i="11" s="1"/>
  <c r="BC89" i="11"/>
  <c r="BI89" i="11" s="1"/>
  <c r="BD89" i="11"/>
  <c r="BJ89" i="11" s="1"/>
  <c r="BE89" i="11"/>
  <c r="BK89" i="11" s="1"/>
  <c r="BF89" i="11"/>
  <c r="BL89" i="11" s="1"/>
  <c r="BA90" i="11"/>
  <c r="BG90" i="11" s="1"/>
  <c r="BB90" i="11"/>
  <c r="BH90" i="11" s="1"/>
  <c r="BC90" i="11"/>
  <c r="BI90" i="11" s="1"/>
  <c r="BD90" i="11"/>
  <c r="BJ90" i="11" s="1"/>
  <c r="BE90" i="11"/>
  <c r="BK90" i="11" s="1"/>
  <c r="BF90" i="11"/>
  <c r="BL90" i="11" s="1"/>
  <c r="BA91" i="11"/>
  <c r="BG91" i="11" s="1"/>
  <c r="BB91" i="11"/>
  <c r="BH91" i="11" s="1"/>
  <c r="BC91" i="11"/>
  <c r="BI91" i="11" s="1"/>
  <c r="BD91" i="11"/>
  <c r="BJ91" i="11" s="1"/>
  <c r="BE91" i="11"/>
  <c r="BK91" i="11" s="1"/>
  <c r="BF91" i="11"/>
  <c r="BL91" i="11" s="1"/>
  <c r="BA92" i="11"/>
  <c r="BG92" i="11" s="1"/>
  <c r="BB92" i="11"/>
  <c r="BH92" i="11" s="1"/>
  <c r="BC92" i="11"/>
  <c r="BI92" i="11" s="1"/>
  <c r="BD92" i="11"/>
  <c r="BJ92" i="11" s="1"/>
  <c r="BE92" i="11"/>
  <c r="BK92" i="11" s="1"/>
  <c r="BF92" i="11"/>
  <c r="BL92" i="11" s="1"/>
  <c r="BA93" i="11"/>
  <c r="BG93" i="11" s="1"/>
  <c r="BB93" i="11"/>
  <c r="BH93" i="11" s="1"/>
  <c r="BC93" i="11"/>
  <c r="BI93" i="11" s="1"/>
  <c r="BD93" i="11"/>
  <c r="BJ93" i="11" s="1"/>
  <c r="BE93" i="11"/>
  <c r="BK93" i="11" s="1"/>
  <c r="BF93" i="11"/>
  <c r="BL93" i="11" s="1"/>
  <c r="BA94" i="11"/>
  <c r="BG94" i="11" s="1"/>
  <c r="BB94" i="11"/>
  <c r="BH94" i="11" s="1"/>
  <c r="BC94" i="11"/>
  <c r="BI94" i="11" s="1"/>
  <c r="BD94" i="11"/>
  <c r="BJ94" i="11" s="1"/>
  <c r="BE94" i="11"/>
  <c r="BK94" i="11" s="1"/>
  <c r="BF94" i="11"/>
  <c r="BL94" i="11" s="1"/>
  <c r="BA95" i="11"/>
  <c r="BG95" i="11" s="1"/>
  <c r="BB95" i="11"/>
  <c r="BH95" i="11" s="1"/>
  <c r="BC95" i="11"/>
  <c r="BI95" i="11" s="1"/>
  <c r="BD95" i="11"/>
  <c r="BJ95" i="11" s="1"/>
  <c r="BE95" i="11"/>
  <c r="BK95" i="11" s="1"/>
  <c r="BF95" i="11"/>
  <c r="BL95" i="11" s="1"/>
  <c r="BA96" i="11"/>
  <c r="BG96" i="11" s="1"/>
  <c r="BB96" i="11"/>
  <c r="BH96" i="11" s="1"/>
  <c r="BC96" i="11"/>
  <c r="BI96" i="11" s="1"/>
  <c r="BD96" i="11"/>
  <c r="BJ96" i="11" s="1"/>
  <c r="BE96" i="11"/>
  <c r="BK96" i="11" s="1"/>
  <c r="BF96" i="11"/>
  <c r="BL96" i="11" s="1"/>
  <c r="BA97" i="11"/>
  <c r="BG97" i="11" s="1"/>
  <c r="BB97" i="11"/>
  <c r="BH97" i="11" s="1"/>
  <c r="BC97" i="11"/>
  <c r="BI97" i="11" s="1"/>
  <c r="BD97" i="11"/>
  <c r="BJ97" i="11" s="1"/>
  <c r="BE97" i="11"/>
  <c r="BK97" i="11" s="1"/>
  <c r="BF97" i="11"/>
  <c r="BL97" i="11" s="1"/>
  <c r="BA98" i="11"/>
  <c r="BG98" i="11" s="1"/>
  <c r="BB98" i="11"/>
  <c r="BH98" i="11" s="1"/>
  <c r="BC98" i="11"/>
  <c r="BI98" i="11" s="1"/>
  <c r="BD98" i="11"/>
  <c r="BJ98" i="11" s="1"/>
  <c r="BE98" i="11"/>
  <c r="BK98" i="11" s="1"/>
  <c r="BF98" i="11"/>
  <c r="BL98" i="11" s="1"/>
  <c r="BA99" i="11"/>
  <c r="BG99" i="11" s="1"/>
  <c r="BB99" i="11"/>
  <c r="BH99" i="11" s="1"/>
  <c r="BC99" i="11"/>
  <c r="BI99" i="11" s="1"/>
  <c r="BD99" i="11"/>
  <c r="BJ99" i="11" s="1"/>
  <c r="BE99" i="11"/>
  <c r="BK99" i="11" s="1"/>
  <c r="BF99" i="11"/>
  <c r="BL99" i="11" s="1"/>
  <c r="BA100" i="11"/>
  <c r="BG100" i="11" s="1"/>
  <c r="BB100" i="11"/>
  <c r="BH100" i="11" s="1"/>
  <c r="BC100" i="11"/>
  <c r="BI100" i="11" s="1"/>
  <c r="BD100" i="11"/>
  <c r="BJ100" i="11" s="1"/>
  <c r="BE100" i="11"/>
  <c r="BK100" i="11" s="1"/>
  <c r="BF100" i="11"/>
  <c r="BL100" i="11" s="1"/>
  <c r="BA101" i="11"/>
  <c r="BG101" i="11" s="1"/>
  <c r="BB101" i="11"/>
  <c r="BH101" i="11" s="1"/>
  <c r="BC101" i="11"/>
  <c r="BI101" i="11" s="1"/>
  <c r="BD101" i="11"/>
  <c r="BJ101" i="11" s="1"/>
  <c r="BE101" i="11"/>
  <c r="BK101" i="11" s="1"/>
  <c r="BF101" i="11"/>
  <c r="BL101" i="11" s="1"/>
  <c r="BA102" i="11"/>
  <c r="BG102" i="11" s="1"/>
  <c r="BB102" i="11"/>
  <c r="BH102" i="11" s="1"/>
  <c r="BC102" i="11"/>
  <c r="BI102" i="11" s="1"/>
  <c r="BD102" i="11"/>
  <c r="BJ102" i="11" s="1"/>
  <c r="BE102" i="11"/>
  <c r="BK102" i="11" s="1"/>
  <c r="BF102" i="11"/>
  <c r="BL102" i="11" s="1"/>
  <c r="BA103" i="11"/>
  <c r="BG103" i="11" s="1"/>
  <c r="BB103" i="11"/>
  <c r="BH103" i="11" s="1"/>
  <c r="BC103" i="11"/>
  <c r="BI103" i="11" s="1"/>
  <c r="BD103" i="11"/>
  <c r="BJ103" i="11" s="1"/>
  <c r="BE103" i="11"/>
  <c r="BK103" i="11" s="1"/>
  <c r="BF103" i="11"/>
  <c r="BL103" i="11" s="1"/>
  <c r="BA104" i="11"/>
  <c r="BG104" i="11" s="1"/>
  <c r="BB104" i="11"/>
  <c r="BH104" i="11" s="1"/>
  <c r="BC104" i="11"/>
  <c r="BI104" i="11" s="1"/>
  <c r="BD104" i="11"/>
  <c r="BJ104" i="11" s="1"/>
  <c r="BE104" i="11"/>
  <c r="BK104" i="11" s="1"/>
  <c r="BF104" i="11"/>
  <c r="BL104" i="11" s="1"/>
  <c r="BA105" i="11"/>
  <c r="BG105" i="11" s="1"/>
  <c r="BB105" i="11"/>
  <c r="BH105" i="11" s="1"/>
  <c r="BC105" i="11"/>
  <c r="BI105" i="11" s="1"/>
  <c r="BD105" i="11"/>
  <c r="BJ105" i="11" s="1"/>
  <c r="BE105" i="11"/>
  <c r="BK105" i="11" s="1"/>
  <c r="BF105" i="11"/>
  <c r="BL105" i="11" s="1"/>
  <c r="BA106" i="11"/>
  <c r="BG106" i="11" s="1"/>
  <c r="BB106" i="11"/>
  <c r="BH106" i="11" s="1"/>
  <c r="BC106" i="11"/>
  <c r="BI106" i="11" s="1"/>
  <c r="BD106" i="11"/>
  <c r="BJ106" i="11" s="1"/>
  <c r="BE106" i="11"/>
  <c r="BK106" i="11" s="1"/>
  <c r="BF106" i="11"/>
  <c r="BL106" i="11" s="1"/>
  <c r="BA107" i="11"/>
  <c r="BG107" i="11" s="1"/>
  <c r="BB107" i="11"/>
  <c r="BH107" i="11" s="1"/>
  <c r="BC107" i="11"/>
  <c r="BI107" i="11" s="1"/>
  <c r="BD107" i="11"/>
  <c r="BJ107" i="11" s="1"/>
  <c r="BE107" i="11"/>
  <c r="BK107" i="11" s="1"/>
  <c r="BF107" i="11"/>
  <c r="BL107" i="11" s="1"/>
  <c r="BA108" i="11"/>
  <c r="BG108" i="11" s="1"/>
  <c r="BB108" i="11"/>
  <c r="BH108" i="11" s="1"/>
  <c r="BC108" i="11"/>
  <c r="BI108" i="11" s="1"/>
  <c r="BD108" i="11"/>
  <c r="BJ108" i="11" s="1"/>
  <c r="BE108" i="11"/>
  <c r="BK108" i="11" s="1"/>
  <c r="BF108" i="11"/>
  <c r="BL108" i="11" s="1"/>
  <c r="BA109" i="11"/>
  <c r="BG109" i="11" s="1"/>
  <c r="BB109" i="11"/>
  <c r="BH109" i="11" s="1"/>
  <c r="BC109" i="11"/>
  <c r="BI109" i="11" s="1"/>
  <c r="BD109" i="11"/>
  <c r="BJ109" i="11" s="1"/>
  <c r="BE109" i="11"/>
  <c r="BK109" i="11" s="1"/>
  <c r="BF109" i="11"/>
  <c r="BL109" i="11" s="1"/>
  <c r="BA110" i="11"/>
  <c r="BG110" i="11" s="1"/>
  <c r="BB110" i="11"/>
  <c r="BH110" i="11" s="1"/>
  <c r="BC110" i="11"/>
  <c r="BI110" i="11" s="1"/>
  <c r="BD110" i="11"/>
  <c r="BJ110" i="11" s="1"/>
  <c r="BE110" i="11"/>
  <c r="BK110" i="11" s="1"/>
  <c r="BF110" i="11"/>
  <c r="BL110" i="11" s="1"/>
  <c r="BA111" i="11"/>
  <c r="BG111" i="11" s="1"/>
  <c r="BB111" i="11"/>
  <c r="BH111" i="11" s="1"/>
  <c r="BC111" i="11"/>
  <c r="BI111" i="11" s="1"/>
  <c r="BD111" i="11"/>
  <c r="BJ111" i="11" s="1"/>
  <c r="BE111" i="11"/>
  <c r="BK111" i="11" s="1"/>
  <c r="BF111" i="11"/>
  <c r="BL111" i="11" s="1"/>
  <c r="BA112" i="11"/>
  <c r="BG112" i="11" s="1"/>
  <c r="BB112" i="11"/>
  <c r="BH112" i="11" s="1"/>
  <c r="BC112" i="11"/>
  <c r="BI112" i="11" s="1"/>
  <c r="BD112" i="11"/>
  <c r="BJ112" i="11" s="1"/>
  <c r="BE112" i="11"/>
  <c r="BK112" i="11" s="1"/>
  <c r="BF112" i="11"/>
  <c r="BL112" i="11" s="1"/>
  <c r="BA113" i="11"/>
  <c r="BG113" i="11" s="1"/>
  <c r="BB113" i="11"/>
  <c r="BH113" i="11" s="1"/>
  <c r="BC113" i="11"/>
  <c r="BI113" i="11" s="1"/>
  <c r="BD113" i="11"/>
  <c r="BJ113" i="11" s="1"/>
  <c r="BE113" i="11"/>
  <c r="BK113" i="11" s="1"/>
  <c r="BF113" i="11"/>
  <c r="BL113" i="11" s="1"/>
  <c r="BA114" i="11"/>
  <c r="BG114" i="11" s="1"/>
  <c r="BB114" i="11"/>
  <c r="BH114" i="11" s="1"/>
  <c r="BC114" i="11"/>
  <c r="BI114" i="11" s="1"/>
  <c r="BD114" i="11"/>
  <c r="BJ114" i="11" s="1"/>
  <c r="BE114" i="11"/>
  <c r="BK114" i="11" s="1"/>
  <c r="BF114" i="11"/>
  <c r="BL114" i="11" s="1"/>
  <c r="BA115" i="11"/>
  <c r="BG115" i="11" s="1"/>
  <c r="BB115" i="11"/>
  <c r="BH115" i="11" s="1"/>
  <c r="BC115" i="11"/>
  <c r="BI115" i="11" s="1"/>
  <c r="BD115" i="11"/>
  <c r="BJ115" i="11" s="1"/>
  <c r="BE115" i="11"/>
  <c r="BK115" i="11" s="1"/>
  <c r="BF115" i="11"/>
  <c r="BL115" i="11" s="1"/>
  <c r="BA116" i="11"/>
  <c r="BG116" i="11" s="1"/>
  <c r="BB116" i="11"/>
  <c r="BH116" i="11" s="1"/>
  <c r="BC116" i="11"/>
  <c r="BI116" i="11" s="1"/>
  <c r="BD116" i="11"/>
  <c r="BJ116" i="11" s="1"/>
  <c r="BE116" i="11"/>
  <c r="BK116" i="11" s="1"/>
  <c r="BF116" i="11"/>
  <c r="BL116" i="11" s="1"/>
  <c r="BA117" i="11"/>
  <c r="BG117" i="11" s="1"/>
  <c r="BB117" i="11"/>
  <c r="BH117" i="11" s="1"/>
  <c r="BC117" i="11"/>
  <c r="BI117" i="11" s="1"/>
  <c r="BD117" i="11"/>
  <c r="BJ117" i="11" s="1"/>
  <c r="BE117" i="11"/>
  <c r="BK117" i="11" s="1"/>
  <c r="BF117" i="11"/>
  <c r="BL117" i="11" s="1"/>
  <c r="BA118" i="11"/>
  <c r="BG118" i="11" s="1"/>
  <c r="BB118" i="11"/>
  <c r="BH118" i="11" s="1"/>
  <c r="BC118" i="11"/>
  <c r="BI118" i="11" s="1"/>
  <c r="BD118" i="11"/>
  <c r="BJ118" i="11" s="1"/>
  <c r="BE118" i="11"/>
  <c r="BK118" i="11" s="1"/>
  <c r="BF118" i="11"/>
  <c r="BL118" i="11" s="1"/>
  <c r="BA119" i="11"/>
  <c r="BG119" i="11" s="1"/>
  <c r="BB119" i="11"/>
  <c r="BH119" i="11" s="1"/>
  <c r="BC119" i="11"/>
  <c r="BI119" i="11" s="1"/>
  <c r="BD119" i="11"/>
  <c r="BJ119" i="11" s="1"/>
  <c r="BE119" i="11"/>
  <c r="BK119" i="11" s="1"/>
  <c r="BF119" i="11"/>
  <c r="BL119" i="11" s="1"/>
  <c r="BA120" i="11"/>
  <c r="BG120" i="11" s="1"/>
  <c r="BB120" i="11"/>
  <c r="BH120" i="11" s="1"/>
  <c r="BC120" i="11"/>
  <c r="BI120" i="11" s="1"/>
  <c r="BD120" i="11"/>
  <c r="BJ120" i="11" s="1"/>
  <c r="BE120" i="11"/>
  <c r="BK120" i="11" s="1"/>
  <c r="BF120" i="11"/>
  <c r="BL120" i="11" s="1"/>
  <c r="BA121" i="11"/>
  <c r="BG121" i="11" s="1"/>
  <c r="BB121" i="11"/>
  <c r="BH121" i="11" s="1"/>
  <c r="BC121" i="11"/>
  <c r="BI121" i="11" s="1"/>
  <c r="BD121" i="11"/>
  <c r="BJ121" i="11" s="1"/>
  <c r="BE121" i="11"/>
  <c r="BK121" i="11" s="1"/>
  <c r="BF121" i="11"/>
  <c r="BL121" i="11" s="1"/>
  <c r="BA122" i="11"/>
  <c r="BG122" i="11" s="1"/>
  <c r="BB122" i="11"/>
  <c r="BH122" i="11" s="1"/>
  <c r="BC122" i="11"/>
  <c r="BI122" i="11" s="1"/>
  <c r="BD122" i="11"/>
  <c r="BJ122" i="11" s="1"/>
  <c r="BE122" i="11"/>
  <c r="BK122" i="11" s="1"/>
  <c r="BF122" i="11"/>
  <c r="BL122" i="11" s="1"/>
  <c r="BA123" i="11"/>
  <c r="BG123" i="11" s="1"/>
  <c r="BB123" i="11"/>
  <c r="BH123" i="11" s="1"/>
  <c r="BC123" i="11"/>
  <c r="BI123" i="11" s="1"/>
  <c r="BD123" i="11"/>
  <c r="BJ123" i="11" s="1"/>
  <c r="BE123" i="11"/>
  <c r="BK123" i="11" s="1"/>
  <c r="BF123" i="11"/>
  <c r="BL123" i="11" s="1"/>
  <c r="BA124" i="11"/>
  <c r="BG124" i="11" s="1"/>
  <c r="BB124" i="11"/>
  <c r="BH124" i="11" s="1"/>
  <c r="BC124" i="11"/>
  <c r="BI124" i="11" s="1"/>
  <c r="BD124" i="11"/>
  <c r="BJ124" i="11" s="1"/>
  <c r="BE124" i="11"/>
  <c r="BK124" i="11" s="1"/>
  <c r="BF124" i="11"/>
  <c r="BL124" i="11" s="1"/>
  <c r="BA125" i="11"/>
  <c r="BG125" i="11" s="1"/>
  <c r="BB125" i="11"/>
  <c r="BH125" i="11" s="1"/>
  <c r="BC125" i="11"/>
  <c r="BI125" i="11" s="1"/>
  <c r="BD125" i="11"/>
  <c r="BJ125" i="11" s="1"/>
  <c r="BE125" i="11"/>
  <c r="BK125" i="11" s="1"/>
  <c r="BF125" i="11"/>
  <c r="BL125" i="11" s="1"/>
  <c r="BA126" i="11"/>
  <c r="BG126" i="11" s="1"/>
  <c r="BB126" i="11"/>
  <c r="BH126" i="11" s="1"/>
  <c r="BC126" i="11"/>
  <c r="BI126" i="11" s="1"/>
  <c r="BD126" i="11"/>
  <c r="BJ126" i="11" s="1"/>
  <c r="BE126" i="11"/>
  <c r="BK126" i="11" s="1"/>
  <c r="BF126" i="11"/>
  <c r="BL126" i="11" s="1"/>
  <c r="BA127" i="11"/>
  <c r="BG127" i="11" s="1"/>
  <c r="BB127" i="11"/>
  <c r="BH127" i="11" s="1"/>
  <c r="BC127" i="11"/>
  <c r="BI127" i="11" s="1"/>
  <c r="BD127" i="11"/>
  <c r="BJ127" i="11" s="1"/>
  <c r="BE127" i="11"/>
  <c r="BK127" i="11" s="1"/>
  <c r="BF127" i="11"/>
  <c r="BL127" i="11" s="1"/>
  <c r="BA128" i="11"/>
  <c r="BG128" i="11" s="1"/>
  <c r="BB128" i="11"/>
  <c r="BH128" i="11" s="1"/>
  <c r="BC128" i="11"/>
  <c r="BI128" i="11" s="1"/>
  <c r="BD128" i="11"/>
  <c r="BJ128" i="11" s="1"/>
  <c r="BE128" i="11"/>
  <c r="BK128" i="11" s="1"/>
  <c r="BF128" i="11"/>
  <c r="BL128" i="11" s="1"/>
  <c r="BA129" i="11"/>
  <c r="BG129" i="11" s="1"/>
  <c r="BB129" i="11"/>
  <c r="BH129" i="11" s="1"/>
  <c r="BC129" i="11"/>
  <c r="BI129" i="11" s="1"/>
  <c r="BD129" i="11"/>
  <c r="BJ129" i="11" s="1"/>
  <c r="BE129" i="11"/>
  <c r="BK129" i="11" s="1"/>
  <c r="BF129" i="11"/>
  <c r="BL129" i="11" s="1"/>
  <c r="BA130" i="11"/>
  <c r="BG130" i="11" s="1"/>
  <c r="BB130" i="11"/>
  <c r="BH130" i="11" s="1"/>
  <c r="BC130" i="11"/>
  <c r="BI130" i="11" s="1"/>
  <c r="BD130" i="11"/>
  <c r="BJ130" i="11" s="1"/>
  <c r="BE130" i="11"/>
  <c r="BK130" i="11" s="1"/>
  <c r="BF130" i="11"/>
  <c r="BL130" i="11" s="1"/>
  <c r="BA131" i="11"/>
  <c r="BG131" i="11" s="1"/>
  <c r="BB131" i="11"/>
  <c r="BH131" i="11" s="1"/>
  <c r="BC131" i="11"/>
  <c r="BI131" i="11" s="1"/>
  <c r="BD131" i="11"/>
  <c r="BJ131" i="11" s="1"/>
  <c r="BE131" i="11"/>
  <c r="BK131" i="11" s="1"/>
  <c r="BF131" i="11"/>
  <c r="BL131" i="11" s="1"/>
  <c r="BA132" i="11"/>
  <c r="BG132" i="11" s="1"/>
  <c r="BB132" i="11"/>
  <c r="BH132" i="11" s="1"/>
  <c r="BC132" i="11"/>
  <c r="BI132" i="11" s="1"/>
  <c r="BD132" i="11"/>
  <c r="BJ132" i="11" s="1"/>
  <c r="BE132" i="11"/>
  <c r="BK132" i="11" s="1"/>
  <c r="BF132" i="11"/>
  <c r="BL132" i="11" s="1"/>
  <c r="BA133" i="11"/>
  <c r="BG133" i="11" s="1"/>
  <c r="BB133" i="11"/>
  <c r="BH133" i="11" s="1"/>
  <c r="BC133" i="11"/>
  <c r="BI133" i="11" s="1"/>
  <c r="BD133" i="11"/>
  <c r="BJ133" i="11" s="1"/>
  <c r="BE133" i="11"/>
  <c r="BK133" i="11" s="1"/>
  <c r="BF133" i="11"/>
  <c r="BL133" i="11" s="1"/>
  <c r="BA134" i="11"/>
  <c r="BG134" i="11" s="1"/>
  <c r="BB134" i="11"/>
  <c r="BH134" i="11" s="1"/>
  <c r="BC134" i="11"/>
  <c r="BI134" i="11" s="1"/>
  <c r="BD134" i="11"/>
  <c r="BJ134" i="11" s="1"/>
  <c r="BE134" i="11"/>
  <c r="BK134" i="11" s="1"/>
  <c r="BF134" i="11"/>
  <c r="BL134" i="11" s="1"/>
  <c r="BA135" i="11"/>
  <c r="BG135" i="11" s="1"/>
  <c r="BB135" i="11"/>
  <c r="BH135" i="11" s="1"/>
  <c r="BC135" i="11"/>
  <c r="BI135" i="11" s="1"/>
  <c r="BD135" i="11"/>
  <c r="BJ135" i="11" s="1"/>
  <c r="BE135" i="11"/>
  <c r="BK135" i="11" s="1"/>
  <c r="BF135" i="11"/>
  <c r="BL135" i="11" s="1"/>
  <c r="BA136" i="11"/>
  <c r="BG136" i="11" s="1"/>
  <c r="BB136" i="11"/>
  <c r="BH136" i="11" s="1"/>
  <c r="BC136" i="11"/>
  <c r="BI136" i="11" s="1"/>
  <c r="BD136" i="11"/>
  <c r="BJ136" i="11" s="1"/>
  <c r="BE136" i="11"/>
  <c r="BK136" i="11" s="1"/>
  <c r="BF136" i="11"/>
  <c r="BL136" i="11" s="1"/>
  <c r="BA137" i="11"/>
  <c r="BG137" i="11" s="1"/>
  <c r="BB137" i="11"/>
  <c r="BH137" i="11" s="1"/>
  <c r="BC137" i="11"/>
  <c r="BI137" i="11" s="1"/>
  <c r="BD137" i="11"/>
  <c r="BJ137" i="11" s="1"/>
  <c r="BE137" i="11"/>
  <c r="BK137" i="11" s="1"/>
  <c r="BF137" i="11"/>
  <c r="BL137" i="11" s="1"/>
  <c r="BA138" i="11"/>
  <c r="BG138" i="11" s="1"/>
  <c r="BB138" i="11"/>
  <c r="BH138" i="11" s="1"/>
  <c r="BC138" i="11"/>
  <c r="BI138" i="11" s="1"/>
  <c r="BD138" i="11"/>
  <c r="BJ138" i="11" s="1"/>
  <c r="BE138" i="11"/>
  <c r="BK138" i="11" s="1"/>
  <c r="BF138" i="11"/>
  <c r="BL138" i="11" s="1"/>
  <c r="BA139" i="11"/>
  <c r="BG139" i="11" s="1"/>
  <c r="BB139" i="11"/>
  <c r="BH139" i="11" s="1"/>
  <c r="BC139" i="11"/>
  <c r="BI139" i="11" s="1"/>
  <c r="BD139" i="11"/>
  <c r="BJ139" i="11" s="1"/>
  <c r="BE139" i="11"/>
  <c r="BK139" i="11" s="1"/>
  <c r="BF139" i="11"/>
  <c r="BL139" i="11" s="1"/>
  <c r="BA140" i="11"/>
  <c r="BG140" i="11" s="1"/>
  <c r="BB140" i="11"/>
  <c r="BH140" i="11" s="1"/>
  <c r="BC140" i="11"/>
  <c r="BI140" i="11" s="1"/>
  <c r="BD140" i="11"/>
  <c r="BJ140" i="11" s="1"/>
  <c r="BE140" i="11"/>
  <c r="BK140" i="11" s="1"/>
  <c r="BF140" i="11"/>
  <c r="BL140" i="11" s="1"/>
  <c r="BA141" i="11"/>
  <c r="BG141" i="11" s="1"/>
  <c r="BB141" i="11"/>
  <c r="BH141" i="11" s="1"/>
  <c r="BC141" i="11"/>
  <c r="BI141" i="11" s="1"/>
  <c r="BD141" i="11"/>
  <c r="BJ141" i="11" s="1"/>
  <c r="BE141" i="11"/>
  <c r="BK141" i="11" s="1"/>
  <c r="BF141" i="11"/>
  <c r="BL141" i="11" s="1"/>
  <c r="BA142" i="11"/>
  <c r="BG142" i="11" s="1"/>
  <c r="BB142" i="11"/>
  <c r="BH142" i="11" s="1"/>
  <c r="BC142" i="11"/>
  <c r="BI142" i="11" s="1"/>
  <c r="BD142" i="11"/>
  <c r="BJ142" i="11" s="1"/>
  <c r="BE142" i="11"/>
  <c r="BK142" i="11" s="1"/>
  <c r="BF142" i="11"/>
  <c r="BL142" i="11" s="1"/>
  <c r="BA143" i="11"/>
  <c r="BG143" i="11" s="1"/>
  <c r="BB143" i="11"/>
  <c r="BH143" i="11" s="1"/>
  <c r="BC143" i="11"/>
  <c r="BI143" i="11" s="1"/>
  <c r="BD143" i="11"/>
  <c r="BJ143" i="11" s="1"/>
  <c r="BE143" i="11"/>
  <c r="BK143" i="11" s="1"/>
  <c r="BF143" i="11"/>
  <c r="BL143" i="11" s="1"/>
  <c r="BA144" i="11"/>
  <c r="BG144" i="11" s="1"/>
  <c r="BB144" i="11"/>
  <c r="BH144" i="11" s="1"/>
  <c r="BC144" i="11"/>
  <c r="BI144" i="11" s="1"/>
  <c r="BD144" i="11"/>
  <c r="BJ144" i="11" s="1"/>
  <c r="BE144" i="11"/>
  <c r="BK144" i="11" s="1"/>
  <c r="BF144" i="11"/>
  <c r="BL144" i="11" s="1"/>
  <c r="BA145" i="11"/>
  <c r="BG145" i="11" s="1"/>
  <c r="BB145" i="11"/>
  <c r="BH145" i="11" s="1"/>
  <c r="BC145" i="11"/>
  <c r="BI145" i="11" s="1"/>
  <c r="BD145" i="11"/>
  <c r="BJ145" i="11" s="1"/>
  <c r="BE145" i="11"/>
  <c r="BK145" i="11" s="1"/>
  <c r="BF145" i="11"/>
  <c r="BL145" i="11" s="1"/>
  <c r="BA146" i="11"/>
  <c r="BG146" i="11" s="1"/>
  <c r="BB146" i="11"/>
  <c r="BH146" i="11" s="1"/>
  <c r="BC146" i="11"/>
  <c r="BI146" i="11" s="1"/>
  <c r="BD146" i="11"/>
  <c r="BJ146" i="11" s="1"/>
  <c r="BE146" i="11"/>
  <c r="BK146" i="11" s="1"/>
  <c r="BF146" i="11"/>
  <c r="BL146" i="11" s="1"/>
  <c r="BA147" i="11"/>
  <c r="BG147" i="11" s="1"/>
  <c r="BB147" i="11"/>
  <c r="BH147" i="11" s="1"/>
  <c r="BC147" i="11"/>
  <c r="BI147" i="11" s="1"/>
  <c r="BD147" i="11"/>
  <c r="BJ147" i="11" s="1"/>
  <c r="BE147" i="11"/>
  <c r="BK147" i="11" s="1"/>
  <c r="BF147" i="11"/>
  <c r="BL147" i="11" s="1"/>
  <c r="BA148" i="11"/>
  <c r="BG148" i="11" s="1"/>
  <c r="BB148" i="11"/>
  <c r="BH148" i="11" s="1"/>
  <c r="BC148" i="11"/>
  <c r="BI148" i="11" s="1"/>
  <c r="BD148" i="11"/>
  <c r="BJ148" i="11" s="1"/>
  <c r="BE148" i="11"/>
  <c r="BK148" i="11" s="1"/>
  <c r="BF148" i="11"/>
  <c r="BL148" i="11" s="1"/>
  <c r="BA149" i="11"/>
  <c r="BG149" i="11" s="1"/>
  <c r="BB149" i="11"/>
  <c r="BH149" i="11" s="1"/>
  <c r="BC149" i="11"/>
  <c r="BI149" i="11" s="1"/>
  <c r="BD149" i="11"/>
  <c r="BJ149" i="11" s="1"/>
  <c r="BE149" i="11"/>
  <c r="BK149" i="11" s="1"/>
  <c r="BF149" i="11"/>
  <c r="BL149" i="11" s="1"/>
  <c r="BA150" i="11"/>
  <c r="BG150" i="11" s="1"/>
  <c r="BB150" i="11"/>
  <c r="BH150" i="11" s="1"/>
  <c r="BC150" i="11"/>
  <c r="BI150" i="11" s="1"/>
  <c r="BD150" i="11"/>
  <c r="BJ150" i="11" s="1"/>
  <c r="BE150" i="11"/>
  <c r="BK150" i="11" s="1"/>
  <c r="BF150" i="11"/>
  <c r="BL150" i="11" s="1"/>
  <c r="BA151" i="11"/>
  <c r="BG151" i="11" s="1"/>
  <c r="BB151" i="11"/>
  <c r="BH151" i="11" s="1"/>
  <c r="BC151" i="11"/>
  <c r="BI151" i="11" s="1"/>
  <c r="BD151" i="11"/>
  <c r="BJ151" i="11" s="1"/>
  <c r="BE151" i="11"/>
  <c r="BK151" i="11" s="1"/>
  <c r="BF151" i="11"/>
  <c r="BL151" i="11" s="1"/>
  <c r="BA152" i="11"/>
  <c r="BG152" i="11" s="1"/>
  <c r="BB152" i="11"/>
  <c r="BH152" i="11" s="1"/>
  <c r="BC152" i="11"/>
  <c r="BI152" i="11" s="1"/>
  <c r="BD152" i="11"/>
  <c r="BJ152" i="11" s="1"/>
  <c r="BE152" i="11"/>
  <c r="BK152" i="11" s="1"/>
  <c r="BF152" i="11"/>
  <c r="BL152" i="11" s="1"/>
  <c r="BA153" i="11"/>
  <c r="BG153" i="11" s="1"/>
  <c r="BB153" i="11"/>
  <c r="BH153" i="11" s="1"/>
  <c r="BC153" i="11"/>
  <c r="BI153" i="11" s="1"/>
  <c r="BD153" i="11"/>
  <c r="BJ153" i="11" s="1"/>
  <c r="BE153" i="11"/>
  <c r="BK153" i="11" s="1"/>
  <c r="BF153" i="11"/>
  <c r="BL153" i="11" s="1"/>
  <c r="BA154" i="11"/>
  <c r="BG154" i="11" s="1"/>
  <c r="BB154" i="11"/>
  <c r="BH154" i="11" s="1"/>
  <c r="BC154" i="11"/>
  <c r="BI154" i="11" s="1"/>
  <c r="BD154" i="11"/>
  <c r="BJ154" i="11" s="1"/>
  <c r="BE154" i="11"/>
  <c r="BK154" i="11" s="1"/>
  <c r="BF154" i="11"/>
  <c r="BL154" i="11" s="1"/>
  <c r="BA155" i="11"/>
  <c r="BG155" i="11" s="1"/>
  <c r="BB155" i="11"/>
  <c r="BH155" i="11" s="1"/>
  <c r="BC155" i="11"/>
  <c r="BI155" i="11" s="1"/>
  <c r="BD155" i="11"/>
  <c r="BJ155" i="11" s="1"/>
  <c r="BE155" i="11"/>
  <c r="BK155" i="11" s="1"/>
  <c r="BF155" i="11"/>
  <c r="BL155" i="11" s="1"/>
  <c r="BA156" i="11"/>
  <c r="BG156" i="11" s="1"/>
  <c r="BB156" i="11"/>
  <c r="BH156" i="11" s="1"/>
  <c r="BC156" i="11"/>
  <c r="BI156" i="11" s="1"/>
  <c r="BD156" i="11"/>
  <c r="BJ156" i="11" s="1"/>
  <c r="BE156" i="11"/>
  <c r="BK156" i="11" s="1"/>
  <c r="BF156" i="11"/>
  <c r="BL156" i="11" s="1"/>
  <c r="BA157" i="11"/>
  <c r="BG157" i="11" s="1"/>
  <c r="BB157" i="11"/>
  <c r="BH157" i="11" s="1"/>
  <c r="BC157" i="11"/>
  <c r="BI157" i="11" s="1"/>
  <c r="BD157" i="11"/>
  <c r="BJ157" i="11" s="1"/>
  <c r="BE157" i="11"/>
  <c r="BK157" i="11" s="1"/>
  <c r="BF157" i="11"/>
  <c r="BL157" i="11" s="1"/>
  <c r="BA158" i="11"/>
  <c r="BG158" i="11" s="1"/>
  <c r="BB158" i="11"/>
  <c r="BH158" i="11" s="1"/>
  <c r="BC158" i="11"/>
  <c r="BI158" i="11" s="1"/>
  <c r="BD158" i="11"/>
  <c r="BJ158" i="11" s="1"/>
  <c r="BE158" i="11"/>
  <c r="BK158" i="11" s="1"/>
  <c r="BF158" i="11"/>
  <c r="BL158" i="11" s="1"/>
  <c r="BA159" i="11"/>
  <c r="BG159" i="11" s="1"/>
  <c r="BB159" i="11"/>
  <c r="BH159" i="11" s="1"/>
  <c r="BC159" i="11"/>
  <c r="BI159" i="11" s="1"/>
  <c r="BD159" i="11"/>
  <c r="BJ159" i="11" s="1"/>
  <c r="BE159" i="11"/>
  <c r="BK159" i="11" s="1"/>
  <c r="BF159" i="11"/>
  <c r="BL159" i="11" s="1"/>
  <c r="BA160" i="11"/>
  <c r="BG160" i="11" s="1"/>
  <c r="BB160" i="11"/>
  <c r="BH160" i="11" s="1"/>
  <c r="BC160" i="11"/>
  <c r="BI160" i="11" s="1"/>
  <c r="BD160" i="11"/>
  <c r="BJ160" i="11" s="1"/>
  <c r="BE160" i="11"/>
  <c r="BK160" i="11" s="1"/>
  <c r="BF160" i="11"/>
  <c r="BL160" i="11" s="1"/>
  <c r="BA161" i="11"/>
  <c r="BG161" i="11" s="1"/>
  <c r="BB161" i="11"/>
  <c r="BH161" i="11" s="1"/>
  <c r="BC161" i="11"/>
  <c r="BI161" i="11" s="1"/>
  <c r="BD161" i="11"/>
  <c r="BJ161" i="11" s="1"/>
  <c r="BE161" i="11"/>
  <c r="BK161" i="11" s="1"/>
  <c r="BF161" i="11"/>
  <c r="BL161" i="11" s="1"/>
  <c r="BA162" i="11"/>
  <c r="BG162" i="11" s="1"/>
  <c r="BB162" i="11"/>
  <c r="BH162" i="11" s="1"/>
  <c r="BC162" i="11"/>
  <c r="BI162" i="11" s="1"/>
  <c r="BD162" i="11"/>
  <c r="BJ162" i="11" s="1"/>
  <c r="BE162" i="11"/>
  <c r="BK162" i="11" s="1"/>
  <c r="BF162" i="11"/>
  <c r="BL162" i="11" s="1"/>
  <c r="BA163" i="11"/>
  <c r="BG163" i="11" s="1"/>
  <c r="BB163" i="11"/>
  <c r="BH163" i="11" s="1"/>
  <c r="BC163" i="11"/>
  <c r="BI163" i="11" s="1"/>
  <c r="BD163" i="11"/>
  <c r="BJ163" i="11" s="1"/>
  <c r="BE163" i="11"/>
  <c r="BK163" i="11" s="1"/>
  <c r="BF163" i="11"/>
  <c r="BL163" i="11" s="1"/>
  <c r="BA164" i="11"/>
  <c r="BG164" i="11" s="1"/>
  <c r="BB164" i="11"/>
  <c r="BH164" i="11" s="1"/>
  <c r="BC164" i="11"/>
  <c r="BI164" i="11" s="1"/>
  <c r="BD164" i="11"/>
  <c r="BJ164" i="11" s="1"/>
  <c r="BE164" i="11"/>
  <c r="BK164" i="11" s="1"/>
  <c r="BF164" i="11"/>
  <c r="BL164" i="11" s="1"/>
  <c r="BA165" i="11"/>
  <c r="BG165" i="11" s="1"/>
  <c r="BB165" i="11"/>
  <c r="BH165" i="11" s="1"/>
  <c r="BC165" i="11"/>
  <c r="BI165" i="11" s="1"/>
  <c r="BD165" i="11"/>
  <c r="BJ165" i="11" s="1"/>
  <c r="BE165" i="11"/>
  <c r="BK165" i="11" s="1"/>
  <c r="BF165" i="11"/>
  <c r="BL165" i="11" s="1"/>
  <c r="BA166" i="11"/>
  <c r="BG166" i="11" s="1"/>
  <c r="BB166" i="11"/>
  <c r="BH166" i="11" s="1"/>
  <c r="BC166" i="11"/>
  <c r="BI166" i="11" s="1"/>
  <c r="BD166" i="11"/>
  <c r="BJ166" i="11" s="1"/>
  <c r="BE166" i="11"/>
  <c r="BK166" i="11" s="1"/>
  <c r="BF166" i="11"/>
  <c r="BL166" i="11" s="1"/>
  <c r="BA167" i="11"/>
  <c r="BG167" i="11" s="1"/>
  <c r="BB167" i="11"/>
  <c r="BH167" i="11" s="1"/>
  <c r="BC167" i="11"/>
  <c r="BI167" i="11" s="1"/>
  <c r="BD167" i="11"/>
  <c r="BJ167" i="11" s="1"/>
  <c r="BE167" i="11"/>
  <c r="BK167" i="11" s="1"/>
  <c r="BF167" i="11"/>
  <c r="BL167" i="11" s="1"/>
  <c r="BA168" i="11"/>
  <c r="BG168" i="11" s="1"/>
  <c r="BB168" i="11"/>
  <c r="BH168" i="11" s="1"/>
  <c r="BC168" i="11"/>
  <c r="BI168" i="11" s="1"/>
  <c r="BD168" i="11"/>
  <c r="BJ168" i="11" s="1"/>
  <c r="BE168" i="11"/>
  <c r="BK168" i="11" s="1"/>
  <c r="BF168" i="11"/>
  <c r="BL168" i="11" s="1"/>
  <c r="BA169" i="11"/>
  <c r="BG169" i="11" s="1"/>
  <c r="BB169" i="11"/>
  <c r="BH169" i="11" s="1"/>
  <c r="BC169" i="11"/>
  <c r="BI169" i="11" s="1"/>
  <c r="BD169" i="11"/>
  <c r="BJ169" i="11" s="1"/>
  <c r="BE169" i="11"/>
  <c r="BK169" i="11" s="1"/>
  <c r="BF169" i="11"/>
  <c r="BL169" i="11" s="1"/>
  <c r="BA170" i="11"/>
  <c r="BG170" i="11" s="1"/>
  <c r="BB170" i="11"/>
  <c r="BH170" i="11" s="1"/>
  <c r="BC170" i="11"/>
  <c r="BI170" i="11" s="1"/>
  <c r="BD170" i="11"/>
  <c r="BJ170" i="11" s="1"/>
  <c r="BE170" i="11"/>
  <c r="BK170" i="11" s="1"/>
  <c r="BF170" i="11"/>
  <c r="BL170" i="11" s="1"/>
  <c r="BA171" i="11"/>
  <c r="BG171" i="11" s="1"/>
  <c r="BB171" i="11"/>
  <c r="BH171" i="11" s="1"/>
  <c r="BC171" i="11"/>
  <c r="BI171" i="11" s="1"/>
  <c r="BD171" i="11"/>
  <c r="BJ171" i="11" s="1"/>
  <c r="BE171" i="11"/>
  <c r="BK171" i="11" s="1"/>
  <c r="BF171" i="11"/>
  <c r="BL171" i="11" s="1"/>
  <c r="BA172" i="11"/>
  <c r="BG172" i="11" s="1"/>
  <c r="BB172" i="11"/>
  <c r="BH172" i="11" s="1"/>
  <c r="BC172" i="11"/>
  <c r="BI172" i="11" s="1"/>
  <c r="BD172" i="11"/>
  <c r="BJ172" i="11" s="1"/>
  <c r="BE172" i="11"/>
  <c r="BK172" i="11" s="1"/>
  <c r="BF172" i="11"/>
  <c r="BL172" i="11" s="1"/>
  <c r="BA173" i="11"/>
  <c r="BG173" i="11" s="1"/>
  <c r="BB173" i="11"/>
  <c r="BH173" i="11" s="1"/>
  <c r="BC173" i="11"/>
  <c r="BI173" i="11" s="1"/>
  <c r="BD173" i="11"/>
  <c r="BJ173" i="11" s="1"/>
  <c r="BE173" i="11"/>
  <c r="BK173" i="11" s="1"/>
  <c r="BF173" i="11"/>
  <c r="BL173" i="11" s="1"/>
  <c r="BA174" i="11"/>
  <c r="BG174" i="11" s="1"/>
  <c r="BB174" i="11"/>
  <c r="BH174" i="11" s="1"/>
  <c r="BC174" i="11"/>
  <c r="BI174" i="11" s="1"/>
  <c r="BD174" i="11"/>
  <c r="BJ174" i="11" s="1"/>
  <c r="BE174" i="11"/>
  <c r="BK174" i="11" s="1"/>
  <c r="BF174" i="11"/>
  <c r="BL174" i="11" s="1"/>
  <c r="BA175" i="11"/>
  <c r="BG175" i="11" s="1"/>
  <c r="BB175" i="11"/>
  <c r="BH175" i="11" s="1"/>
  <c r="BC175" i="11"/>
  <c r="BI175" i="11" s="1"/>
  <c r="BD175" i="11"/>
  <c r="BJ175" i="11" s="1"/>
  <c r="BE175" i="11"/>
  <c r="BK175" i="11" s="1"/>
  <c r="BF175" i="11"/>
  <c r="BL175" i="11" s="1"/>
  <c r="BA176" i="11"/>
  <c r="BG176" i="11" s="1"/>
  <c r="BB176" i="11"/>
  <c r="BH176" i="11" s="1"/>
  <c r="BC176" i="11"/>
  <c r="BI176" i="11" s="1"/>
  <c r="BD176" i="11"/>
  <c r="BJ176" i="11" s="1"/>
  <c r="BE176" i="11"/>
  <c r="BK176" i="11" s="1"/>
  <c r="BF176" i="11"/>
  <c r="BL176" i="11" s="1"/>
  <c r="BA177" i="11"/>
  <c r="BG177" i="11" s="1"/>
  <c r="BB177" i="11"/>
  <c r="BH177" i="11" s="1"/>
  <c r="BC177" i="11"/>
  <c r="BI177" i="11" s="1"/>
  <c r="BD177" i="11"/>
  <c r="BJ177" i="11" s="1"/>
  <c r="BE177" i="11"/>
  <c r="BK177" i="11" s="1"/>
  <c r="BF177" i="11"/>
  <c r="BL177" i="11" s="1"/>
  <c r="BA178" i="11"/>
  <c r="BG178" i="11" s="1"/>
  <c r="BB178" i="11"/>
  <c r="BH178" i="11" s="1"/>
  <c r="BC178" i="11"/>
  <c r="BI178" i="11" s="1"/>
  <c r="BD178" i="11"/>
  <c r="BJ178" i="11" s="1"/>
  <c r="BE178" i="11"/>
  <c r="BK178" i="11" s="1"/>
  <c r="BF178" i="11"/>
  <c r="BL178" i="11" s="1"/>
  <c r="BA179" i="11"/>
  <c r="BG179" i="11" s="1"/>
  <c r="BB179" i="11"/>
  <c r="BH179" i="11" s="1"/>
  <c r="BC179" i="11"/>
  <c r="BI179" i="11" s="1"/>
  <c r="BD179" i="11"/>
  <c r="BJ179" i="11" s="1"/>
  <c r="BE179" i="11"/>
  <c r="BK179" i="11" s="1"/>
  <c r="BF179" i="11"/>
  <c r="BL179" i="11" s="1"/>
  <c r="BA180" i="11"/>
  <c r="BG180" i="11" s="1"/>
  <c r="BB180" i="11"/>
  <c r="BH180" i="11" s="1"/>
  <c r="BC180" i="11"/>
  <c r="BI180" i="11" s="1"/>
  <c r="BD180" i="11"/>
  <c r="BJ180" i="11" s="1"/>
  <c r="BE180" i="11"/>
  <c r="BK180" i="11" s="1"/>
  <c r="BF180" i="11"/>
  <c r="BL180" i="11" s="1"/>
  <c r="BA181" i="11"/>
  <c r="BG181" i="11" s="1"/>
  <c r="BB181" i="11"/>
  <c r="BH181" i="11" s="1"/>
  <c r="BC181" i="11"/>
  <c r="BI181" i="11" s="1"/>
  <c r="BD181" i="11"/>
  <c r="BJ181" i="11" s="1"/>
  <c r="BE181" i="11"/>
  <c r="BK181" i="11" s="1"/>
  <c r="BF181" i="11"/>
  <c r="BL181" i="11" s="1"/>
  <c r="BA182" i="11"/>
  <c r="BG182" i="11" s="1"/>
  <c r="BB182" i="11"/>
  <c r="BH182" i="11" s="1"/>
  <c r="BC182" i="11"/>
  <c r="BI182" i="11" s="1"/>
  <c r="BD182" i="11"/>
  <c r="BJ182" i="11" s="1"/>
  <c r="BE182" i="11"/>
  <c r="BK182" i="11" s="1"/>
  <c r="BF182" i="11"/>
  <c r="BL182" i="11" s="1"/>
  <c r="BA183" i="11"/>
  <c r="BG183" i="11" s="1"/>
  <c r="BB183" i="11"/>
  <c r="BH183" i="11" s="1"/>
  <c r="BC183" i="11"/>
  <c r="BI183" i="11" s="1"/>
  <c r="BD183" i="11"/>
  <c r="BJ183" i="11" s="1"/>
  <c r="BE183" i="11"/>
  <c r="BK183" i="11" s="1"/>
  <c r="BF183" i="11"/>
  <c r="BL183" i="11" s="1"/>
  <c r="BA184" i="11"/>
  <c r="BG184" i="11" s="1"/>
  <c r="BB184" i="11"/>
  <c r="BH184" i="11" s="1"/>
  <c r="BC184" i="11"/>
  <c r="BI184" i="11" s="1"/>
  <c r="BD184" i="11"/>
  <c r="BJ184" i="11" s="1"/>
  <c r="BE184" i="11"/>
  <c r="BK184" i="11" s="1"/>
  <c r="BF184" i="11"/>
  <c r="BL184" i="11" s="1"/>
  <c r="BA185" i="11"/>
  <c r="BG185" i="11" s="1"/>
  <c r="BB185" i="11"/>
  <c r="BH185" i="11" s="1"/>
  <c r="BC185" i="11"/>
  <c r="BI185" i="11" s="1"/>
  <c r="BD185" i="11"/>
  <c r="BJ185" i="11" s="1"/>
  <c r="BE185" i="11"/>
  <c r="BK185" i="11" s="1"/>
  <c r="BF185" i="11"/>
  <c r="BL185" i="11" s="1"/>
  <c r="BA186" i="11"/>
  <c r="BG186" i="11" s="1"/>
  <c r="BB186" i="11"/>
  <c r="BH186" i="11" s="1"/>
  <c r="BC186" i="11"/>
  <c r="BI186" i="11" s="1"/>
  <c r="BD186" i="11"/>
  <c r="BJ186" i="11" s="1"/>
  <c r="BE186" i="11"/>
  <c r="BK186" i="11" s="1"/>
  <c r="BF186" i="11"/>
  <c r="BL186" i="11" s="1"/>
  <c r="BA187" i="11"/>
  <c r="BG187" i="11" s="1"/>
  <c r="BB187" i="11"/>
  <c r="BH187" i="11" s="1"/>
  <c r="BC187" i="11"/>
  <c r="BI187" i="11" s="1"/>
  <c r="BD187" i="11"/>
  <c r="BJ187" i="11" s="1"/>
  <c r="BE187" i="11"/>
  <c r="BK187" i="11" s="1"/>
  <c r="BF187" i="11"/>
  <c r="BL187" i="11" s="1"/>
  <c r="BA188" i="11"/>
  <c r="BG188" i="11" s="1"/>
  <c r="BB188" i="11"/>
  <c r="BH188" i="11" s="1"/>
  <c r="BC188" i="11"/>
  <c r="BI188" i="11" s="1"/>
  <c r="BD188" i="11"/>
  <c r="BJ188" i="11" s="1"/>
  <c r="BE188" i="11"/>
  <c r="BK188" i="11" s="1"/>
  <c r="BF188" i="11"/>
  <c r="BL188" i="11" s="1"/>
  <c r="BA189" i="11"/>
  <c r="BG189" i="11" s="1"/>
  <c r="BB189" i="11"/>
  <c r="BH189" i="11" s="1"/>
  <c r="BC189" i="11"/>
  <c r="BI189" i="11" s="1"/>
  <c r="BD189" i="11"/>
  <c r="BJ189" i="11" s="1"/>
  <c r="BE189" i="11"/>
  <c r="BK189" i="11" s="1"/>
  <c r="BF189" i="11"/>
  <c r="BL189" i="11" s="1"/>
  <c r="BA190" i="11"/>
  <c r="BG190" i="11" s="1"/>
  <c r="BB190" i="11"/>
  <c r="BH190" i="11" s="1"/>
  <c r="BC190" i="11"/>
  <c r="BI190" i="11" s="1"/>
  <c r="BD190" i="11"/>
  <c r="BJ190" i="11" s="1"/>
  <c r="BE190" i="11"/>
  <c r="BK190" i="11" s="1"/>
  <c r="BF190" i="11"/>
  <c r="BL190" i="11" s="1"/>
  <c r="BA191" i="11"/>
  <c r="BG191" i="11" s="1"/>
  <c r="BB191" i="11"/>
  <c r="BH191" i="11" s="1"/>
  <c r="BC191" i="11"/>
  <c r="BI191" i="11" s="1"/>
  <c r="BD191" i="11"/>
  <c r="BJ191" i="11" s="1"/>
  <c r="BE191" i="11"/>
  <c r="BK191" i="11" s="1"/>
  <c r="BF191" i="11"/>
  <c r="BL191" i="11" s="1"/>
  <c r="BA192" i="11"/>
  <c r="BG192" i="11" s="1"/>
  <c r="BB192" i="11"/>
  <c r="BH192" i="11" s="1"/>
  <c r="BC192" i="11"/>
  <c r="BI192" i="11" s="1"/>
  <c r="BD192" i="11"/>
  <c r="BJ192" i="11" s="1"/>
  <c r="BE192" i="11"/>
  <c r="BK192" i="11" s="1"/>
  <c r="BF192" i="11"/>
  <c r="BL192" i="11" s="1"/>
  <c r="BA193" i="11"/>
  <c r="BG193" i="11" s="1"/>
  <c r="BB193" i="11"/>
  <c r="BH193" i="11" s="1"/>
  <c r="BC193" i="11"/>
  <c r="BI193" i="11" s="1"/>
  <c r="BD193" i="11"/>
  <c r="BJ193" i="11" s="1"/>
  <c r="BE193" i="11"/>
  <c r="BK193" i="11" s="1"/>
  <c r="BF193" i="11"/>
  <c r="BL193" i="11" s="1"/>
  <c r="BA194" i="11"/>
  <c r="BG194" i="11" s="1"/>
  <c r="BB194" i="11"/>
  <c r="BH194" i="11" s="1"/>
  <c r="BC194" i="11"/>
  <c r="BI194" i="11" s="1"/>
  <c r="BD194" i="11"/>
  <c r="BJ194" i="11" s="1"/>
  <c r="BE194" i="11"/>
  <c r="BK194" i="11" s="1"/>
  <c r="BF194" i="11"/>
  <c r="BL194" i="11" s="1"/>
  <c r="BA195" i="11"/>
  <c r="BG195" i="11" s="1"/>
  <c r="BB195" i="11"/>
  <c r="BH195" i="11" s="1"/>
  <c r="BC195" i="11"/>
  <c r="BI195" i="11" s="1"/>
  <c r="BD195" i="11"/>
  <c r="BJ195" i="11" s="1"/>
  <c r="BE195" i="11"/>
  <c r="BK195" i="11" s="1"/>
  <c r="BF195" i="11"/>
  <c r="BL195" i="11" s="1"/>
  <c r="BA196" i="11"/>
  <c r="BG196" i="11" s="1"/>
  <c r="BB196" i="11"/>
  <c r="BH196" i="11" s="1"/>
  <c r="BC196" i="11"/>
  <c r="BI196" i="11" s="1"/>
  <c r="BD196" i="11"/>
  <c r="BJ196" i="11" s="1"/>
  <c r="BE196" i="11"/>
  <c r="BK196" i="11" s="1"/>
  <c r="BF196" i="11"/>
  <c r="BL196" i="11" s="1"/>
  <c r="BA197" i="11"/>
  <c r="BG197" i="11" s="1"/>
  <c r="BB197" i="11"/>
  <c r="BH197" i="11" s="1"/>
  <c r="BC197" i="11"/>
  <c r="BI197" i="11" s="1"/>
  <c r="BD197" i="11"/>
  <c r="BJ197" i="11" s="1"/>
  <c r="BE197" i="11"/>
  <c r="BK197" i="11" s="1"/>
  <c r="BF197" i="11"/>
  <c r="BL197" i="11" s="1"/>
  <c r="BA198" i="11"/>
  <c r="BG198" i="11" s="1"/>
  <c r="BB198" i="11"/>
  <c r="BH198" i="11" s="1"/>
  <c r="BC198" i="11"/>
  <c r="BI198" i="11" s="1"/>
  <c r="BD198" i="11"/>
  <c r="BJ198" i="11" s="1"/>
  <c r="BE198" i="11"/>
  <c r="BK198" i="11" s="1"/>
  <c r="BF198" i="11"/>
  <c r="BL198" i="11" s="1"/>
  <c r="BA199" i="11"/>
  <c r="BG199" i="11" s="1"/>
  <c r="BB199" i="11"/>
  <c r="BH199" i="11" s="1"/>
  <c r="BC199" i="11"/>
  <c r="BI199" i="11" s="1"/>
  <c r="BD199" i="11"/>
  <c r="BJ199" i="11" s="1"/>
  <c r="BE199" i="11"/>
  <c r="BK199" i="11" s="1"/>
  <c r="BF199" i="11"/>
  <c r="BL199" i="11" s="1"/>
  <c r="BA200" i="11"/>
  <c r="BG200" i="11" s="1"/>
  <c r="BB200" i="11"/>
  <c r="BH200" i="11" s="1"/>
  <c r="BC200" i="11"/>
  <c r="BI200" i="11" s="1"/>
  <c r="BD200" i="11"/>
  <c r="BJ200" i="11" s="1"/>
  <c r="BE200" i="11"/>
  <c r="BK200" i="11" s="1"/>
  <c r="BF200" i="11"/>
  <c r="BL200" i="11" s="1"/>
  <c r="BA201" i="11"/>
  <c r="BG201" i="11" s="1"/>
  <c r="BB201" i="11"/>
  <c r="BH201" i="11" s="1"/>
  <c r="BC201" i="11"/>
  <c r="BI201" i="11" s="1"/>
  <c r="BD201" i="11"/>
  <c r="BJ201" i="11" s="1"/>
  <c r="BE201" i="11"/>
  <c r="BK201" i="11" s="1"/>
  <c r="BF201" i="11"/>
  <c r="BL201" i="11" s="1"/>
  <c r="BA202" i="11"/>
  <c r="BG202" i="11" s="1"/>
  <c r="BB202" i="11"/>
  <c r="BH202" i="11" s="1"/>
  <c r="BC202" i="11"/>
  <c r="BI202" i="11" s="1"/>
  <c r="BD202" i="11"/>
  <c r="BJ202" i="11" s="1"/>
  <c r="BE202" i="11"/>
  <c r="BK202" i="11" s="1"/>
  <c r="BF202" i="11"/>
  <c r="BL202" i="11" s="1"/>
  <c r="BA203" i="11"/>
  <c r="BG203" i="11" s="1"/>
  <c r="BB203" i="11"/>
  <c r="BH203" i="11" s="1"/>
  <c r="BC203" i="11"/>
  <c r="BI203" i="11" s="1"/>
  <c r="BD203" i="11"/>
  <c r="BJ203" i="11" s="1"/>
  <c r="BE203" i="11"/>
  <c r="BK203" i="11" s="1"/>
  <c r="BF203" i="11"/>
  <c r="BL203" i="11" s="1"/>
  <c r="BA204" i="11"/>
  <c r="BG204" i="11" s="1"/>
  <c r="BB204" i="11"/>
  <c r="BH204" i="11" s="1"/>
  <c r="BC204" i="11"/>
  <c r="BI204" i="11" s="1"/>
  <c r="BD204" i="11"/>
  <c r="BJ204" i="11" s="1"/>
  <c r="BE204" i="11"/>
  <c r="BK204" i="11" s="1"/>
  <c r="BF204" i="11"/>
  <c r="BL204" i="11" s="1"/>
  <c r="BA205" i="11"/>
  <c r="BG205" i="11" s="1"/>
  <c r="BB205" i="11"/>
  <c r="BH205" i="11" s="1"/>
  <c r="BC205" i="11"/>
  <c r="BI205" i="11" s="1"/>
  <c r="BD205" i="11"/>
  <c r="BJ205" i="11" s="1"/>
  <c r="BE205" i="11"/>
  <c r="BK205" i="11" s="1"/>
  <c r="BF205" i="11"/>
  <c r="BL205" i="11" s="1"/>
  <c r="BA206" i="11"/>
  <c r="BG206" i="11" s="1"/>
  <c r="BB206" i="11"/>
  <c r="BH206" i="11" s="1"/>
  <c r="BC206" i="11"/>
  <c r="BI206" i="11" s="1"/>
  <c r="BD206" i="11"/>
  <c r="BJ206" i="11" s="1"/>
  <c r="BE206" i="11"/>
  <c r="BK206" i="11" s="1"/>
  <c r="BF206" i="11"/>
  <c r="BL206" i="11" s="1"/>
  <c r="BA207" i="11"/>
  <c r="BG207" i="11" s="1"/>
  <c r="BB207" i="11"/>
  <c r="BH207" i="11" s="1"/>
  <c r="BC207" i="11"/>
  <c r="BI207" i="11" s="1"/>
  <c r="BD207" i="11"/>
  <c r="BJ207" i="11" s="1"/>
  <c r="BE207" i="11"/>
  <c r="BK207" i="11" s="1"/>
  <c r="BF207" i="11"/>
  <c r="BL207" i="11" s="1"/>
  <c r="BA208" i="11"/>
  <c r="BG208" i="11" s="1"/>
  <c r="BB208" i="11"/>
  <c r="BH208" i="11" s="1"/>
  <c r="BC208" i="11"/>
  <c r="BI208" i="11" s="1"/>
  <c r="BD208" i="11"/>
  <c r="BJ208" i="11" s="1"/>
  <c r="BE208" i="11"/>
  <c r="BK208" i="11" s="1"/>
  <c r="BF208" i="11"/>
  <c r="BL208" i="11" s="1"/>
  <c r="BA209" i="11"/>
  <c r="BG209" i="11" s="1"/>
  <c r="BB209" i="11"/>
  <c r="BH209" i="11" s="1"/>
  <c r="BC209" i="11"/>
  <c r="BI209" i="11" s="1"/>
  <c r="BD209" i="11"/>
  <c r="BJ209" i="11" s="1"/>
  <c r="BE209" i="11"/>
  <c r="BK209" i="11" s="1"/>
  <c r="BF209" i="11"/>
  <c r="BL209" i="11" s="1"/>
  <c r="BA210" i="11"/>
  <c r="BG210" i="11" s="1"/>
  <c r="BB210" i="11"/>
  <c r="BH210" i="11" s="1"/>
  <c r="BC210" i="11"/>
  <c r="BI210" i="11" s="1"/>
  <c r="BD210" i="11"/>
  <c r="BJ210" i="11" s="1"/>
  <c r="BE210" i="11"/>
  <c r="BK210" i="11" s="1"/>
  <c r="BF210" i="11"/>
  <c r="BL210" i="11" s="1"/>
  <c r="BA211" i="11"/>
  <c r="BG211" i="11" s="1"/>
  <c r="BB211" i="11"/>
  <c r="BH211" i="11" s="1"/>
  <c r="BC211" i="11"/>
  <c r="BI211" i="11" s="1"/>
  <c r="BD211" i="11"/>
  <c r="BJ211" i="11" s="1"/>
  <c r="BE211" i="11"/>
  <c r="BK211" i="11" s="1"/>
  <c r="BF211" i="11"/>
  <c r="BL211" i="11" s="1"/>
  <c r="BA212" i="11"/>
  <c r="BG212" i="11" s="1"/>
  <c r="BB212" i="11"/>
  <c r="BH212" i="11" s="1"/>
  <c r="BC212" i="11"/>
  <c r="BI212" i="11" s="1"/>
  <c r="BD212" i="11"/>
  <c r="BJ212" i="11" s="1"/>
  <c r="BE212" i="11"/>
  <c r="BK212" i="11" s="1"/>
  <c r="BF212" i="11"/>
  <c r="BL212" i="11" s="1"/>
  <c r="BA213" i="11"/>
  <c r="BG213" i="11" s="1"/>
  <c r="BB213" i="11"/>
  <c r="BH213" i="11" s="1"/>
  <c r="BC213" i="11"/>
  <c r="BI213" i="11" s="1"/>
  <c r="BD213" i="11"/>
  <c r="BJ213" i="11" s="1"/>
  <c r="BE213" i="11"/>
  <c r="BK213" i="11" s="1"/>
  <c r="BF213" i="11"/>
  <c r="BL213" i="11" s="1"/>
  <c r="BA214" i="11"/>
  <c r="BG214" i="11" s="1"/>
  <c r="BB214" i="11"/>
  <c r="BH214" i="11" s="1"/>
  <c r="BC214" i="11"/>
  <c r="BI214" i="11" s="1"/>
  <c r="BD214" i="11"/>
  <c r="BJ214" i="11" s="1"/>
  <c r="BE214" i="11"/>
  <c r="BK214" i="11" s="1"/>
  <c r="BF214" i="11"/>
  <c r="BL214" i="11" s="1"/>
  <c r="BA215" i="11"/>
  <c r="BG215" i="11" s="1"/>
  <c r="BB215" i="11"/>
  <c r="BH215" i="11" s="1"/>
  <c r="BC215" i="11"/>
  <c r="BI215" i="11" s="1"/>
  <c r="BD215" i="11"/>
  <c r="BJ215" i="11" s="1"/>
  <c r="BE215" i="11"/>
  <c r="BK215" i="11" s="1"/>
  <c r="BF215" i="11"/>
  <c r="BL215" i="11" s="1"/>
  <c r="BA216" i="11"/>
  <c r="BG216" i="11" s="1"/>
  <c r="BB216" i="11"/>
  <c r="BH216" i="11" s="1"/>
  <c r="BC216" i="11"/>
  <c r="BI216" i="11" s="1"/>
  <c r="BD216" i="11"/>
  <c r="BJ216" i="11" s="1"/>
  <c r="BE216" i="11"/>
  <c r="BK216" i="11" s="1"/>
  <c r="BF216" i="11"/>
  <c r="BL216" i="11" s="1"/>
  <c r="BA217" i="11"/>
  <c r="BG217" i="11" s="1"/>
  <c r="BB217" i="11"/>
  <c r="BH217" i="11" s="1"/>
  <c r="BC217" i="11"/>
  <c r="BI217" i="11" s="1"/>
  <c r="BD217" i="11"/>
  <c r="BJ217" i="11" s="1"/>
  <c r="BE217" i="11"/>
  <c r="BK217" i="11" s="1"/>
  <c r="BF217" i="11"/>
  <c r="BL217" i="11" s="1"/>
  <c r="BF2" i="11"/>
  <c r="BL2" i="11" s="1"/>
  <c r="BE2" i="11"/>
  <c r="BK2" i="11" s="1"/>
  <c r="BD2" i="11"/>
  <c r="BJ2" i="11" s="1"/>
  <c r="BC2" i="11"/>
  <c r="BI2" i="11" s="1"/>
  <c r="BB2" i="11"/>
  <c r="BH2" i="11" s="1"/>
  <c r="BA2" i="11"/>
  <c r="BG2" i="11" s="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29" i="38"/>
  <c r="Q29" i="38" s="1"/>
  <c r="O30" i="38"/>
  <c r="Q30" i="38" s="1"/>
  <c r="O31" i="38"/>
  <c r="Q31" i="38" s="1"/>
  <c r="O32" i="38"/>
  <c r="Q32" i="38" s="1"/>
  <c r="O33" i="38"/>
  <c r="Q33" i="38" s="1"/>
  <c r="O34" i="38"/>
  <c r="Q34" i="38" s="1"/>
  <c r="O35" i="38"/>
  <c r="Q35" i="38" s="1"/>
  <c r="O36" i="38"/>
  <c r="Q36" i="38" s="1"/>
  <c r="O37" i="38"/>
  <c r="Q37" i="38" s="1"/>
  <c r="O38" i="38"/>
  <c r="Q38" i="38" s="1"/>
  <c r="O39" i="38"/>
  <c r="Q39" i="38" s="1"/>
  <c r="O40" i="38"/>
  <c r="Q40" i="38" s="1"/>
  <c r="O41" i="38"/>
  <c r="Q41" i="38" s="1"/>
  <c r="O42" i="38"/>
  <c r="Q42" i="38" s="1"/>
  <c r="O43" i="38"/>
  <c r="Q43" i="38" s="1"/>
  <c r="O44" i="38"/>
  <c r="Q44" i="38" s="1"/>
  <c r="O45" i="38"/>
  <c r="Q45" i="38" s="1"/>
  <c r="O46" i="38"/>
  <c r="Q46" i="38" s="1"/>
  <c r="O47" i="38"/>
  <c r="Q47" i="38" s="1"/>
  <c r="O48" i="38"/>
  <c r="Q48" i="38" s="1"/>
  <c r="O49" i="38"/>
  <c r="Q49" i="38" s="1"/>
  <c r="O50" i="38"/>
  <c r="Q50" i="38" s="1"/>
  <c r="O51" i="38"/>
  <c r="Q51" i="38" s="1"/>
  <c r="O52" i="38"/>
  <c r="Q52" i="38" s="1"/>
  <c r="O53" i="38"/>
  <c r="Q53" i="38" s="1"/>
  <c r="O54" i="38"/>
  <c r="Q54" i="38" s="1"/>
  <c r="O55" i="38"/>
  <c r="Q55" i="38" s="1"/>
  <c r="O56" i="38"/>
  <c r="Q56" i="38" s="1"/>
  <c r="O57" i="38"/>
  <c r="Q57" i="38" s="1"/>
  <c r="O58" i="38"/>
  <c r="Q58" i="38" s="1"/>
  <c r="O59" i="38"/>
  <c r="Q59" i="38" s="1"/>
  <c r="O60" i="38"/>
  <c r="Q60" i="38" s="1"/>
  <c r="O61" i="38"/>
  <c r="Q61" i="38" s="1"/>
  <c r="O62" i="38"/>
  <c r="Q62" i="38" s="1"/>
  <c r="O63" i="38"/>
  <c r="Q63" i="38" s="1"/>
  <c r="O64" i="38"/>
  <c r="Q64" i="38" s="1"/>
  <c r="O65" i="38"/>
  <c r="Q65" i="38" s="1"/>
  <c r="O66" i="38"/>
  <c r="Q66" i="38" s="1"/>
  <c r="O67" i="38"/>
  <c r="Q67" i="38" s="1"/>
  <c r="O68" i="38"/>
  <c r="Q68" i="38" s="1"/>
  <c r="O69" i="38"/>
  <c r="Q69" i="38" s="1"/>
  <c r="O70" i="38"/>
  <c r="Q70" i="38" s="1"/>
  <c r="O71" i="38"/>
  <c r="Q71" i="38" s="1"/>
  <c r="O72" i="38"/>
  <c r="Q72" i="38" s="1"/>
  <c r="O73" i="38"/>
  <c r="Q73" i="38" s="1"/>
  <c r="O74" i="38"/>
  <c r="Q74" i="38" s="1"/>
  <c r="O75" i="38"/>
  <c r="Q75" i="38" s="1"/>
  <c r="O76" i="38"/>
  <c r="Q76" i="38" s="1"/>
  <c r="O77" i="38"/>
  <c r="Q77" i="38" s="1"/>
  <c r="O78" i="38"/>
  <c r="Q78" i="38" s="1"/>
  <c r="O79" i="38"/>
  <c r="Q79" i="38" s="1"/>
  <c r="O80" i="38"/>
  <c r="Q80" i="38" s="1"/>
  <c r="O81" i="38"/>
  <c r="Q81" i="38" s="1"/>
  <c r="O82" i="38"/>
  <c r="Q82" i="38" s="1"/>
  <c r="O83" i="38"/>
  <c r="Q83" i="38" s="1"/>
  <c r="O84" i="38"/>
  <c r="Q84" i="38" s="1"/>
  <c r="O85" i="38"/>
  <c r="Q85" i="38" s="1"/>
  <c r="O112" i="38"/>
  <c r="Q112" i="38" s="1"/>
  <c r="O113" i="38"/>
  <c r="Q113" i="38" s="1"/>
  <c r="O114" i="38"/>
  <c r="Q114" i="38" s="1"/>
  <c r="O115" i="38"/>
  <c r="Q115" i="38" s="1"/>
  <c r="O116" i="38"/>
  <c r="Q116" i="38" s="1"/>
  <c r="O117" i="38"/>
  <c r="Q117" i="38" s="1"/>
  <c r="O118" i="38"/>
  <c r="Q118" i="38" s="1"/>
  <c r="O119" i="38"/>
  <c r="Q119" i="38" s="1"/>
  <c r="O120" i="38"/>
  <c r="Q120" i="38" s="1"/>
  <c r="O121" i="38"/>
  <c r="Q121" i="38" s="1"/>
  <c r="O122" i="38"/>
  <c r="Q122" i="38" s="1"/>
  <c r="O123" i="38"/>
  <c r="Q123" i="38" s="1"/>
  <c r="O124" i="38"/>
  <c r="Q124" i="38" s="1"/>
  <c r="O125" i="38"/>
  <c r="Q125" i="38" s="1"/>
  <c r="O126" i="38"/>
  <c r="Q126" i="38" s="1"/>
  <c r="O127" i="38"/>
  <c r="Q127" i="38" s="1"/>
  <c r="O128" i="38"/>
  <c r="Q128" i="38" s="1"/>
  <c r="O129" i="38"/>
  <c r="Q129" i="38" s="1"/>
  <c r="O130" i="38"/>
  <c r="Q130" i="38" s="1"/>
  <c r="O131" i="38"/>
  <c r="Q131" i="38" s="1"/>
  <c r="O132" i="38"/>
  <c r="Q132" i="38" s="1"/>
  <c r="O133" i="38"/>
  <c r="Q133" i="38" s="1"/>
  <c r="O134" i="38"/>
  <c r="Q134" i="38" s="1"/>
  <c r="O135" i="38"/>
  <c r="Q135" i="38" s="1"/>
  <c r="O136" i="38"/>
  <c r="Q136" i="38" s="1"/>
  <c r="O137" i="38"/>
  <c r="Q137" i="38" s="1"/>
  <c r="O138" i="38"/>
  <c r="Q138" i="38" s="1"/>
  <c r="O139" i="38"/>
  <c r="Q139" i="38" s="1"/>
  <c r="O140" i="38"/>
  <c r="Q140" i="38" s="1"/>
  <c r="O141" i="38"/>
  <c r="Q141" i="38" s="1"/>
  <c r="O142" i="38"/>
  <c r="Q142" i="38" s="1"/>
  <c r="O143" i="38"/>
  <c r="Q143" i="38" s="1"/>
  <c r="O144" i="38"/>
  <c r="Q144" i="38" s="1"/>
  <c r="O145" i="38"/>
  <c r="Q145" i="38" s="1"/>
  <c r="O146" i="38"/>
  <c r="Q146" i="38" s="1"/>
  <c r="O147" i="38"/>
  <c r="Q147" i="38" s="1"/>
  <c r="O148" i="38"/>
  <c r="Q148" i="38" s="1"/>
  <c r="O149" i="38"/>
  <c r="Q149" i="38" s="1"/>
  <c r="O150" i="38"/>
  <c r="Q150" i="38" s="1"/>
  <c r="O151" i="38"/>
  <c r="Q151" i="38" s="1"/>
  <c r="O152" i="38"/>
  <c r="Q152" i="38" s="1"/>
  <c r="O153" i="38"/>
  <c r="Q153" i="38" s="1"/>
  <c r="O154" i="38"/>
  <c r="Q154" i="38" s="1"/>
  <c r="O155" i="38"/>
  <c r="Q155" i="38" s="1"/>
  <c r="O156" i="38"/>
  <c r="Q156" i="38" s="1"/>
  <c r="O157" i="38"/>
  <c r="Q157" i="38" s="1"/>
  <c r="O158" i="38"/>
  <c r="Q158" i="38" s="1"/>
  <c r="O159" i="38"/>
  <c r="Q159" i="38" s="1"/>
  <c r="O160" i="38"/>
  <c r="Q160" i="38" s="1"/>
  <c r="O161" i="38"/>
  <c r="Q161" i="38" s="1"/>
  <c r="O162" i="38"/>
  <c r="Q162" i="38" s="1"/>
  <c r="O163" i="38"/>
  <c r="Q163" i="38" s="1"/>
  <c r="O164" i="38"/>
  <c r="Q164" i="38" s="1"/>
  <c r="O165" i="38"/>
  <c r="Q165" i="38" s="1"/>
  <c r="O166" i="38"/>
  <c r="Q166" i="38" s="1"/>
  <c r="O167" i="38"/>
  <c r="Q167" i="38" s="1"/>
  <c r="O168" i="38"/>
  <c r="Q168" i="38" s="1"/>
  <c r="O169" i="38"/>
  <c r="Q169" i="38" s="1"/>
  <c r="O196" i="38"/>
  <c r="Q196" i="38" s="1"/>
  <c r="O197" i="38"/>
  <c r="Q197" i="38" s="1"/>
  <c r="O198" i="38"/>
  <c r="Q198" i="38" s="1"/>
  <c r="O199" i="38"/>
  <c r="Q199" i="38" s="1"/>
  <c r="O200" i="38"/>
  <c r="Q200" i="38" s="1"/>
  <c r="O201" i="38"/>
  <c r="Q201" i="38" s="1"/>
  <c r="O202" i="38"/>
  <c r="Q202" i="38" s="1"/>
  <c r="O203" i="38"/>
  <c r="Q203" i="38" s="1"/>
  <c r="O204" i="38"/>
  <c r="Q204" i="38" s="1"/>
  <c r="O205" i="38"/>
  <c r="Q205" i="38" s="1"/>
  <c r="O206" i="38"/>
  <c r="Q206" i="38" s="1"/>
  <c r="O207" i="38"/>
  <c r="Q207" i="38" s="1"/>
  <c r="O208" i="38"/>
  <c r="Q208" i="38" s="1"/>
  <c r="O209" i="38"/>
  <c r="Q209" i="38" s="1"/>
  <c r="O210" i="38"/>
  <c r="Q210" i="38" s="1"/>
  <c r="O211" i="38"/>
  <c r="Q211" i="38" s="1"/>
  <c r="O212" i="38"/>
  <c r="Q212" i="38" s="1"/>
  <c r="O213" i="38"/>
  <c r="Q213" i="38" s="1"/>
  <c r="O214" i="38"/>
  <c r="Q214" i="38" s="1"/>
  <c r="O215" i="38"/>
  <c r="Q215" i="38" s="1"/>
  <c r="O216" i="38"/>
  <c r="Q216" i="38" s="1"/>
  <c r="O217" i="38"/>
  <c r="Q217" i="38" s="1"/>
  <c r="O218" i="38"/>
  <c r="Q218" i="38" s="1"/>
  <c r="O219" i="38"/>
  <c r="Q219" i="38" s="1"/>
  <c r="O220" i="38"/>
  <c r="Q220" i="38" s="1"/>
  <c r="O221" i="38"/>
  <c r="Q221" i="38" s="1"/>
  <c r="O222" i="38"/>
  <c r="Q222" i="38" s="1"/>
  <c r="O223" i="38"/>
  <c r="Q223" i="38" s="1"/>
  <c r="O224" i="38"/>
  <c r="Q224" i="38" s="1"/>
  <c r="O225" i="38"/>
  <c r="Q225" i="38" s="1"/>
  <c r="O226" i="38"/>
  <c r="Q226" i="38" s="1"/>
  <c r="O227" i="38"/>
  <c r="Q227" i="38" s="1"/>
  <c r="O228" i="38"/>
  <c r="Q228" i="38" s="1"/>
  <c r="O229" i="38"/>
  <c r="Q229" i="38" s="1"/>
  <c r="O230" i="38"/>
  <c r="Q230" i="38" s="1"/>
  <c r="O231" i="38"/>
  <c r="Q231" i="38" s="1"/>
  <c r="O232" i="38"/>
  <c r="Q232" i="38" s="1"/>
  <c r="O233" i="38"/>
  <c r="Q233" i="38" s="1"/>
  <c r="O234" i="38"/>
  <c r="Q234" i="38" s="1"/>
  <c r="O235" i="38"/>
  <c r="Q235" i="38" s="1"/>
  <c r="O236" i="38"/>
  <c r="Q236" i="38" s="1"/>
  <c r="O237" i="38"/>
  <c r="Q237" i="38" s="1"/>
  <c r="O238" i="38"/>
  <c r="Q238" i="38" s="1"/>
  <c r="O239" i="38"/>
  <c r="Q239" i="38" s="1"/>
  <c r="O240" i="38"/>
  <c r="Q240" i="38" s="1"/>
  <c r="O241" i="38"/>
  <c r="Q241" i="38" s="1"/>
  <c r="O242" i="38"/>
  <c r="Q242" i="38" s="1"/>
  <c r="O243" i="38"/>
  <c r="Q243" i="38" s="1"/>
  <c r="O244" i="38"/>
  <c r="Q244" i="38" s="1"/>
  <c r="O245" i="38"/>
  <c r="Q245" i="38" s="1"/>
  <c r="O246" i="38"/>
  <c r="Q246" i="38" s="1"/>
  <c r="O247" i="38"/>
  <c r="Q247" i="38" s="1"/>
  <c r="O248" i="38"/>
  <c r="Q248" i="38" s="1"/>
  <c r="O249" i="38"/>
  <c r="Q249" i="38" s="1"/>
  <c r="O250" i="38"/>
  <c r="Q250" i="38" s="1"/>
  <c r="O251" i="38"/>
  <c r="Q251" i="38" s="1"/>
  <c r="O252" i="38"/>
  <c r="Q252" i="38" s="1"/>
  <c r="O253" i="38"/>
  <c r="Q253" i="38" s="1"/>
  <c r="O280" i="38"/>
  <c r="Q280" i="38" s="1"/>
  <c r="O281" i="38"/>
  <c r="Q281" i="38" s="1"/>
  <c r="O282" i="38"/>
  <c r="Q282" i="38" s="1"/>
  <c r="O283" i="38"/>
  <c r="Q283" i="38" s="1"/>
  <c r="O284" i="38"/>
  <c r="Q284" i="38" s="1"/>
  <c r="O285" i="38"/>
  <c r="Q285" i="38" s="1"/>
  <c r="O286" i="38"/>
  <c r="Q286" i="38" s="1"/>
  <c r="O287" i="38"/>
  <c r="Q287" i="38" s="1"/>
  <c r="O288" i="38"/>
  <c r="Q288" i="38" s="1"/>
  <c r="O289" i="38"/>
  <c r="Q289" i="38" s="1"/>
  <c r="O290" i="38"/>
  <c r="Q290" i="38" s="1"/>
  <c r="O291" i="38"/>
  <c r="Q291" i="38" s="1"/>
  <c r="O292" i="38"/>
  <c r="Q292" i="38" s="1"/>
  <c r="O293" i="38"/>
  <c r="Q293" i="38" s="1"/>
  <c r="O294" i="38"/>
  <c r="Q294" i="38" s="1"/>
  <c r="O295" i="38"/>
  <c r="Q295" i="38" s="1"/>
  <c r="O296" i="38"/>
  <c r="Q296" i="38" s="1"/>
  <c r="O297" i="38"/>
  <c r="Q297" i="38" s="1"/>
  <c r="O298" i="38"/>
  <c r="Q298" i="38" s="1"/>
  <c r="O299" i="38"/>
  <c r="Q299" i="38" s="1"/>
  <c r="O300" i="38"/>
  <c r="Q300" i="38" s="1"/>
  <c r="O301" i="38"/>
  <c r="Q301" i="38" s="1"/>
  <c r="O302" i="38"/>
  <c r="Q302" i="38" s="1"/>
  <c r="O303" i="38"/>
  <c r="Q303" i="38" s="1"/>
  <c r="O304" i="38"/>
  <c r="Q304" i="38" s="1"/>
  <c r="O305" i="38"/>
  <c r="Q305" i="38" s="1"/>
  <c r="O306" i="38"/>
  <c r="Q306" i="38" s="1"/>
  <c r="O307" i="38"/>
  <c r="Q307" i="38" s="1"/>
  <c r="O308" i="38"/>
  <c r="Q308" i="38" s="1"/>
  <c r="O309" i="38"/>
  <c r="Q309" i="38" s="1"/>
  <c r="O310" i="38"/>
  <c r="Q310" i="38" s="1"/>
  <c r="O311" i="38"/>
  <c r="Q311" i="38" s="1"/>
  <c r="O312" i="38"/>
  <c r="Q312" i="38" s="1"/>
  <c r="O313" i="38"/>
  <c r="Q313" i="38" s="1"/>
  <c r="O314" i="38"/>
  <c r="Q314" i="38" s="1"/>
  <c r="O315" i="38"/>
  <c r="Q315" i="38" s="1"/>
  <c r="O316" i="38"/>
  <c r="Q316" i="38" s="1"/>
  <c r="O317" i="38"/>
  <c r="Q317" i="38" s="1"/>
  <c r="O318" i="38"/>
  <c r="Q318" i="38" s="1"/>
  <c r="O319" i="38"/>
  <c r="Q319" i="38" s="1"/>
  <c r="O320" i="38"/>
  <c r="Q320" i="38" s="1"/>
  <c r="O321" i="38"/>
  <c r="Q321" i="38" s="1"/>
  <c r="O322" i="38"/>
  <c r="Q322" i="38" s="1"/>
  <c r="O323" i="38"/>
  <c r="Q323" i="38" s="1"/>
  <c r="O324" i="38"/>
  <c r="Q324" i="38" s="1"/>
  <c r="O325" i="38"/>
  <c r="Q325" i="38" s="1"/>
  <c r="O326" i="38"/>
  <c r="Q326" i="38" s="1"/>
  <c r="O327" i="38"/>
  <c r="Q327" i="38" s="1"/>
  <c r="O328" i="38"/>
  <c r="Q328" i="38" s="1"/>
  <c r="O329" i="38"/>
  <c r="Q329" i="38" s="1"/>
  <c r="O330" i="38"/>
  <c r="Q330" i="38" s="1"/>
  <c r="O331" i="38"/>
  <c r="Q331" i="38" s="1"/>
  <c r="O332" i="38"/>
  <c r="Q332" i="38" s="1"/>
  <c r="O333" i="38"/>
  <c r="Q333" i="38" s="1"/>
  <c r="O334" i="38"/>
  <c r="Q334" i="38" s="1"/>
  <c r="O335" i="38"/>
  <c r="Q335" i="38" s="1"/>
  <c r="O336" i="38"/>
  <c r="Q336" i="38" s="1"/>
  <c r="O337" i="38"/>
  <c r="Q337" i="38" s="1"/>
  <c r="O364" i="38"/>
  <c r="Q364" i="38" s="1"/>
  <c r="O365" i="38"/>
  <c r="Q365" i="38" s="1"/>
  <c r="O366" i="38"/>
  <c r="Q366" i="38" s="1"/>
  <c r="O367" i="38"/>
  <c r="Q367" i="38" s="1"/>
  <c r="O368" i="38"/>
  <c r="Q368" i="38" s="1"/>
  <c r="O369" i="38"/>
  <c r="Q369" i="38" s="1"/>
  <c r="O370" i="38"/>
  <c r="Q370" i="38" s="1"/>
  <c r="O371" i="38"/>
  <c r="Q371" i="38" s="1"/>
  <c r="O372" i="38"/>
  <c r="Q372" i="38" s="1"/>
  <c r="O373" i="38"/>
  <c r="Q373" i="38" s="1"/>
  <c r="O374" i="38"/>
  <c r="Q374" i="38" s="1"/>
  <c r="O375" i="38"/>
  <c r="Q375" i="38" s="1"/>
  <c r="O376" i="38"/>
  <c r="Q376" i="38" s="1"/>
  <c r="O377" i="38"/>
  <c r="Q377" i="38" s="1"/>
  <c r="O378" i="38"/>
  <c r="Q378" i="38" s="1"/>
  <c r="O379" i="38"/>
  <c r="Q379" i="38" s="1"/>
  <c r="O380" i="38"/>
  <c r="Q380" i="38" s="1"/>
  <c r="O381" i="38"/>
  <c r="Q381" i="38" s="1"/>
  <c r="O382" i="38"/>
  <c r="Q382" i="38" s="1"/>
  <c r="O383" i="38"/>
  <c r="Q383" i="38" s="1"/>
  <c r="O384" i="38"/>
  <c r="Q384" i="38" s="1"/>
  <c r="O385" i="38"/>
  <c r="Q385" i="38" s="1"/>
  <c r="O386" i="38"/>
  <c r="Q386" i="38" s="1"/>
  <c r="O387" i="38"/>
  <c r="Q387" i="38" s="1"/>
  <c r="O388" i="38"/>
  <c r="Q388" i="38" s="1"/>
  <c r="O389" i="38"/>
  <c r="Q389" i="38" s="1"/>
  <c r="O390" i="38"/>
  <c r="Q390" i="38" s="1"/>
  <c r="O391" i="38"/>
  <c r="Q391" i="38" s="1"/>
  <c r="O392" i="38"/>
  <c r="Q392" i="38" s="1"/>
  <c r="O393" i="38"/>
  <c r="Q393" i="38" s="1"/>
  <c r="O394" i="38"/>
  <c r="Q394" i="38" s="1"/>
  <c r="O395" i="38"/>
  <c r="Q395" i="38" s="1"/>
  <c r="O396" i="38"/>
  <c r="Q396" i="38" s="1"/>
  <c r="O397" i="38"/>
  <c r="Q397" i="38" s="1"/>
  <c r="O398" i="38"/>
  <c r="Q398" i="38" s="1"/>
  <c r="O399" i="38"/>
  <c r="Q399" i="38" s="1"/>
  <c r="O400" i="38"/>
  <c r="Q400" i="38" s="1"/>
  <c r="O401" i="38"/>
  <c r="Q401" i="38" s="1"/>
  <c r="O402" i="38"/>
  <c r="Q402" i="38" s="1"/>
  <c r="O403" i="38"/>
  <c r="Q403" i="38" s="1"/>
  <c r="O404" i="38"/>
  <c r="Q404" i="38" s="1"/>
  <c r="O405" i="38"/>
  <c r="Q405" i="38" s="1"/>
  <c r="O406" i="38"/>
  <c r="Q406" i="38" s="1"/>
  <c r="O407" i="38"/>
  <c r="Q407" i="38" s="1"/>
  <c r="O408" i="38"/>
  <c r="Q408" i="38" s="1"/>
  <c r="O409" i="38"/>
  <c r="Q409" i="38" s="1"/>
  <c r="O410" i="38"/>
  <c r="Q410" i="38" s="1"/>
  <c r="O411" i="38"/>
  <c r="Q411" i="38" s="1"/>
  <c r="O412" i="38"/>
  <c r="Q412" i="38" s="1"/>
  <c r="O413" i="38"/>
  <c r="Q413" i="38" s="1"/>
  <c r="O414" i="38"/>
  <c r="Q414" i="38" s="1"/>
  <c r="O415" i="38"/>
  <c r="Q415" i="38" s="1"/>
  <c r="O416" i="38"/>
  <c r="Q416" i="38" s="1"/>
  <c r="O417" i="38"/>
  <c r="Q417" i="38" s="1"/>
  <c r="O418" i="38"/>
  <c r="Q418" i="38" s="1"/>
  <c r="O419" i="38"/>
  <c r="Q419" i="38" s="1"/>
  <c r="O420" i="38"/>
  <c r="Q420" i="38" s="1"/>
  <c r="O421" i="38"/>
  <c r="Q421" i="38" s="1"/>
  <c r="O28" i="38"/>
  <c r="Q28" i="38" s="1"/>
  <c r="O83" i="27"/>
  <c r="N82" i="27"/>
  <c r="M83" i="27"/>
  <c r="M84" i="27"/>
  <c r="M85" i="27"/>
  <c r="M86" i="27"/>
  <c r="M82" i="27"/>
  <c r="L83" i="27"/>
  <c r="L84" i="27"/>
  <c r="L85" i="27"/>
  <c r="L86" i="27"/>
  <c r="L82" i="27"/>
  <c r="E16" i="39"/>
  <c r="E15" i="39"/>
  <c r="E10" i="39"/>
  <c r="E11" i="39"/>
  <c r="E12" i="39"/>
  <c r="E13" i="39"/>
  <c r="E14" i="39"/>
  <c r="E9" i="39"/>
  <c r="E7" i="39"/>
  <c r="E6" i="39"/>
  <c r="E5" i="39"/>
  <c r="E2" i="39"/>
  <c r="AF67" i="27"/>
  <c r="AF65" i="27"/>
  <c r="AF64" i="27"/>
  <c r="AF63" i="27"/>
  <c r="AF62" i="27"/>
  <c r="AF61" i="27"/>
  <c r="AF60" i="27"/>
  <c r="AF59" i="27"/>
  <c r="AF58" i="27"/>
  <c r="AF56" i="27"/>
  <c r="AF55" i="27"/>
  <c r="AF54" i="27"/>
  <c r="AF53" i="27"/>
  <c r="AF52" i="27"/>
  <c r="AF86" i="27"/>
  <c r="AF85" i="27"/>
  <c r="AF84" i="27"/>
  <c r="AF83" i="27"/>
  <c r="AF82" i="27"/>
  <c r="AF78" i="27"/>
  <c r="AF77" i="27"/>
  <c r="AF76" i="27"/>
  <c r="AF75" i="27"/>
  <c r="AF74" i="27"/>
  <c r="AF73" i="27"/>
  <c r="AF72" i="27"/>
  <c r="AF71" i="27"/>
  <c r="AF70" i="27"/>
  <c r="AF69" i="27"/>
  <c r="AF68" i="27"/>
  <c r="AF51" i="27"/>
  <c r="AF50" i="27"/>
  <c r="AF49" i="27"/>
  <c r="AF48" i="27"/>
  <c r="AF47" i="27"/>
  <c r="AF46" i="27"/>
  <c r="AF45" i="27"/>
  <c r="AF44" i="27"/>
  <c r="AF43" i="27"/>
  <c r="AF42" i="27"/>
  <c r="AF41" i="27"/>
  <c r="AF40" i="27"/>
  <c r="AF39" i="27"/>
  <c r="AF38" i="27"/>
  <c r="AF37" i="27"/>
  <c r="AF36" i="27"/>
  <c r="AF35" i="27"/>
  <c r="AF34" i="27"/>
  <c r="AF33" i="27"/>
  <c r="AF32" i="27"/>
  <c r="AF31" i="27"/>
  <c r="AF30" i="27"/>
  <c r="AF29" i="27"/>
  <c r="AF28" i="27"/>
  <c r="AF27" i="27"/>
  <c r="AF26" i="27"/>
  <c r="AF25" i="27"/>
  <c r="AF24" i="27"/>
  <c r="AF23" i="27"/>
  <c r="AF22" i="27"/>
  <c r="AF21" i="27"/>
  <c r="AF20" i="27"/>
  <c r="AF19" i="27"/>
  <c r="AF18" i="27"/>
  <c r="AF17" i="27"/>
  <c r="AF16" i="27"/>
  <c r="AF15" i="27"/>
  <c r="AF14" i="27"/>
  <c r="AF13" i="27"/>
  <c r="AF12" i="27"/>
  <c r="AF11" i="27"/>
  <c r="AF10" i="27"/>
  <c r="AF9" i="27"/>
  <c r="AF8" i="27"/>
  <c r="AF7" i="27"/>
  <c r="AF6" i="27"/>
  <c r="AF5" i="27"/>
  <c r="AF4" i="27"/>
  <c r="AF3" i="27"/>
  <c r="AF2" i="27"/>
  <c r="AE67" i="27"/>
  <c r="AE66" i="27"/>
  <c r="AE65" i="27"/>
  <c r="AE64" i="27"/>
  <c r="AE63" i="27"/>
  <c r="AE60" i="27"/>
  <c r="AE59" i="27"/>
  <c r="AE58" i="27"/>
  <c r="AE57" i="27"/>
  <c r="AE56" i="27"/>
  <c r="AE55" i="27"/>
  <c r="AE53" i="27"/>
  <c r="AE52" i="27"/>
  <c r="AE86" i="27"/>
  <c r="AE85" i="27"/>
  <c r="AE84" i="27"/>
  <c r="AE83" i="27"/>
  <c r="AE82" i="27"/>
  <c r="AE78" i="27"/>
  <c r="AE77" i="27"/>
  <c r="AE76" i="27"/>
  <c r="AE75" i="27"/>
  <c r="AE74" i="27"/>
  <c r="AE73" i="27"/>
  <c r="AE72" i="27"/>
  <c r="AE71" i="27"/>
  <c r="AE70" i="27"/>
  <c r="AE69" i="27"/>
  <c r="AE68" i="27"/>
  <c r="AE51" i="27"/>
  <c r="AE50" i="27"/>
  <c r="AE49" i="27"/>
  <c r="AE48" i="27"/>
  <c r="AE47" i="27"/>
  <c r="AE46" i="27"/>
  <c r="AE45" i="27"/>
  <c r="AE44" i="27"/>
  <c r="AE43" i="27"/>
  <c r="AE42" i="27"/>
  <c r="AE41" i="27"/>
  <c r="AE40" i="27"/>
  <c r="AE39" i="27"/>
  <c r="AE38" i="27"/>
  <c r="AE37" i="27"/>
  <c r="AE36" i="27"/>
  <c r="AE35" i="27"/>
  <c r="AE34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21" i="27"/>
  <c r="AE20" i="27"/>
  <c r="AE19" i="27"/>
  <c r="AE18" i="27"/>
  <c r="AE17" i="27"/>
  <c r="AE16" i="27"/>
  <c r="AE15" i="27"/>
  <c r="AE14" i="27"/>
  <c r="AE13" i="27"/>
  <c r="AE12" i="27"/>
  <c r="AE11" i="27"/>
  <c r="AE10" i="27"/>
  <c r="AE9" i="27"/>
  <c r="AE8" i="27"/>
  <c r="AE7" i="27"/>
  <c r="AE6" i="27"/>
  <c r="AE5" i="27"/>
  <c r="AE4" i="27"/>
  <c r="AE3" i="27"/>
  <c r="AE2" i="27"/>
  <c r="AD64" i="27"/>
  <c r="AD63" i="27"/>
  <c r="AD55" i="27"/>
  <c r="AD86" i="27"/>
  <c r="AD85" i="27"/>
  <c r="AD84" i="27"/>
  <c r="AD83" i="27"/>
  <c r="AD82" i="27"/>
  <c r="AD78" i="27"/>
  <c r="AD77" i="27"/>
  <c r="AD76" i="27"/>
  <c r="AD75" i="27"/>
  <c r="AD74" i="27"/>
  <c r="AD73" i="27"/>
  <c r="AD72" i="27"/>
  <c r="AD71" i="27"/>
  <c r="AD70" i="27"/>
  <c r="AD69" i="27"/>
  <c r="AD68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AD38" i="27"/>
  <c r="AD37" i="27"/>
  <c r="AD36" i="27"/>
  <c r="AD35" i="27"/>
  <c r="AD34" i="27"/>
  <c r="AD33" i="27"/>
  <c r="AD32" i="27"/>
  <c r="AD31" i="27"/>
  <c r="AD30" i="27"/>
  <c r="AD29" i="27"/>
  <c r="AD28" i="27"/>
  <c r="AD27" i="27"/>
  <c r="AD26" i="27"/>
  <c r="AD25" i="27"/>
  <c r="AD24" i="27"/>
  <c r="AD23" i="27"/>
  <c r="AD22" i="27"/>
  <c r="AD21" i="27"/>
  <c r="AD20" i="27"/>
  <c r="AD19" i="27"/>
  <c r="AD18" i="27"/>
  <c r="AD17" i="27"/>
  <c r="AD16" i="27"/>
  <c r="AD15" i="27"/>
  <c r="AD14" i="27"/>
  <c r="AD13" i="27"/>
  <c r="AD12" i="27"/>
  <c r="AD11" i="27"/>
  <c r="AD10" i="27"/>
  <c r="AD9" i="27"/>
  <c r="AD8" i="27"/>
  <c r="AD7" i="27"/>
  <c r="AD6" i="27"/>
  <c r="AD5" i="27"/>
  <c r="AD4" i="27"/>
  <c r="AD3" i="27"/>
  <c r="AD2" i="27"/>
  <c r="AC86" i="27"/>
  <c r="AC85" i="27"/>
  <c r="AC84" i="27"/>
  <c r="AC83" i="27"/>
  <c r="AC82" i="27"/>
  <c r="AC78" i="27"/>
  <c r="AC77" i="27"/>
  <c r="AC76" i="27"/>
  <c r="AC75" i="27"/>
  <c r="AC74" i="27"/>
  <c r="AC73" i="27"/>
  <c r="AC72" i="27"/>
  <c r="AC71" i="27"/>
  <c r="AC70" i="27"/>
  <c r="AC69" i="27"/>
  <c r="AC68" i="27"/>
  <c r="AC51" i="27"/>
  <c r="AC50" i="27"/>
  <c r="AC49" i="27"/>
  <c r="AC48" i="27"/>
  <c r="AC47" i="27"/>
  <c r="AC46" i="27"/>
  <c r="AC45" i="27"/>
  <c r="AC44" i="27"/>
  <c r="AC43" i="27"/>
  <c r="AC42" i="27"/>
  <c r="AC41" i="27"/>
  <c r="AC40" i="27"/>
  <c r="AC39" i="27"/>
  <c r="AC38" i="27"/>
  <c r="AC37" i="27"/>
  <c r="AC36" i="27"/>
  <c r="AC35" i="27"/>
  <c r="AC34" i="27"/>
  <c r="AC33" i="27"/>
  <c r="AC32" i="27"/>
  <c r="AC31" i="27"/>
  <c r="AC30" i="27"/>
  <c r="AC29" i="27"/>
  <c r="AC28" i="27"/>
  <c r="AC27" i="27"/>
  <c r="AC26" i="27"/>
  <c r="AC25" i="27"/>
  <c r="AC24" i="27"/>
  <c r="AC23" i="27"/>
  <c r="AC22" i="27"/>
  <c r="AC21" i="27"/>
  <c r="AC20" i="27"/>
  <c r="AC19" i="27"/>
  <c r="AC18" i="27"/>
  <c r="AC17" i="27"/>
  <c r="AC16" i="27"/>
  <c r="AC15" i="27"/>
  <c r="AC14" i="27"/>
  <c r="AC13" i="27"/>
  <c r="AC12" i="27"/>
  <c r="AC11" i="27"/>
  <c r="AC10" i="27"/>
  <c r="AC9" i="27"/>
  <c r="AC8" i="27"/>
  <c r="AC7" i="27"/>
  <c r="AC6" i="27"/>
  <c r="AC5" i="27"/>
  <c r="AC4" i="27"/>
  <c r="AC3" i="27"/>
  <c r="AC2" i="27"/>
  <c r="AB86" i="27"/>
  <c r="AB85" i="27"/>
  <c r="AB84" i="27"/>
  <c r="AB83" i="27"/>
  <c r="AB82" i="27"/>
  <c r="AB78" i="27"/>
  <c r="AB77" i="27"/>
  <c r="AB76" i="27"/>
  <c r="AB75" i="27"/>
  <c r="AB74" i="27"/>
  <c r="AB73" i="27"/>
  <c r="AB72" i="27"/>
  <c r="AB71" i="27"/>
  <c r="AB70" i="27"/>
  <c r="AB69" i="27"/>
  <c r="AB68" i="27"/>
  <c r="AB51" i="27"/>
  <c r="AB50" i="27"/>
  <c r="AB49" i="27"/>
  <c r="AB48" i="27"/>
  <c r="AB47" i="27"/>
  <c r="AB46" i="27"/>
  <c r="AB45" i="27"/>
  <c r="AB44" i="27"/>
  <c r="AB43" i="27"/>
  <c r="AB42" i="27"/>
  <c r="AB41" i="27"/>
  <c r="AB40" i="27"/>
  <c r="AB39" i="27"/>
  <c r="AB38" i="27"/>
  <c r="AB37" i="27"/>
  <c r="AB36" i="27"/>
  <c r="AB35" i="27"/>
  <c r="AB34" i="27"/>
  <c r="AB33" i="27"/>
  <c r="AB32" i="27"/>
  <c r="AB31" i="27"/>
  <c r="AB30" i="27"/>
  <c r="AB29" i="27"/>
  <c r="AB28" i="27"/>
  <c r="AB27" i="27"/>
  <c r="AB26" i="27"/>
  <c r="AB25" i="27"/>
  <c r="AB24" i="27"/>
  <c r="AB23" i="27"/>
  <c r="AB22" i="27"/>
  <c r="AB21" i="27"/>
  <c r="AB20" i="27"/>
  <c r="AB19" i="27"/>
  <c r="AB18" i="27"/>
  <c r="AB17" i="27"/>
  <c r="AB16" i="27"/>
  <c r="AB15" i="27"/>
  <c r="AB14" i="27"/>
  <c r="AB13" i="27"/>
  <c r="AB12" i="27"/>
  <c r="AB11" i="27"/>
  <c r="AB10" i="27"/>
  <c r="AB9" i="27"/>
  <c r="AB8" i="27"/>
  <c r="AB7" i="27"/>
  <c r="AB6" i="27"/>
  <c r="AB5" i="27"/>
  <c r="AB4" i="27"/>
  <c r="AB3" i="27"/>
  <c r="AB2" i="27"/>
  <c r="AA83" i="27"/>
  <c r="AA84" i="27"/>
  <c r="AA85" i="27"/>
  <c r="AA86" i="27"/>
  <c r="AA82" i="27"/>
  <c r="AA77" i="27"/>
  <c r="AA78" i="27"/>
  <c r="AA76" i="27"/>
  <c r="AG76" i="27" s="1"/>
  <c r="AA69" i="27"/>
  <c r="AA70" i="27"/>
  <c r="AA71" i="27"/>
  <c r="AA72" i="27"/>
  <c r="AA73" i="27"/>
  <c r="AA74" i="27"/>
  <c r="AA75" i="27"/>
  <c r="AG75" i="27" s="1"/>
  <c r="AA68" i="27"/>
  <c r="AG68" i="27" s="1"/>
  <c r="AA61" i="27"/>
  <c r="AA62" i="27"/>
  <c r="AA63" i="27"/>
  <c r="AA64" i="27"/>
  <c r="AK64" i="27" s="1"/>
  <c r="AA65" i="27"/>
  <c r="AG65" i="27" s="1"/>
  <c r="AA66" i="27"/>
  <c r="AA67" i="27"/>
  <c r="AA54" i="27"/>
  <c r="AA55" i="27"/>
  <c r="AA56" i="27"/>
  <c r="AK56" i="27" s="1"/>
  <c r="AA57" i="27"/>
  <c r="AA58" i="27"/>
  <c r="AA29" i="27"/>
  <c r="AA30" i="27"/>
  <c r="AA31" i="27"/>
  <c r="AA32" i="27"/>
  <c r="AA33" i="27"/>
  <c r="AA34" i="27"/>
  <c r="AA35" i="27"/>
  <c r="AA36" i="27"/>
  <c r="AG36" i="27" s="1"/>
  <c r="AA37" i="27"/>
  <c r="AA38" i="27"/>
  <c r="AA39" i="27"/>
  <c r="AA40" i="27"/>
  <c r="AA41" i="27"/>
  <c r="AH41" i="27" s="1"/>
  <c r="AA42" i="27"/>
  <c r="AA43" i="27"/>
  <c r="AG43" i="27" s="1"/>
  <c r="AA44" i="27"/>
  <c r="AG44" i="27" s="1"/>
  <c r="AA45" i="27"/>
  <c r="AA46" i="27"/>
  <c r="AA47" i="27"/>
  <c r="AA48" i="27"/>
  <c r="AA49" i="27"/>
  <c r="AH49" i="27" s="1"/>
  <c r="AA50" i="27"/>
  <c r="AA51" i="27"/>
  <c r="AJ51" i="27" s="1"/>
  <c r="AA28" i="27"/>
  <c r="AA3" i="27"/>
  <c r="AA4" i="27"/>
  <c r="AA5" i="27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" i="27"/>
  <c r="P3" i="27"/>
  <c r="Q3" i="27"/>
  <c r="R3" i="27"/>
  <c r="S3" i="27"/>
  <c r="T3" i="27"/>
  <c r="U3" i="27"/>
  <c r="P4" i="27"/>
  <c r="Q4" i="27"/>
  <c r="R4" i="27"/>
  <c r="S4" i="27"/>
  <c r="T4" i="27"/>
  <c r="U4" i="27"/>
  <c r="P5" i="27"/>
  <c r="Q5" i="27"/>
  <c r="R5" i="27"/>
  <c r="S5" i="27"/>
  <c r="T5" i="27"/>
  <c r="U5" i="27"/>
  <c r="P6" i="27"/>
  <c r="Q6" i="27"/>
  <c r="R6" i="27"/>
  <c r="S6" i="27"/>
  <c r="T6" i="27"/>
  <c r="U6" i="27"/>
  <c r="P7" i="27"/>
  <c r="Q7" i="27"/>
  <c r="R7" i="27"/>
  <c r="S7" i="27"/>
  <c r="T7" i="27"/>
  <c r="U7" i="27"/>
  <c r="P8" i="27"/>
  <c r="Q8" i="27"/>
  <c r="R8" i="27"/>
  <c r="S8" i="27"/>
  <c r="T8" i="27"/>
  <c r="U8" i="27"/>
  <c r="P9" i="27"/>
  <c r="Q9" i="27"/>
  <c r="R9" i="27"/>
  <c r="S9" i="27"/>
  <c r="T9" i="27"/>
  <c r="U9" i="27"/>
  <c r="P10" i="27"/>
  <c r="Q10" i="27"/>
  <c r="R10" i="27"/>
  <c r="S10" i="27"/>
  <c r="T10" i="27"/>
  <c r="U10" i="27"/>
  <c r="P11" i="27"/>
  <c r="Q11" i="27"/>
  <c r="R11" i="27"/>
  <c r="S11" i="27"/>
  <c r="T11" i="27"/>
  <c r="U11" i="27"/>
  <c r="P12" i="27"/>
  <c r="Q12" i="27"/>
  <c r="R12" i="27"/>
  <c r="S12" i="27"/>
  <c r="T12" i="27"/>
  <c r="U12" i="27"/>
  <c r="P13" i="27"/>
  <c r="Q13" i="27"/>
  <c r="R13" i="27"/>
  <c r="S13" i="27"/>
  <c r="T13" i="27"/>
  <c r="U13" i="27"/>
  <c r="P14" i="27"/>
  <c r="Q14" i="27"/>
  <c r="R14" i="27"/>
  <c r="S14" i="27"/>
  <c r="T14" i="27"/>
  <c r="U14" i="27"/>
  <c r="P15" i="27"/>
  <c r="Q15" i="27"/>
  <c r="R15" i="27"/>
  <c r="S15" i="27"/>
  <c r="T15" i="27"/>
  <c r="U15" i="27"/>
  <c r="P16" i="27"/>
  <c r="Q16" i="27"/>
  <c r="R16" i="27"/>
  <c r="S16" i="27"/>
  <c r="T16" i="27"/>
  <c r="U16" i="27"/>
  <c r="P17" i="27"/>
  <c r="Q17" i="27"/>
  <c r="R17" i="27"/>
  <c r="S17" i="27"/>
  <c r="T17" i="27"/>
  <c r="U17" i="27"/>
  <c r="P18" i="27"/>
  <c r="Q18" i="27"/>
  <c r="R18" i="27"/>
  <c r="S18" i="27"/>
  <c r="T18" i="27"/>
  <c r="U18" i="27"/>
  <c r="P19" i="27"/>
  <c r="Q19" i="27"/>
  <c r="R19" i="27"/>
  <c r="S19" i="27"/>
  <c r="T19" i="27"/>
  <c r="U19" i="27"/>
  <c r="P20" i="27"/>
  <c r="Q20" i="27"/>
  <c r="R20" i="27"/>
  <c r="S20" i="27"/>
  <c r="T20" i="27"/>
  <c r="U20" i="27"/>
  <c r="P21" i="27"/>
  <c r="Q21" i="27"/>
  <c r="R21" i="27"/>
  <c r="S21" i="27"/>
  <c r="T21" i="27"/>
  <c r="U21" i="27"/>
  <c r="P22" i="27"/>
  <c r="Q22" i="27"/>
  <c r="R22" i="27"/>
  <c r="S22" i="27"/>
  <c r="T22" i="27"/>
  <c r="U22" i="27"/>
  <c r="P23" i="27"/>
  <c r="Q23" i="27"/>
  <c r="R23" i="27"/>
  <c r="S23" i="27"/>
  <c r="T23" i="27"/>
  <c r="U23" i="27"/>
  <c r="P24" i="27"/>
  <c r="Q24" i="27"/>
  <c r="R24" i="27"/>
  <c r="S24" i="27"/>
  <c r="T24" i="27"/>
  <c r="U24" i="27"/>
  <c r="P25" i="27"/>
  <c r="Q25" i="27"/>
  <c r="R25" i="27"/>
  <c r="S25" i="27"/>
  <c r="T25" i="27"/>
  <c r="U25" i="27"/>
  <c r="P26" i="27"/>
  <c r="Q26" i="27"/>
  <c r="R26" i="27"/>
  <c r="S26" i="27"/>
  <c r="T26" i="27"/>
  <c r="U26" i="27"/>
  <c r="P27" i="27"/>
  <c r="Q27" i="27"/>
  <c r="R27" i="27"/>
  <c r="S27" i="27"/>
  <c r="T27" i="27"/>
  <c r="U27" i="27"/>
  <c r="U2" i="27"/>
  <c r="T2" i="27"/>
  <c r="S2" i="27"/>
  <c r="R2" i="27"/>
  <c r="Q2" i="27"/>
  <c r="P2" i="27"/>
  <c r="D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S34" i="27"/>
  <c r="T86" i="27"/>
  <c r="T85" i="27"/>
  <c r="T84" i="27"/>
  <c r="T83" i="27"/>
  <c r="T82" i="27"/>
  <c r="T78" i="27"/>
  <c r="T77" i="27"/>
  <c r="T76" i="27"/>
  <c r="T75" i="27"/>
  <c r="T74" i="27"/>
  <c r="T73" i="27"/>
  <c r="T72" i="27"/>
  <c r="T71" i="27"/>
  <c r="T70" i="27"/>
  <c r="T69" i="27"/>
  <c r="T68" i="27"/>
  <c r="T51" i="27"/>
  <c r="T50" i="27"/>
  <c r="T49" i="27"/>
  <c r="T48" i="27"/>
  <c r="T47" i="27"/>
  <c r="T46" i="27"/>
  <c r="T45" i="27"/>
  <c r="T44" i="27"/>
  <c r="T43" i="27"/>
  <c r="T42" i="27"/>
  <c r="T41" i="27"/>
  <c r="T40" i="27"/>
  <c r="T39" i="27"/>
  <c r="T38" i="27"/>
  <c r="T37" i="27"/>
  <c r="T36" i="27"/>
  <c r="T35" i="27"/>
  <c r="T34" i="27"/>
  <c r="T33" i="27"/>
  <c r="T32" i="27"/>
  <c r="T31" i="27"/>
  <c r="T30" i="27"/>
  <c r="T29" i="27"/>
  <c r="T28" i="27"/>
  <c r="T58" i="27"/>
  <c r="T57" i="27"/>
  <c r="T56" i="27"/>
  <c r="T55" i="27"/>
  <c r="T53" i="27"/>
  <c r="T52" i="27"/>
  <c r="T67" i="27"/>
  <c r="T66" i="27"/>
  <c r="T65" i="27"/>
  <c r="T64" i="27"/>
  <c r="T63" i="27"/>
  <c r="T60" i="27"/>
  <c r="T59" i="27"/>
  <c r="U67" i="27"/>
  <c r="U65" i="27"/>
  <c r="U64" i="27"/>
  <c r="U63" i="27"/>
  <c r="U62" i="27"/>
  <c r="U61" i="27"/>
  <c r="U60" i="27"/>
  <c r="U59" i="27"/>
  <c r="U58" i="27"/>
  <c r="U56" i="27"/>
  <c r="U55" i="27"/>
  <c r="U54" i="27"/>
  <c r="U53" i="27"/>
  <c r="U52" i="27"/>
  <c r="U86" i="27"/>
  <c r="U85" i="27"/>
  <c r="U84" i="27"/>
  <c r="U83" i="27"/>
  <c r="U82" i="27"/>
  <c r="U78" i="27"/>
  <c r="U77" i="27"/>
  <c r="U76" i="27"/>
  <c r="U75" i="27"/>
  <c r="U74" i="27"/>
  <c r="U73" i="27"/>
  <c r="U72" i="27"/>
  <c r="U71" i="27"/>
  <c r="U70" i="27"/>
  <c r="U69" i="27"/>
  <c r="U68" i="27"/>
  <c r="U51" i="27"/>
  <c r="U50" i="27"/>
  <c r="U49" i="27"/>
  <c r="U48" i="27"/>
  <c r="U47" i="27"/>
  <c r="U46" i="27"/>
  <c r="U45" i="27"/>
  <c r="U44" i="27"/>
  <c r="U43" i="27"/>
  <c r="U42" i="27"/>
  <c r="U41" i="27"/>
  <c r="U40" i="27"/>
  <c r="U39" i="27"/>
  <c r="U38" i="27"/>
  <c r="U37" i="27"/>
  <c r="U36" i="27"/>
  <c r="U35" i="27"/>
  <c r="U34" i="27"/>
  <c r="U33" i="27"/>
  <c r="U32" i="27"/>
  <c r="U31" i="27"/>
  <c r="U30" i="27"/>
  <c r="U29" i="27"/>
  <c r="U28" i="27"/>
  <c r="S64" i="27"/>
  <c r="S63" i="27"/>
  <c r="S55" i="27"/>
  <c r="S86" i="27"/>
  <c r="S85" i="27"/>
  <c r="S84" i="27"/>
  <c r="S83" i="27"/>
  <c r="S82" i="27"/>
  <c r="S78" i="27"/>
  <c r="S77" i="27"/>
  <c r="S76" i="27"/>
  <c r="S75" i="27"/>
  <c r="S74" i="27"/>
  <c r="S73" i="27"/>
  <c r="S72" i="27"/>
  <c r="S71" i="27"/>
  <c r="S70" i="27"/>
  <c r="S69" i="27"/>
  <c r="S68" i="27"/>
  <c r="S51" i="27"/>
  <c r="S50" i="27"/>
  <c r="S49" i="27"/>
  <c r="S48" i="27"/>
  <c r="S47" i="27"/>
  <c r="S46" i="27"/>
  <c r="S45" i="27"/>
  <c r="S44" i="27"/>
  <c r="S43" i="27"/>
  <c r="S42" i="27"/>
  <c r="S41" i="27"/>
  <c r="S40" i="27"/>
  <c r="S39" i="27"/>
  <c r="S38" i="27"/>
  <c r="S37" i="27"/>
  <c r="S36" i="27"/>
  <c r="S35" i="27"/>
  <c r="S33" i="27"/>
  <c r="S32" i="27"/>
  <c r="S31" i="27"/>
  <c r="S30" i="27"/>
  <c r="S29" i="27"/>
  <c r="S28" i="27"/>
  <c r="R86" i="27"/>
  <c r="R85" i="27"/>
  <c r="R84" i="27"/>
  <c r="R83" i="27"/>
  <c r="R82" i="27"/>
  <c r="R78" i="27"/>
  <c r="R77" i="27"/>
  <c r="R76" i="27"/>
  <c r="R75" i="27"/>
  <c r="R74" i="27"/>
  <c r="R73" i="27"/>
  <c r="R72" i="27"/>
  <c r="R71" i="27"/>
  <c r="R70" i="27"/>
  <c r="R69" i="27"/>
  <c r="R68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Q86" i="27"/>
  <c r="Q85" i="27"/>
  <c r="Q84" i="27"/>
  <c r="Q83" i="27"/>
  <c r="Q82" i="27"/>
  <c r="Q78" i="27"/>
  <c r="Q77" i="27"/>
  <c r="Q76" i="27"/>
  <c r="Q75" i="27"/>
  <c r="Q74" i="27"/>
  <c r="Q73" i="27"/>
  <c r="Q72" i="27"/>
  <c r="Q71" i="27"/>
  <c r="Q70" i="27"/>
  <c r="Q69" i="27"/>
  <c r="Q68" i="27"/>
  <c r="Q51" i="27"/>
  <c r="Q50" i="27"/>
  <c r="Q49" i="27"/>
  <c r="Q48" i="27"/>
  <c r="Q47" i="27"/>
  <c r="Q46" i="27"/>
  <c r="Q45" i="27"/>
  <c r="Q44" i="27"/>
  <c r="Q43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D82" i="27"/>
  <c r="P68" i="27"/>
  <c r="D68" i="27"/>
  <c r="P67" i="27"/>
  <c r="P66" i="27"/>
  <c r="P65" i="27"/>
  <c r="P64" i="27"/>
  <c r="P63" i="27"/>
  <c r="P62" i="27"/>
  <c r="P61" i="27"/>
  <c r="P58" i="27"/>
  <c r="P57" i="27"/>
  <c r="P56" i="27"/>
  <c r="P55" i="27"/>
  <c r="P54" i="27"/>
  <c r="P86" i="27"/>
  <c r="P85" i="27"/>
  <c r="P84" i="27"/>
  <c r="P83" i="27"/>
  <c r="P78" i="27"/>
  <c r="P77" i="27"/>
  <c r="P76" i="27"/>
  <c r="P75" i="27"/>
  <c r="P74" i="27"/>
  <c r="P73" i="27"/>
  <c r="P72" i="27"/>
  <c r="P71" i="27"/>
  <c r="P70" i="27"/>
  <c r="P69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D28" i="27"/>
  <c r="N364" i="38" s="1"/>
  <c r="D29" i="27"/>
  <c r="N365" i="38" s="1"/>
  <c r="D83" i="27"/>
  <c r="D84" i="27"/>
  <c r="D85" i="27"/>
  <c r="D86" i="27"/>
  <c r="N421" i="38" s="1"/>
  <c r="D77" i="27"/>
  <c r="N413" i="38" s="1"/>
  <c r="D78" i="27"/>
  <c r="N414" i="38" s="1"/>
  <c r="D76" i="27"/>
  <c r="D74" i="27"/>
  <c r="D75" i="27"/>
  <c r="D73" i="27"/>
  <c r="D69" i="27"/>
  <c r="N405" i="38" s="1"/>
  <c r="D70" i="27"/>
  <c r="N406" i="38" s="1"/>
  <c r="D71" i="27"/>
  <c r="D72" i="27"/>
  <c r="D43" i="27"/>
  <c r="D44" i="27"/>
  <c r="D45" i="27"/>
  <c r="N381" i="38" s="1"/>
  <c r="D46" i="27"/>
  <c r="N382" i="38" s="1"/>
  <c r="D47" i="27"/>
  <c r="D48" i="27"/>
  <c r="D49" i="27"/>
  <c r="D50" i="27"/>
  <c r="D51" i="27"/>
  <c r="D42" i="27"/>
  <c r="D30" i="27"/>
  <c r="N366" i="38" s="1"/>
  <c r="D31" i="27"/>
  <c r="D32" i="27"/>
  <c r="D33" i="27"/>
  <c r="D34" i="27"/>
  <c r="D35" i="27"/>
  <c r="D36" i="27"/>
  <c r="D37" i="27"/>
  <c r="N373" i="38" s="1"/>
  <c r="D38" i="27"/>
  <c r="N374" i="38" s="1"/>
  <c r="D39" i="27"/>
  <c r="D40" i="27"/>
  <c r="D41" i="27"/>
  <c r="B3" i="12"/>
  <c r="E3" i="12" s="1"/>
  <c r="M3" i="11" s="1"/>
  <c r="BP3" i="11" s="1"/>
  <c r="B4" i="12"/>
  <c r="E4" i="12" s="1"/>
  <c r="M4" i="11" s="1"/>
  <c r="BP4" i="11" s="1"/>
  <c r="B5" i="12"/>
  <c r="E5" i="12" s="1"/>
  <c r="M5" i="11" s="1"/>
  <c r="BP5" i="11" s="1"/>
  <c r="B6" i="12"/>
  <c r="G6" i="12" s="1"/>
  <c r="N6" i="11" s="1"/>
  <c r="AQ6" i="11" s="1"/>
  <c r="B7" i="12"/>
  <c r="B8" i="12"/>
  <c r="E8" i="12" s="1"/>
  <c r="M8" i="11" s="1"/>
  <c r="AP8" i="11" s="1"/>
  <c r="B9" i="12"/>
  <c r="E9" i="12" s="1"/>
  <c r="M9" i="11" s="1"/>
  <c r="BP9" i="11" s="1"/>
  <c r="B10" i="12"/>
  <c r="E10" i="12" s="1"/>
  <c r="M10" i="11" s="1"/>
  <c r="BP10" i="11" s="1"/>
  <c r="B11" i="12"/>
  <c r="E11" i="12" s="1"/>
  <c r="M11" i="11" s="1"/>
  <c r="BP11" i="11" s="1"/>
  <c r="B12" i="12"/>
  <c r="G12" i="12" s="1"/>
  <c r="N12" i="11" s="1"/>
  <c r="AQ12" i="11" s="1"/>
  <c r="B13" i="12"/>
  <c r="G13" i="12" s="1"/>
  <c r="N13" i="11" s="1"/>
  <c r="B14" i="12"/>
  <c r="G14" i="12" s="1"/>
  <c r="N14" i="11" s="1"/>
  <c r="B15" i="12"/>
  <c r="G15" i="12" s="1"/>
  <c r="N15" i="11" s="1"/>
  <c r="B16" i="12"/>
  <c r="E16" i="12" s="1"/>
  <c r="M16" i="11" s="1"/>
  <c r="BP16" i="11" s="1"/>
  <c r="B17" i="12"/>
  <c r="E17" i="12" s="1"/>
  <c r="M17" i="11" s="1"/>
  <c r="AP17" i="11" s="1"/>
  <c r="B18" i="12"/>
  <c r="E18" i="12" s="1"/>
  <c r="M18" i="11" s="1"/>
  <c r="AP18" i="11" s="1"/>
  <c r="B19" i="12"/>
  <c r="E19" i="12" s="1"/>
  <c r="M19" i="11" s="1"/>
  <c r="BP19" i="11" s="1"/>
  <c r="B20" i="12"/>
  <c r="E20" i="12" s="1"/>
  <c r="M20" i="11" s="1"/>
  <c r="BP20" i="11" s="1"/>
  <c r="B21" i="12"/>
  <c r="G21" i="12" s="1"/>
  <c r="N21" i="11" s="1"/>
  <c r="B22" i="12"/>
  <c r="G22" i="12" s="1"/>
  <c r="N22" i="11" s="1"/>
  <c r="AQ22" i="11" s="1"/>
  <c r="B23" i="12"/>
  <c r="E23" i="12" s="1"/>
  <c r="M23" i="11" s="1"/>
  <c r="BP23" i="11" s="1"/>
  <c r="B24" i="12"/>
  <c r="E24" i="12" s="1"/>
  <c r="M24" i="11" s="1"/>
  <c r="AP24" i="11" s="1"/>
  <c r="B25" i="12"/>
  <c r="E25" i="12" s="1"/>
  <c r="M25" i="11" s="1"/>
  <c r="BP25" i="11" s="1"/>
  <c r="B26" i="12"/>
  <c r="E26" i="12" s="1"/>
  <c r="M26" i="11" s="1"/>
  <c r="BP26" i="11" s="1"/>
  <c r="B27" i="12"/>
  <c r="E27" i="12" s="1"/>
  <c r="M27" i="11" s="1"/>
  <c r="BP27" i="11" s="1"/>
  <c r="B28" i="12"/>
  <c r="G28" i="12" s="1"/>
  <c r="N28" i="11" s="1"/>
  <c r="AQ28" i="11" s="1"/>
  <c r="B29" i="12"/>
  <c r="E29" i="12" s="1"/>
  <c r="M29" i="11" s="1"/>
  <c r="AP29" i="11" s="1"/>
  <c r="B30" i="12"/>
  <c r="E30" i="12" s="1"/>
  <c r="M30" i="11" s="1"/>
  <c r="AP30" i="11" s="1"/>
  <c r="B31" i="12"/>
  <c r="G31" i="12" s="1"/>
  <c r="N31" i="11" s="1"/>
  <c r="B32" i="12"/>
  <c r="E32" i="12" s="1"/>
  <c r="M32" i="11" s="1"/>
  <c r="BP32" i="11" s="1"/>
  <c r="B33" i="12"/>
  <c r="E33" i="12" s="1"/>
  <c r="M33" i="11" s="1"/>
  <c r="AP33" i="11" s="1"/>
  <c r="B34" i="12"/>
  <c r="E34" i="12" s="1"/>
  <c r="M34" i="11" s="1"/>
  <c r="AP34" i="11" s="1"/>
  <c r="B35" i="12"/>
  <c r="B36" i="12"/>
  <c r="G36" i="12" s="1"/>
  <c r="N36" i="11" s="1"/>
  <c r="B37" i="12"/>
  <c r="G37" i="12" s="1"/>
  <c r="N37" i="11" s="1"/>
  <c r="B38" i="12"/>
  <c r="G38" i="12" s="1"/>
  <c r="N38" i="11" s="1"/>
  <c r="AQ38" i="11" s="1"/>
  <c r="B39" i="12"/>
  <c r="G39" i="12" s="1"/>
  <c r="N39" i="11" s="1"/>
  <c r="AQ39" i="11" s="1"/>
  <c r="B40" i="12"/>
  <c r="E40" i="12" s="1"/>
  <c r="M40" i="11" s="1"/>
  <c r="AP40" i="11" s="1"/>
  <c r="B41" i="12"/>
  <c r="E41" i="12" s="1"/>
  <c r="M41" i="11" s="1"/>
  <c r="BP41" i="11" s="1"/>
  <c r="B42" i="12"/>
  <c r="E42" i="12" s="1"/>
  <c r="M42" i="11" s="1"/>
  <c r="BP42" i="11" s="1"/>
  <c r="B43" i="12"/>
  <c r="G43" i="12" s="1"/>
  <c r="N43" i="11" s="1"/>
  <c r="AQ43" i="11" s="1"/>
  <c r="B44" i="12"/>
  <c r="E44" i="12" s="1"/>
  <c r="M44" i="11" s="1"/>
  <c r="AP44" i="11" s="1"/>
  <c r="B45" i="12"/>
  <c r="G45" i="12" s="1"/>
  <c r="N45" i="11" s="1"/>
  <c r="B46" i="12"/>
  <c r="E46" i="12" s="1"/>
  <c r="M46" i="11" s="1"/>
  <c r="BP46" i="11" s="1"/>
  <c r="B47" i="12"/>
  <c r="B48" i="12"/>
  <c r="E48" i="12" s="1"/>
  <c r="M48" i="11" s="1"/>
  <c r="AP48" i="11" s="1"/>
  <c r="B49" i="12"/>
  <c r="E49" i="12" s="1"/>
  <c r="M49" i="11" s="1"/>
  <c r="AP49" i="11" s="1"/>
  <c r="B50" i="12"/>
  <c r="E50" i="12" s="1"/>
  <c r="M50" i="11" s="1"/>
  <c r="BP50" i="11" s="1"/>
  <c r="B51" i="12"/>
  <c r="E51" i="12" s="1"/>
  <c r="M51" i="11" s="1"/>
  <c r="BP51" i="11" s="1"/>
  <c r="B52" i="12"/>
  <c r="E52" i="12" s="1"/>
  <c r="M52" i="11" s="1"/>
  <c r="BP52" i="11" s="1"/>
  <c r="B53" i="12"/>
  <c r="E53" i="12" s="1"/>
  <c r="M53" i="11" s="1"/>
  <c r="AP53" i="11" s="1"/>
  <c r="B54" i="12"/>
  <c r="E54" i="12" s="1"/>
  <c r="M54" i="11" s="1"/>
  <c r="AP54" i="11" s="1"/>
  <c r="B55" i="12"/>
  <c r="E55" i="12" s="1"/>
  <c r="M55" i="11" s="1"/>
  <c r="AM55" i="11" s="1"/>
  <c r="B56" i="12"/>
  <c r="E56" i="12" s="1"/>
  <c r="M56" i="11" s="1"/>
  <c r="BP56" i="11" s="1"/>
  <c r="B57" i="12"/>
  <c r="E57" i="12" s="1"/>
  <c r="M57" i="11" s="1"/>
  <c r="AP57" i="11" s="1"/>
  <c r="B58" i="12"/>
  <c r="E58" i="12" s="1"/>
  <c r="M58" i="11" s="1"/>
  <c r="AP58" i="11" s="1"/>
  <c r="B59" i="12"/>
  <c r="G59" i="12" s="1"/>
  <c r="N59" i="11" s="1"/>
  <c r="B60" i="12"/>
  <c r="E60" i="12" s="1"/>
  <c r="M60" i="11" s="1"/>
  <c r="BP60" i="11" s="1"/>
  <c r="B61" i="12"/>
  <c r="G61" i="12" s="1"/>
  <c r="N61" i="11" s="1"/>
  <c r="AQ61" i="11" s="1"/>
  <c r="B62" i="12"/>
  <c r="G62" i="12" s="1"/>
  <c r="N62" i="11" s="1"/>
  <c r="AQ62" i="11" s="1"/>
  <c r="B63" i="12"/>
  <c r="G63" i="12" s="1"/>
  <c r="N63" i="11" s="1"/>
  <c r="AQ63" i="11" s="1"/>
  <c r="B64" i="12"/>
  <c r="E64" i="12" s="1"/>
  <c r="M64" i="11" s="1"/>
  <c r="BP64" i="11" s="1"/>
  <c r="B65" i="12"/>
  <c r="E65" i="12" s="1"/>
  <c r="M65" i="11" s="1"/>
  <c r="BP65" i="11" s="1"/>
  <c r="B66" i="12"/>
  <c r="E66" i="12" s="1"/>
  <c r="M66" i="11" s="1"/>
  <c r="AP66" i="11" s="1"/>
  <c r="B67" i="12"/>
  <c r="E67" i="12" s="1"/>
  <c r="M67" i="11" s="1"/>
  <c r="BP67" i="11" s="1"/>
  <c r="B68" i="12"/>
  <c r="G68" i="12" s="1"/>
  <c r="N68" i="11" s="1"/>
  <c r="B69" i="12"/>
  <c r="E69" i="12" s="1"/>
  <c r="M69" i="11" s="1"/>
  <c r="BP69" i="11" s="1"/>
  <c r="B70" i="12"/>
  <c r="E70" i="12" s="1"/>
  <c r="M70" i="11" s="1"/>
  <c r="BP70" i="11" s="1"/>
  <c r="B71" i="12"/>
  <c r="B72" i="12"/>
  <c r="E72" i="12" s="1"/>
  <c r="M72" i="11" s="1"/>
  <c r="AP72" i="11" s="1"/>
  <c r="B73" i="12"/>
  <c r="E73" i="12" s="1"/>
  <c r="M73" i="11" s="1"/>
  <c r="BP73" i="11" s="1"/>
  <c r="B74" i="12"/>
  <c r="E74" i="12" s="1"/>
  <c r="M74" i="11" s="1"/>
  <c r="AV74" i="11" s="1"/>
  <c r="B75" i="12"/>
  <c r="B76" i="12"/>
  <c r="E76" i="12" s="1"/>
  <c r="M76" i="11" s="1"/>
  <c r="AM76" i="11" s="1"/>
  <c r="B77" i="12"/>
  <c r="G77" i="12" s="1"/>
  <c r="N77" i="11" s="1"/>
  <c r="AW77" i="11" s="1"/>
  <c r="B78" i="12"/>
  <c r="G78" i="12" s="1"/>
  <c r="N78" i="11" s="1"/>
  <c r="AW78" i="11" s="1"/>
  <c r="B79" i="12"/>
  <c r="G79" i="12" s="1"/>
  <c r="N79" i="11" s="1"/>
  <c r="AW79" i="11" s="1"/>
  <c r="B80" i="12"/>
  <c r="E80" i="12" s="1"/>
  <c r="M80" i="11" s="1"/>
  <c r="AS80" i="11" s="1"/>
  <c r="B81" i="12"/>
  <c r="E81" i="12" s="1"/>
  <c r="M81" i="11" s="1"/>
  <c r="AV81" i="11" s="1"/>
  <c r="B82" i="12"/>
  <c r="E82" i="12" s="1"/>
  <c r="M82" i="11" s="1"/>
  <c r="AV82" i="11" s="1"/>
  <c r="B83" i="12"/>
  <c r="E83" i="12" s="1"/>
  <c r="M83" i="11" s="1"/>
  <c r="AV83" i="11" s="1"/>
  <c r="B84" i="12"/>
  <c r="E84" i="12" s="1"/>
  <c r="M84" i="11" s="1"/>
  <c r="AV84" i="11" s="1"/>
  <c r="B85" i="12"/>
  <c r="E85" i="12" s="1"/>
  <c r="M85" i="11" s="1"/>
  <c r="AV85" i="11" s="1"/>
  <c r="B86" i="12"/>
  <c r="E86" i="12" s="1"/>
  <c r="M86" i="11" s="1"/>
  <c r="AM86" i="11" s="1"/>
  <c r="B87" i="12"/>
  <c r="E87" i="12" s="1"/>
  <c r="M87" i="11" s="1"/>
  <c r="AV87" i="11" s="1"/>
  <c r="B88" i="12"/>
  <c r="E88" i="12" s="1"/>
  <c r="M88" i="11" s="1"/>
  <c r="AV88" i="11" s="1"/>
  <c r="B89" i="12"/>
  <c r="E89" i="12" s="1"/>
  <c r="M89" i="11" s="1"/>
  <c r="AV89" i="11" s="1"/>
  <c r="B90" i="12"/>
  <c r="E90" i="12" s="1"/>
  <c r="M90" i="11" s="1"/>
  <c r="AV90" i="11" s="1"/>
  <c r="B91" i="12"/>
  <c r="G91" i="12" s="1"/>
  <c r="N91" i="11" s="1"/>
  <c r="AW91" i="11" s="1"/>
  <c r="B92" i="12"/>
  <c r="E92" i="12" s="1"/>
  <c r="M92" i="11" s="1"/>
  <c r="AV92" i="11" s="1"/>
  <c r="B93" i="12"/>
  <c r="E93" i="12" s="1"/>
  <c r="M93" i="11" s="1"/>
  <c r="AV93" i="11" s="1"/>
  <c r="B94" i="12"/>
  <c r="E94" i="12" s="1"/>
  <c r="M94" i="11" s="1"/>
  <c r="AM94" i="11" s="1"/>
  <c r="B95" i="12"/>
  <c r="G95" i="12" s="1"/>
  <c r="N95" i="11" s="1"/>
  <c r="AN95" i="11" s="1"/>
  <c r="B96" i="12"/>
  <c r="E96" i="12" s="1"/>
  <c r="M96" i="11" s="1"/>
  <c r="AV96" i="11" s="1"/>
  <c r="B97" i="12"/>
  <c r="E97" i="12" s="1"/>
  <c r="M97" i="11" s="1"/>
  <c r="AV97" i="11" s="1"/>
  <c r="B98" i="12"/>
  <c r="E98" i="12" s="1"/>
  <c r="M98" i="11" s="1"/>
  <c r="AV98" i="11" s="1"/>
  <c r="B99" i="12"/>
  <c r="B100" i="12"/>
  <c r="G100" i="12" s="1"/>
  <c r="N100" i="11" s="1"/>
  <c r="AW100" i="11" s="1"/>
  <c r="B101" i="12"/>
  <c r="E101" i="12" s="1"/>
  <c r="M101" i="11" s="1"/>
  <c r="AV101" i="11" s="1"/>
  <c r="B102" i="12"/>
  <c r="E102" i="12" s="1"/>
  <c r="M102" i="11" s="1"/>
  <c r="AV102" i="11" s="1"/>
  <c r="B103" i="12"/>
  <c r="E103" i="12" s="1"/>
  <c r="M103" i="11" s="1"/>
  <c r="AV103" i="11" s="1"/>
  <c r="B104" i="12"/>
  <c r="E104" i="12" s="1"/>
  <c r="M104" i="11" s="1"/>
  <c r="AM104" i="11" s="1"/>
  <c r="B105" i="12"/>
  <c r="E105" i="12" s="1"/>
  <c r="M105" i="11" s="1"/>
  <c r="AV105" i="11" s="1"/>
  <c r="B106" i="12"/>
  <c r="E106" i="12" s="1"/>
  <c r="M106" i="11" s="1"/>
  <c r="AV106" i="11" s="1"/>
  <c r="B107" i="12"/>
  <c r="G107" i="12" s="1"/>
  <c r="N107" i="11" s="1"/>
  <c r="AW107" i="11" s="1"/>
  <c r="B108" i="12"/>
  <c r="G108" i="12" s="1"/>
  <c r="N108" i="11" s="1"/>
  <c r="AW108" i="11" s="1"/>
  <c r="B109" i="12"/>
  <c r="G109" i="12" s="1"/>
  <c r="N109" i="11" s="1"/>
  <c r="AW109" i="11" s="1"/>
  <c r="B110" i="12"/>
  <c r="E110" i="12" s="1"/>
  <c r="M110" i="11" s="1"/>
  <c r="BP110" i="11" s="1"/>
  <c r="B111" i="12"/>
  <c r="B112" i="12"/>
  <c r="E112" i="12" s="1"/>
  <c r="M112" i="11" s="1"/>
  <c r="AM112" i="11" s="1"/>
  <c r="B113" i="12"/>
  <c r="E113" i="12" s="1"/>
  <c r="M113" i="11" s="1"/>
  <c r="AM113" i="11" s="1"/>
  <c r="B114" i="12"/>
  <c r="E114" i="12" s="1"/>
  <c r="M114" i="11" s="1"/>
  <c r="AV114" i="11" s="1"/>
  <c r="B115" i="12"/>
  <c r="B116" i="12"/>
  <c r="G116" i="12" s="1"/>
  <c r="N116" i="11" s="1"/>
  <c r="AW116" i="11" s="1"/>
  <c r="B117" i="12"/>
  <c r="G117" i="12" s="1"/>
  <c r="N117" i="11" s="1"/>
  <c r="AW117" i="11" s="1"/>
  <c r="B118" i="12"/>
  <c r="G118" i="12" s="1"/>
  <c r="N118" i="11" s="1"/>
  <c r="AW118" i="11" s="1"/>
  <c r="B119" i="12"/>
  <c r="B120" i="12"/>
  <c r="E120" i="12" s="1"/>
  <c r="M120" i="11" s="1"/>
  <c r="AV120" i="11" s="1"/>
  <c r="B121" i="12"/>
  <c r="E121" i="12" s="1"/>
  <c r="M121" i="11" s="1"/>
  <c r="AS121" i="11" s="1"/>
  <c r="B122" i="12"/>
  <c r="E122" i="12" s="1"/>
  <c r="M122" i="11" s="1"/>
  <c r="AM122" i="11" s="1"/>
  <c r="B123" i="12"/>
  <c r="E123" i="12" s="1"/>
  <c r="M123" i="11" s="1"/>
  <c r="AV123" i="11" s="1"/>
  <c r="B124" i="12"/>
  <c r="E124" i="12" s="1"/>
  <c r="M124" i="11" s="1"/>
  <c r="AV124" i="11" s="1"/>
  <c r="B125" i="12"/>
  <c r="E125" i="12" s="1"/>
  <c r="M125" i="11" s="1"/>
  <c r="AV125" i="11" s="1"/>
  <c r="B126" i="12"/>
  <c r="E126" i="12" s="1"/>
  <c r="M126" i="11" s="1"/>
  <c r="AM126" i="11" s="1"/>
  <c r="B127" i="12"/>
  <c r="E127" i="12" s="1"/>
  <c r="M127" i="11" s="1"/>
  <c r="AV127" i="11" s="1"/>
  <c r="B128" i="12"/>
  <c r="E128" i="12" s="1"/>
  <c r="M128" i="11" s="1"/>
  <c r="AV128" i="11" s="1"/>
  <c r="B129" i="12"/>
  <c r="E129" i="12" s="1"/>
  <c r="M129" i="11" s="1"/>
  <c r="AM129" i="11" s="1"/>
  <c r="B130" i="12"/>
  <c r="E130" i="12" s="1"/>
  <c r="M130" i="11" s="1"/>
  <c r="AM130" i="11" s="1"/>
  <c r="B131" i="12"/>
  <c r="E131" i="12" s="1"/>
  <c r="M131" i="11" s="1"/>
  <c r="AV131" i="11" s="1"/>
  <c r="B132" i="12"/>
  <c r="E132" i="12" s="1"/>
  <c r="M132" i="11" s="1"/>
  <c r="AV132" i="11" s="1"/>
  <c r="B133" i="12"/>
  <c r="G133" i="12" s="1"/>
  <c r="N133" i="11" s="1"/>
  <c r="B134" i="12"/>
  <c r="E134" i="12" s="1"/>
  <c r="M134" i="11" s="1"/>
  <c r="AM134" i="11" s="1"/>
  <c r="B135" i="12"/>
  <c r="B136" i="12"/>
  <c r="E136" i="12" s="1"/>
  <c r="M136" i="11" s="1"/>
  <c r="AV136" i="11" s="1"/>
  <c r="B137" i="12"/>
  <c r="E137" i="12" s="1"/>
  <c r="M137" i="11" s="1"/>
  <c r="AM137" i="11" s="1"/>
  <c r="B138" i="12"/>
  <c r="E138" i="12" s="1"/>
  <c r="M138" i="11" s="1"/>
  <c r="AM138" i="11" s="1"/>
  <c r="B139" i="12"/>
  <c r="B140" i="12"/>
  <c r="G140" i="12" s="1"/>
  <c r="N140" i="11" s="1"/>
  <c r="B141" i="12"/>
  <c r="E141" i="12" s="1"/>
  <c r="M141" i="11" s="1"/>
  <c r="BP141" i="11" s="1"/>
  <c r="B142" i="12"/>
  <c r="E142" i="12" s="1"/>
  <c r="M142" i="11" s="1"/>
  <c r="AM142" i="11" s="1"/>
  <c r="B143" i="12"/>
  <c r="G143" i="12" s="1"/>
  <c r="N143" i="11" s="1"/>
  <c r="B144" i="12"/>
  <c r="E144" i="12" s="1"/>
  <c r="M144" i="11" s="1"/>
  <c r="BP144" i="11" s="1"/>
  <c r="B145" i="12"/>
  <c r="E145" i="12" s="1"/>
  <c r="M145" i="11" s="1"/>
  <c r="AM145" i="11" s="1"/>
  <c r="B146" i="12"/>
  <c r="G146" i="12" s="1"/>
  <c r="N146" i="11" s="1"/>
  <c r="B147" i="12"/>
  <c r="B148" i="12"/>
  <c r="G148" i="12" s="1"/>
  <c r="N148" i="11" s="1"/>
  <c r="B149" i="12"/>
  <c r="G149" i="12" s="1"/>
  <c r="N149" i="11" s="1"/>
  <c r="B150" i="12"/>
  <c r="E150" i="12" s="1"/>
  <c r="M150" i="11" s="1"/>
  <c r="AM150" i="11" s="1"/>
  <c r="B151" i="12"/>
  <c r="B152" i="12"/>
  <c r="E152" i="12" s="1"/>
  <c r="M152" i="11" s="1"/>
  <c r="BP152" i="11" s="1"/>
  <c r="B153" i="12"/>
  <c r="E153" i="12" s="1"/>
  <c r="M153" i="11" s="1"/>
  <c r="AM153" i="11" s="1"/>
  <c r="B154" i="12"/>
  <c r="E154" i="12" s="1"/>
  <c r="M154" i="11" s="1"/>
  <c r="AM154" i="11" s="1"/>
  <c r="B155" i="12"/>
  <c r="E155" i="12" s="1"/>
  <c r="M155" i="11" s="1"/>
  <c r="BP155" i="11" s="1"/>
  <c r="B156" i="12"/>
  <c r="G156" i="12" s="1"/>
  <c r="N156" i="11" s="1"/>
  <c r="B157" i="12"/>
  <c r="E157" i="12" s="1"/>
  <c r="M157" i="11" s="1"/>
  <c r="AS157" i="11" s="1"/>
  <c r="B158" i="12"/>
  <c r="E158" i="12" s="1"/>
  <c r="M158" i="11" s="1"/>
  <c r="AM158" i="11" s="1"/>
  <c r="B159" i="12"/>
  <c r="E159" i="12" s="1"/>
  <c r="M159" i="11" s="1"/>
  <c r="AP159" i="11" s="1"/>
  <c r="B160" i="12"/>
  <c r="E160" i="12" s="1"/>
  <c r="M160" i="11" s="1"/>
  <c r="BP160" i="11" s="1"/>
  <c r="B161" i="12"/>
  <c r="E161" i="12" s="1"/>
  <c r="M161" i="11" s="1"/>
  <c r="AM161" i="11" s="1"/>
  <c r="B162" i="12"/>
  <c r="E162" i="12" s="1"/>
  <c r="M162" i="11" s="1"/>
  <c r="AM162" i="11" s="1"/>
  <c r="B163" i="12"/>
  <c r="B164" i="12"/>
  <c r="E164" i="12" s="1"/>
  <c r="M164" i="11" s="1"/>
  <c r="BP164" i="11" s="1"/>
  <c r="B165" i="12"/>
  <c r="G165" i="12" s="1"/>
  <c r="N165" i="11" s="1"/>
  <c r="AN165" i="11" s="1"/>
  <c r="B166" i="12"/>
  <c r="G166" i="12" s="1"/>
  <c r="N166" i="11" s="1"/>
  <c r="B167" i="12"/>
  <c r="E167" i="12" s="1"/>
  <c r="M167" i="11" s="1"/>
  <c r="BP167" i="11" s="1"/>
  <c r="B168" i="12"/>
  <c r="E168" i="12" s="1"/>
  <c r="M168" i="11" s="1"/>
  <c r="BP168" i="11" s="1"/>
  <c r="B169" i="12"/>
  <c r="E169" i="12" s="1"/>
  <c r="M169" i="11" s="1"/>
  <c r="AS169" i="11" s="1"/>
  <c r="B170" i="12"/>
  <c r="E170" i="12" s="1"/>
  <c r="M170" i="11" s="1"/>
  <c r="BP170" i="11" s="1"/>
  <c r="B171" i="12"/>
  <c r="E171" i="12" s="1"/>
  <c r="M171" i="11" s="1"/>
  <c r="BP171" i="11" s="1"/>
  <c r="B172" i="12"/>
  <c r="E172" i="12" s="1"/>
  <c r="M172" i="11" s="1"/>
  <c r="BP172" i="11" s="1"/>
  <c r="B173" i="12"/>
  <c r="E173" i="12" s="1"/>
  <c r="M173" i="11" s="1"/>
  <c r="BP173" i="11" s="1"/>
  <c r="B174" i="12"/>
  <c r="E174" i="12" s="1"/>
  <c r="M174" i="11" s="1"/>
  <c r="AM174" i="11" s="1"/>
  <c r="B175" i="12"/>
  <c r="E175" i="12" s="1"/>
  <c r="M175" i="11" s="1"/>
  <c r="BP175" i="11" s="1"/>
  <c r="B176" i="12"/>
  <c r="E176" i="12" s="1"/>
  <c r="M176" i="11" s="1"/>
  <c r="BP176" i="11" s="1"/>
  <c r="B177" i="12"/>
  <c r="E177" i="12" s="1"/>
  <c r="M177" i="11" s="1"/>
  <c r="AM177" i="11" s="1"/>
  <c r="B178" i="12"/>
  <c r="G178" i="12" s="1"/>
  <c r="N178" i="11" s="1"/>
  <c r="B179" i="12"/>
  <c r="B180" i="12"/>
  <c r="E180" i="12" s="1"/>
  <c r="M180" i="11" s="1"/>
  <c r="AP180" i="11" s="1"/>
  <c r="B181" i="12"/>
  <c r="E181" i="12" s="1"/>
  <c r="M181" i="11" s="1"/>
  <c r="BP181" i="11" s="1"/>
  <c r="B182" i="12"/>
  <c r="G182" i="12" s="1"/>
  <c r="N182" i="11" s="1"/>
  <c r="B183" i="12"/>
  <c r="E183" i="12" s="1"/>
  <c r="M183" i="11" s="1"/>
  <c r="BP183" i="11" s="1"/>
  <c r="B184" i="12"/>
  <c r="E184" i="12" s="1"/>
  <c r="M184" i="11" s="1"/>
  <c r="BP184" i="11" s="1"/>
  <c r="B185" i="12"/>
  <c r="E185" i="12" s="1"/>
  <c r="M185" i="11" s="1"/>
  <c r="AM185" i="11" s="1"/>
  <c r="B186" i="12"/>
  <c r="G186" i="12" s="1"/>
  <c r="N186" i="11" s="1"/>
  <c r="B187" i="12"/>
  <c r="G187" i="12" s="1"/>
  <c r="N187" i="11" s="1"/>
  <c r="B188" i="12"/>
  <c r="E188" i="12" s="1"/>
  <c r="M188" i="11" s="1"/>
  <c r="BP188" i="11" s="1"/>
  <c r="B189" i="12"/>
  <c r="E189" i="12" s="1"/>
  <c r="M189" i="11" s="1"/>
  <c r="AS189" i="11" s="1"/>
  <c r="B190" i="12"/>
  <c r="E190" i="12" s="1"/>
  <c r="M190" i="11" s="1"/>
  <c r="AM190" i="11" s="1"/>
  <c r="B191" i="12"/>
  <c r="E191" i="12" s="1"/>
  <c r="M191" i="11" s="1"/>
  <c r="AP191" i="11" s="1"/>
  <c r="B192" i="12"/>
  <c r="G192" i="12" s="1"/>
  <c r="N192" i="11" s="1"/>
  <c r="AN192" i="11" s="1"/>
  <c r="B193" i="12"/>
  <c r="E193" i="12" s="1"/>
  <c r="M193" i="11" s="1"/>
  <c r="AM193" i="11" s="1"/>
  <c r="B194" i="12"/>
  <c r="G194" i="12" s="1"/>
  <c r="N194" i="11" s="1"/>
  <c r="B195" i="12"/>
  <c r="B196" i="12"/>
  <c r="E196" i="12" s="1"/>
  <c r="M196" i="11" s="1"/>
  <c r="BP196" i="11" s="1"/>
  <c r="B197" i="12"/>
  <c r="E197" i="12" s="1"/>
  <c r="M197" i="11" s="1"/>
  <c r="BP197" i="11" s="1"/>
  <c r="B198" i="12"/>
  <c r="G198" i="12" s="1"/>
  <c r="N198" i="11" s="1"/>
  <c r="B199" i="12"/>
  <c r="B200" i="12"/>
  <c r="G200" i="12" s="1"/>
  <c r="N200" i="11" s="1"/>
  <c r="AN200" i="11" s="1"/>
  <c r="B201" i="12"/>
  <c r="E201" i="12" s="1"/>
  <c r="M201" i="11" s="1"/>
  <c r="AM201" i="11" s="1"/>
  <c r="B202" i="12"/>
  <c r="E202" i="12" s="1"/>
  <c r="M202" i="11" s="1"/>
  <c r="AM202" i="11" s="1"/>
  <c r="B203" i="12"/>
  <c r="E203" i="12" s="1"/>
  <c r="M203" i="11" s="1"/>
  <c r="BP203" i="11" s="1"/>
  <c r="B204" i="12"/>
  <c r="G204" i="12" s="1"/>
  <c r="N204" i="11" s="1"/>
  <c r="AQ204" i="11" s="1"/>
  <c r="B205" i="12"/>
  <c r="E205" i="12" s="1"/>
  <c r="M205" i="11" s="1"/>
  <c r="BP205" i="11" s="1"/>
  <c r="B206" i="12"/>
  <c r="G206" i="12" s="1"/>
  <c r="N206" i="11" s="1"/>
  <c r="B207" i="12"/>
  <c r="E207" i="12" s="1"/>
  <c r="M207" i="11" s="1"/>
  <c r="BP207" i="11" s="1"/>
  <c r="B208" i="12"/>
  <c r="E208" i="12" s="1"/>
  <c r="M208" i="11" s="1"/>
  <c r="BP208" i="11" s="1"/>
  <c r="B209" i="12"/>
  <c r="E209" i="12" s="1"/>
  <c r="M209" i="11" s="1"/>
  <c r="AM209" i="11" s="1"/>
  <c r="B210" i="12"/>
  <c r="G210" i="12" s="1"/>
  <c r="N210" i="11" s="1"/>
  <c r="B211" i="12"/>
  <c r="E211" i="12" s="1"/>
  <c r="M211" i="11" s="1"/>
  <c r="BP211" i="11" s="1"/>
  <c r="B212" i="12"/>
  <c r="G212" i="12" s="1"/>
  <c r="N212" i="11" s="1"/>
  <c r="B213" i="12"/>
  <c r="G213" i="12" s="1"/>
  <c r="N213" i="11" s="1"/>
  <c r="B214" i="12"/>
  <c r="G214" i="12" s="1"/>
  <c r="N214" i="11" s="1"/>
  <c r="B215" i="12"/>
  <c r="E215" i="12" s="1"/>
  <c r="M215" i="11" s="1"/>
  <c r="BP215" i="11" s="1"/>
  <c r="B216" i="12"/>
  <c r="G216" i="12" s="1"/>
  <c r="N216" i="11" s="1"/>
  <c r="AN216" i="11" s="1"/>
  <c r="B217" i="12"/>
  <c r="E217" i="12" s="1"/>
  <c r="M217" i="11" s="1"/>
  <c r="AM217" i="11" s="1"/>
  <c r="B2" i="12"/>
  <c r="E2" i="12" s="1"/>
  <c r="M2" i="11" s="1"/>
  <c r="AP2" i="11" s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" i="19"/>
  <c r="G171" i="12"/>
  <c r="N171" i="11" s="1"/>
  <c r="G172" i="12"/>
  <c r="N172" i="11" s="1"/>
  <c r="AT172" i="11" s="1"/>
  <c r="G173" i="12"/>
  <c r="N173" i="11" s="1"/>
  <c r="G174" i="12"/>
  <c r="N174" i="11" s="1"/>
  <c r="G175" i="12"/>
  <c r="N175" i="11" s="1"/>
  <c r="G176" i="12"/>
  <c r="N176" i="11" s="1"/>
  <c r="AN176" i="11" s="1"/>
  <c r="G177" i="12"/>
  <c r="N177" i="11" s="1"/>
  <c r="AN177" i="11" s="1"/>
  <c r="G188" i="12"/>
  <c r="N188" i="11" s="1"/>
  <c r="J171" i="11"/>
  <c r="K171" i="11"/>
  <c r="J172" i="11"/>
  <c r="K172" i="11"/>
  <c r="J173" i="11"/>
  <c r="K173" i="11"/>
  <c r="J174" i="11"/>
  <c r="K174" i="11"/>
  <c r="J175" i="11"/>
  <c r="K175" i="11"/>
  <c r="J176" i="11"/>
  <c r="K176" i="11"/>
  <c r="J177" i="11"/>
  <c r="K177" i="11"/>
  <c r="J178" i="11"/>
  <c r="K178" i="11"/>
  <c r="J179" i="11"/>
  <c r="K179" i="11"/>
  <c r="J180" i="11"/>
  <c r="K180" i="11"/>
  <c r="J181" i="11"/>
  <c r="K181" i="11"/>
  <c r="J182" i="11"/>
  <c r="K182" i="11"/>
  <c r="J183" i="11"/>
  <c r="K183" i="11"/>
  <c r="J184" i="11"/>
  <c r="K184" i="11"/>
  <c r="J185" i="11"/>
  <c r="K185" i="11"/>
  <c r="J186" i="11"/>
  <c r="K186" i="11"/>
  <c r="J187" i="11"/>
  <c r="K187" i="11"/>
  <c r="J188" i="11"/>
  <c r="K188" i="11"/>
  <c r="J189" i="11"/>
  <c r="K189" i="11"/>
  <c r="J190" i="11"/>
  <c r="K190" i="11"/>
  <c r="J191" i="11"/>
  <c r="K191" i="11"/>
  <c r="J192" i="11"/>
  <c r="K192" i="11"/>
  <c r="J193" i="11"/>
  <c r="K193" i="11"/>
  <c r="J194" i="11"/>
  <c r="K194" i="11"/>
  <c r="J195" i="11"/>
  <c r="K195" i="11"/>
  <c r="J196" i="11"/>
  <c r="K196" i="11"/>
  <c r="J197" i="11"/>
  <c r="K197" i="11"/>
  <c r="J198" i="11"/>
  <c r="K198" i="11"/>
  <c r="J199" i="11"/>
  <c r="K199" i="11"/>
  <c r="J200" i="11"/>
  <c r="K200" i="11"/>
  <c r="J201" i="11"/>
  <c r="K201" i="11"/>
  <c r="J202" i="11"/>
  <c r="K202" i="11"/>
  <c r="J203" i="11"/>
  <c r="K203" i="11"/>
  <c r="J204" i="11"/>
  <c r="K204" i="11"/>
  <c r="J205" i="11"/>
  <c r="K205" i="11"/>
  <c r="J206" i="11"/>
  <c r="K206" i="11"/>
  <c r="J207" i="11"/>
  <c r="K207" i="11"/>
  <c r="J208" i="11"/>
  <c r="K208" i="11"/>
  <c r="J209" i="11"/>
  <c r="K209" i="11"/>
  <c r="J210" i="11"/>
  <c r="K210" i="11"/>
  <c r="J211" i="11"/>
  <c r="K211" i="11"/>
  <c r="J212" i="11"/>
  <c r="K212" i="11"/>
  <c r="J213" i="11"/>
  <c r="K213" i="11"/>
  <c r="J214" i="11"/>
  <c r="K214" i="11"/>
  <c r="J215" i="11"/>
  <c r="K215" i="11"/>
  <c r="J216" i="11"/>
  <c r="K216" i="11"/>
  <c r="J217" i="11"/>
  <c r="K217" i="11"/>
  <c r="K170" i="11"/>
  <c r="J170" i="11"/>
  <c r="E37" i="12"/>
  <c r="M37" i="11" s="1"/>
  <c r="BP37" i="11" s="1"/>
  <c r="E38" i="12"/>
  <c r="M38" i="11" s="1"/>
  <c r="BP38" i="11" s="1"/>
  <c r="E78" i="12"/>
  <c r="M78" i="11" s="1"/>
  <c r="AV78" i="11" s="1"/>
  <c r="E108" i="12"/>
  <c r="M108" i="11" s="1"/>
  <c r="AV108" i="11" s="1"/>
  <c r="E116" i="12"/>
  <c r="M116" i="11" s="1"/>
  <c r="AV116" i="11" s="1"/>
  <c r="E133" i="12"/>
  <c r="M133" i="11" s="1"/>
  <c r="AS133" i="11" s="1"/>
  <c r="G53" i="12"/>
  <c r="N53" i="11" s="1"/>
  <c r="AQ53" i="11" s="1"/>
  <c r="G76" i="12"/>
  <c r="N76" i="11" s="1"/>
  <c r="AN76" i="11" s="1"/>
  <c r="K169" i="11"/>
  <c r="J169" i="11"/>
  <c r="K168" i="11"/>
  <c r="J168" i="11"/>
  <c r="K167" i="11"/>
  <c r="J167" i="11"/>
  <c r="K166" i="11"/>
  <c r="J166" i="11"/>
  <c r="K165" i="11"/>
  <c r="J165" i="11"/>
  <c r="K164" i="11"/>
  <c r="J164" i="11"/>
  <c r="K163" i="11"/>
  <c r="J163" i="11"/>
  <c r="K162" i="11"/>
  <c r="J162" i="11"/>
  <c r="K161" i="11"/>
  <c r="J161" i="11"/>
  <c r="K160" i="11"/>
  <c r="J160" i="11"/>
  <c r="K159" i="11"/>
  <c r="J159" i="11"/>
  <c r="K158" i="11"/>
  <c r="J158" i="11"/>
  <c r="K157" i="11"/>
  <c r="J157" i="11"/>
  <c r="K156" i="11"/>
  <c r="J156" i="11"/>
  <c r="K155" i="11"/>
  <c r="J155" i="11"/>
  <c r="K154" i="11"/>
  <c r="J154" i="11"/>
  <c r="K153" i="11"/>
  <c r="J153" i="11"/>
  <c r="K152" i="11"/>
  <c r="J152" i="11"/>
  <c r="K151" i="11"/>
  <c r="J151" i="11"/>
  <c r="K150" i="11"/>
  <c r="J150" i="11"/>
  <c r="K149" i="11"/>
  <c r="J149" i="11"/>
  <c r="K148" i="11"/>
  <c r="J148" i="11"/>
  <c r="K147" i="11"/>
  <c r="J147" i="11"/>
  <c r="K146" i="11"/>
  <c r="J146" i="11"/>
  <c r="K145" i="11"/>
  <c r="J145" i="11"/>
  <c r="K144" i="11"/>
  <c r="J144" i="11"/>
  <c r="K143" i="11"/>
  <c r="J143" i="11"/>
  <c r="K142" i="11"/>
  <c r="J142" i="11"/>
  <c r="K141" i="11"/>
  <c r="J141" i="11"/>
  <c r="K140" i="11"/>
  <c r="J140" i="11"/>
  <c r="K139" i="11"/>
  <c r="J139" i="11"/>
  <c r="K138" i="11"/>
  <c r="J138" i="11"/>
  <c r="K137" i="11"/>
  <c r="J137" i="11"/>
  <c r="K136" i="11"/>
  <c r="J136" i="11"/>
  <c r="K135" i="11"/>
  <c r="J135" i="11"/>
  <c r="K134" i="11"/>
  <c r="J134" i="11"/>
  <c r="K133" i="11"/>
  <c r="J133" i="11"/>
  <c r="K132" i="11"/>
  <c r="J132" i="11"/>
  <c r="K131" i="11"/>
  <c r="J131" i="11"/>
  <c r="K130" i="11"/>
  <c r="J130" i="11"/>
  <c r="K129" i="11"/>
  <c r="J129" i="11"/>
  <c r="K128" i="11"/>
  <c r="J128" i="11"/>
  <c r="K127" i="11"/>
  <c r="J127" i="11"/>
  <c r="K126" i="11"/>
  <c r="J126" i="11"/>
  <c r="K125" i="11"/>
  <c r="J125" i="11"/>
  <c r="K124" i="11"/>
  <c r="J124" i="11"/>
  <c r="K123" i="11"/>
  <c r="J123" i="11"/>
  <c r="K122" i="11"/>
  <c r="J122" i="11"/>
  <c r="K121" i="11"/>
  <c r="J121" i="11"/>
  <c r="K120" i="11"/>
  <c r="J120" i="11"/>
  <c r="K119" i="11"/>
  <c r="J119" i="11"/>
  <c r="K118" i="11"/>
  <c r="J118" i="11"/>
  <c r="K117" i="11"/>
  <c r="J117" i="11"/>
  <c r="K116" i="11"/>
  <c r="J116" i="11"/>
  <c r="K115" i="11"/>
  <c r="J115" i="11"/>
  <c r="K114" i="11"/>
  <c r="J114" i="11"/>
  <c r="K113" i="11"/>
  <c r="J113" i="11"/>
  <c r="K112" i="11"/>
  <c r="J112" i="11"/>
  <c r="K111" i="11"/>
  <c r="J111" i="11"/>
  <c r="K110" i="11"/>
  <c r="J110" i="11"/>
  <c r="K109" i="11"/>
  <c r="J109" i="11"/>
  <c r="K108" i="11"/>
  <c r="J108" i="11"/>
  <c r="K107" i="11"/>
  <c r="J107" i="11"/>
  <c r="K106" i="11"/>
  <c r="J106" i="11"/>
  <c r="K105" i="11"/>
  <c r="J105" i="11"/>
  <c r="K104" i="11"/>
  <c r="J104" i="11"/>
  <c r="K103" i="11"/>
  <c r="J103" i="11"/>
  <c r="K102" i="11"/>
  <c r="J102" i="11"/>
  <c r="K101" i="11"/>
  <c r="J101" i="11"/>
  <c r="K100" i="11"/>
  <c r="J100" i="11"/>
  <c r="K99" i="11"/>
  <c r="J99" i="11"/>
  <c r="K98" i="11"/>
  <c r="J98" i="11"/>
  <c r="K97" i="11"/>
  <c r="J97" i="11"/>
  <c r="K96" i="11"/>
  <c r="J96" i="11"/>
  <c r="K95" i="11"/>
  <c r="J95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5" i="11"/>
  <c r="J85" i="11"/>
  <c r="K84" i="11"/>
  <c r="J84" i="11"/>
  <c r="K83" i="11"/>
  <c r="J83" i="11"/>
  <c r="K82" i="11"/>
  <c r="J82" i="11"/>
  <c r="K81" i="11"/>
  <c r="J81" i="11"/>
  <c r="K80" i="11"/>
  <c r="J80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K2" i="11"/>
  <c r="J2" i="11"/>
  <c r="E63" i="12" l="1"/>
  <c r="M63" i="11" s="1"/>
  <c r="BP63" i="11" s="1"/>
  <c r="G29" i="12"/>
  <c r="N29" i="11" s="1"/>
  <c r="E12" i="12"/>
  <c r="M12" i="11" s="1"/>
  <c r="AP12" i="11" s="1"/>
  <c r="G124" i="12"/>
  <c r="N124" i="11" s="1"/>
  <c r="AW124" i="11" s="1"/>
  <c r="E22" i="12"/>
  <c r="M22" i="11" s="1"/>
  <c r="BP22" i="11" s="1"/>
  <c r="F205" i="38"/>
  <c r="E156" i="12"/>
  <c r="M156" i="11" s="1"/>
  <c r="BP156" i="11" s="1"/>
  <c r="E140" i="12"/>
  <c r="M140" i="11" s="1"/>
  <c r="BP140" i="11" s="1"/>
  <c r="E36" i="12"/>
  <c r="M36" i="11" s="1"/>
  <c r="BP36" i="11" s="1"/>
  <c r="W7" i="27"/>
  <c r="BP217" i="11"/>
  <c r="BP209" i="11"/>
  <c r="BP201" i="11"/>
  <c r="BP193" i="11"/>
  <c r="BP185" i="11"/>
  <c r="BP177" i="11"/>
  <c r="BP169" i="11"/>
  <c r="BP161" i="11"/>
  <c r="BP153" i="11"/>
  <c r="BP145" i="11"/>
  <c r="BP137" i="11"/>
  <c r="BP129" i="11"/>
  <c r="BP121" i="11"/>
  <c r="BP113" i="11"/>
  <c r="BP105" i="11"/>
  <c r="BP97" i="11"/>
  <c r="BP89" i="11"/>
  <c r="BP81" i="11"/>
  <c r="BP57" i="11"/>
  <c r="BP49" i="11"/>
  <c r="BP33" i="11"/>
  <c r="BP17" i="11"/>
  <c r="BP136" i="11"/>
  <c r="BP128" i="11"/>
  <c r="BP120" i="11"/>
  <c r="BP112" i="11"/>
  <c r="BP104" i="11"/>
  <c r="BP96" i="11"/>
  <c r="BP88" i="11"/>
  <c r="BP80" i="11"/>
  <c r="BP72" i="11"/>
  <c r="BP48" i="11"/>
  <c r="BP40" i="11"/>
  <c r="BP24" i="11"/>
  <c r="BP8" i="11"/>
  <c r="E109" i="12"/>
  <c r="M109" i="11" s="1"/>
  <c r="BP191" i="11"/>
  <c r="BP159" i="11"/>
  <c r="BP127" i="11"/>
  <c r="BP103" i="11"/>
  <c r="BP87" i="11"/>
  <c r="BP55" i="11"/>
  <c r="G85" i="12"/>
  <c r="N85" i="11" s="1"/>
  <c r="AN85" i="11" s="1"/>
  <c r="E6" i="12"/>
  <c r="M6" i="11" s="1"/>
  <c r="BP6" i="11" s="1"/>
  <c r="AG73" i="27"/>
  <c r="BP190" i="11"/>
  <c r="BP174" i="11"/>
  <c r="BP158" i="11"/>
  <c r="BP150" i="11"/>
  <c r="BP142" i="11"/>
  <c r="BP134" i="11"/>
  <c r="BP126" i="11"/>
  <c r="BP102" i="11"/>
  <c r="BP94" i="11"/>
  <c r="BP86" i="11"/>
  <c r="BP78" i="11"/>
  <c r="BP54" i="11"/>
  <c r="BP30" i="11"/>
  <c r="BP189" i="11"/>
  <c r="BP157" i="11"/>
  <c r="BP133" i="11"/>
  <c r="BP125" i="11"/>
  <c r="BP101" i="11"/>
  <c r="BP93" i="11"/>
  <c r="BP85" i="11"/>
  <c r="BP53" i="11"/>
  <c r="BP29" i="11"/>
  <c r="BP180" i="11"/>
  <c r="BP132" i="11"/>
  <c r="BP124" i="11"/>
  <c r="BP116" i="11"/>
  <c r="BP108" i="11"/>
  <c r="BP92" i="11"/>
  <c r="BP84" i="11"/>
  <c r="BP76" i="11"/>
  <c r="BP44" i="11"/>
  <c r="BP12" i="11"/>
  <c r="BP131" i="11"/>
  <c r="BP123" i="11"/>
  <c r="BP83" i="11"/>
  <c r="BP2" i="11"/>
  <c r="BP202" i="11"/>
  <c r="BP162" i="11"/>
  <c r="BP154" i="11"/>
  <c r="BP138" i="11"/>
  <c r="BP130" i="11"/>
  <c r="BP122" i="11"/>
  <c r="BP114" i="11"/>
  <c r="BP106" i="11"/>
  <c r="BP98" i="11"/>
  <c r="BP90" i="11"/>
  <c r="BP82" i="11"/>
  <c r="BP74" i="11"/>
  <c r="BP66" i="11"/>
  <c r="BP58" i="11"/>
  <c r="BP34" i="11"/>
  <c r="BP18" i="11"/>
  <c r="AE79" i="27"/>
  <c r="P80" i="27"/>
  <c r="AA80" i="27"/>
  <c r="T79" i="27"/>
  <c r="AA81" i="27"/>
  <c r="T404" i="38"/>
  <c r="U79" i="27"/>
  <c r="AI74" i="27"/>
  <c r="AF79" i="27"/>
  <c r="P81" i="27"/>
  <c r="T236" i="38"/>
  <c r="T152" i="38"/>
  <c r="T68" i="38"/>
  <c r="AG84" i="27"/>
  <c r="AI17" i="27"/>
  <c r="AH35" i="27"/>
  <c r="AI25" i="27"/>
  <c r="AI9" i="27"/>
  <c r="AK42" i="27"/>
  <c r="AK34" i="27"/>
  <c r="E204" i="12"/>
  <c r="M204" i="11" s="1"/>
  <c r="BP204" i="11" s="1"/>
  <c r="G20" i="12"/>
  <c r="N20" i="11" s="1"/>
  <c r="E100" i="12"/>
  <c r="M100" i="11" s="1"/>
  <c r="AV100" i="11" s="1"/>
  <c r="E28" i="12"/>
  <c r="M28" i="11" s="1"/>
  <c r="G60" i="12"/>
  <c r="N60" i="11" s="1"/>
  <c r="E118" i="12"/>
  <c r="M118" i="11" s="1"/>
  <c r="E62" i="12"/>
  <c r="M62" i="11" s="1"/>
  <c r="E212" i="12"/>
  <c r="M212" i="11" s="1"/>
  <c r="BP212" i="11" s="1"/>
  <c r="G30" i="12"/>
  <c r="N30" i="11" s="1"/>
  <c r="AQ30" i="11" s="1"/>
  <c r="G127" i="12"/>
  <c r="N127" i="11" s="1"/>
  <c r="AW127" i="11" s="1"/>
  <c r="G190" i="12"/>
  <c r="N190" i="11" s="1"/>
  <c r="G102" i="12"/>
  <c r="N102" i="11" s="1"/>
  <c r="AN102" i="11" s="1"/>
  <c r="G5" i="12"/>
  <c r="N5" i="11" s="1"/>
  <c r="G189" i="12"/>
  <c r="N189" i="11" s="1"/>
  <c r="AT189" i="11" s="1"/>
  <c r="AI83" i="27"/>
  <c r="N420" i="38"/>
  <c r="N412" i="38"/>
  <c r="N404" i="38"/>
  <c r="N380" i="38"/>
  <c r="N372" i="38"/>
  <c r="N419" i="38"/>
  <c r="N411" i="38"/>
  <c r="N387" i="38"/>
  <c r="N379" i="38"/>
  <c r="N371" i="38"/>
  <c r="N418" i="38"/>
  <c r="N410" i="38"/>
  <c r="N386" i="38"/>
  <c r="N378" i="38"/>
  <c r="N370" i="38"/>
  <c r="N417" i="38"/>
  <c r="N409" i="38"/>
  <c r="N385" i="38"/>
  <c r="N377" i="38"/>
  <c r="N369" i="38"/>
  <c r="N408" i="38"/>
  <c r="N384" i="38"/>
  <c r="N376" i="38"/>
  <c r="N368" i="38"/>
  <c r="N407" i="38"/>
  <c r="N383" i="38"/>
  <c r="N375" i="38"/>
  <c r="N367" i="38"/>
  <c r="AG67" i="27"/>
  <c r="AG78" i="27"/>
  <c r="X19" i="27"/>
  <c r="X15" i="27"/>
  <c r="W3" i="27"/>
  <c r="Y8" i="27"/>
  <c r="V4" i="27"/>
  <c r="F4" i="38" s="1"/>
  <c r="I4" i="38" s="1"/>
  <c r="Z2" i="27"/>
  <c r="G164" i="12"/>
  <c r="N164" i="11" s="1"/>
  <c r="G4" i="12"/>
  <c r="N4" i="11" s="1"/>
  <c r="G141" i="12"/>
  <c r="N141" i="11" s="1"/>
  <c r="AT141" i="11" s="1"/>
  <c r="G92" i="12"/>
  <c r="N92" i="11" s="1"/>
  <c r="AW92" i="11" s="1"/>
  <c r="E117" i="12"/>
  <c r="M117" i="11" s="1"/>
  <c r="E39" i="12"/>
  <c r="M39" i="11" s="1"/>
  <c r="BP39" i="11" s="1"/>
  <c r="E13" i="12"/>
  <c r="M13" i="11" s="1"/>
  <c r="G205" i="12"/>
  <c r="N205" i="11" s="1"/>
  <c r="V24" i="27"/>
  <c r="F24" i="38" s="1"/>
  <c r="I24" i="38" s="1"/>
  <c r="W18" i="27"/>
  <c r="F102" i="38" s="1"/>
  <c r="I102" i="38" s="1"/>
  <c r="X16" i="27"/>
  <c r="AV121" i="11"/>
  <c r="V26" i="27"/>
  <c r="F26" i="38" s="1"/>
  <c r="I26" i="38" s="1"/>
  <c r="V18" i="27"/>
  <c r="F18" i="38" s="1"/>
  <c r="I18" i="38" s="1"/>
  <c r="V14" i="27"/>
  <c r="F14" i="38" s="1"/>
  <c r="I14" i="38" s="1"/>
  <c r="G132" i="12"/>
  <c r="N132" i="11" s="1"/>
  <c r="AW132" i="11" s="1"/>
  <c r="G84" i="12"/>
  <c r="N84" i="11" s="1"/>
  <c r="AW84" i="11" s="1"/>
  <c r="E148" i="12"/>
  <c r="M148" i="11" s="1"/>
  <c r="E68" i="12"/>
  <c r="M68" i="11" s="1"/>
  <c r="G181" i="12"/>
  <c r="N181" i="11" s="1"/>
  <c r="AQ181" i="11" s="1"/>
  <c r="AV137" i="11"/>
  <c r="Z10" i="27"/>
  <c r="G52" i="12"/>
  <c r="N52" i="11" s="1"/>
  <c r="AQ52" i="11" s="1"/>
  <c r="G3" i="12"/>
  <c r="N3" i="11" s="1"/>
  <c r="AQ3" i="11" s="1"/>
  <c r="E21" i="12"/>
  <c r="M21" i="11" s="1"/>
  <c r="G180" i="12"/>
  <c r="N180" i="11" s="1"/>
  <c r="AV104" i="11"/>
  <c r="AJ77" i="27"/>
  <c r="E95" i="12"/>
  <c r="M95" i="11" s="1"/>
  <c r="AS95" i="11" s="1"/>
  <c r="G44" i="12"/>
  <c r="N44" i="11" s="1"/>
  <c r="AQ44" i="11" s="1"/>
  <c r="E165" i="12"/>
  <c r="M165" i="11" s="1"/>
  <c r="BP165" i="11" s="1"/>
  <c r="E79" i="12"/>
  <c r="M79" i="11" s="1"/>
  <c r="AV80" i="11"/>
  <c r="V17" i="27"/>
  <c r="F17" i="38" s="1"/>
  <c r="I17" i="38" s="1"/>
  <c r="V13" i="27"/>
  <c r="F13" i="38" s="1"/>
  <c r="I13" i="38" s="1"/>
  <c r="V9" i="27"/>
  <c r="F9" i="38" s="1"/>
  <c r="I9" i="38" s="1"/>
  <c r="Z5" i="27"/>
  <c r="AT133" i="11"/>
  <c r="AW133" i="11"/>
  <c r="G27" i="12"/>
  <c r="N27" i="11" s="1"/>
  <c r="G51" i="12"/>
  <c r="N51" i="11" s="1"/>
  <c r="G101" i="12"/>
  <c r="N101" i="11" s="1"/>
  <c r="AW101" i="11" s="1"/>
  <c r="G69" i="12"/>
  <c r="N69" i="11" s="1"/>
  <c r="G19" i="12"/>
  <c r="N19" i="11" s="1"/>
  <c r="AQ19" i="11" s="1"/>
  <c r="G196" i="12"/>
  <c r="N196" i="11" s="1"/>
  <c r="AN196" i="11" s="1"/>
  <c r="G157" i="12"/>
  <c r="N157" i="11" s="1"/>
  <c r="AT157" i="11" s="1"/>
  <c r="G131" i="12"/>
  <c r="N131" i="11" s="1"/>
  <c r="AW131" i="11" s="1"/>
  <c r="E149" i="12"/>
  <c r="M149" i="11" s="1"/>
  <c r="BP149" i="11" s="1"/>
  <c r="E45" i="12"/>
  <c r="M45" i="11" s="1"/>
  <c r="AW95" i="11"/>
  <c r="Y2" i="27"/>
  <c r="V20" i="27"/>
  <c r="F20" i="38" s="1"/>
  <c r="I20" i="38" s="1"/>
  <c r="W14" i="27"/>
  <c r="F98" i="38" s="1"/>
  <c r="I98" i="38" s="1"/>
  <c r="V7" i="27"/>
  <c r="F7" i="38" s="1"/>
  <c r="I7" i="38" s="1"/>
  <c r="AJ26" i="27"/>
  <c r="AK26" i="27"/>
  <c r="AH26" i="27"/>
  <c r="AI26" i="27"/>
  <c r="AG26" i="27"/>
  <c r="AJ18" i="27"/>
  <c r="AK18" i="27"/>
  <c r="AG18" i="27"/>
  <c r="AH18" i="27"/>
  <c r="L102" i="38" s="1"/>
  <c r="AI18" i="27"/>
  <c r="AJ10" i="27"/>
  <c r="AK10" i="27"/>
  <c r="AH10" i="27"/>
  <c r="AI10" i="27"/>
  <c r="AG10" i="27"/>
  <c r="AK28" i="27"/>
  <c r="AH28" i="27"/>
  <c r="AI28" i="27"/>
  <c r="AG28" i="27"/>
  <c r="AJ28" i="27"/>
  <c r="G67" i="12"/>
  <c r="N67" i="11" s="1"/>
  <c r="AQ67" i="11" s="1"/>
  <c r="E91" i="12"/>
  <c r="M91" i="11" s="1"/>
  <c r="AP91" i="11" s="1"/>
  <c r="AV76" i="11"/>
  <c r="W2" i="27"/>
  <c r="Y23" i="27"/>
  <c r="Y22" i="27"/>
  <c r="Y13" i="27"/>
  <c r="Y9" i="27"/>
  <c r="G125" i="12"/>
  <c r="N125" i="11" s="1"/>
  <c r="AQ125" i="11" s="1"/>
  <c r="E213" i="12"/>
  <c r="M213" i="11" s="1"/>
  <c r="BP213" i="11" s="1"/>
  <c r="AW76" i="11"/>
  <c r="X18" i="27"/>
  <c r="X13" i="27"/>
  <c r="X9" i="27"/>
  <c r="AG24" i="27"/>
  <c r="AH24" i="27"/>
  <c r="AI24" i="27"/>
  <c r="AJ24" i="27"/>
  <c r="AK24" i="27"/>
  <c r="AG16" i="27"/>
  <c r="AH16" i="27"/>
  <c r="L100" i="38" s="1"/>
  <c r="AJ16" i="27"/>
  <c r="AK16" i="27"/>
  <c r="AI16" i="27"/>
  <c r="AG8" i="27"/>
  <c r="AH8" i="27"/>
  <c r="AI8" i="27"/>
  <c r="AJ8" i="27"/>
  <c r="AK8" i="27"/>
  <c r="AK50" i="27"/>
  <c r="AG50" i="27"/>
  <c r="AH50" i="27"/>
  <c r="AI50" i="27"/>
  <c r="AJ50" i="27"/>
  <c r="AJ55" i="27"/>
  <c r="AK55" i="27"/>
  <c r="AG55" i="27"/>
  <c r="AJ63" i="27"/>
  <c r="AK63" i="27"/>
  <c r="AG63" i="27"/>
  <c r="AK72" i="27"/>
  <c r="AG72" i="27"/>
  <c r="AH72" i="27"/>
  <c r="AI72" i="27"/>
  <c r="AJ72" i="27"/>
  <c r="AG82" i="27"/>
  <c r="AH82" i="27"/>
  <c r="L165" i="38" s="1"/>
  <c r="AI82" i="27"/>
  <c r="AJ82" i="27"/>
  <c r="AK82" i="27"/>
  <c r="AW85" i="11"/>
  <c r="AI22" i="27"/>
  <c r="AJ22" i="27"/>
  <c r="AG22" i="27"/>
  <c r="AH22" i="27"/>
  <c r="L106" i="38" s="1"/>
  <c r="AK22" i="27"/>
  <c r="AI14" i="27"/>
  <c r="AJ14" i="27"/>
  <c r="AG14" i="27"/>
  <c r="AH14" i="27"/>
  <c r="L98" i="38" s="1"/>
  <c r="AK14" i="27"/>
  <c r="AI6" i="27"/>
  <c r="AJ6" i="27"/>
  <c r="AG6" i="27"/>
  <c r="AH6" i="27"/>
  <c r="L90" i="38" s="1"/>
  <c r="AK6" i="27"/>
  <c r="AG48" i="27"/>
  <c r="AH48" i="27"/>
  <c r="L132" i="38" s="1"/>
  <c r="AI48" i="27"/>
  <c r="AJ48" i="27"/>
  <c r="AK48" i="27"/>
  <c r="AJ40" i="27"/>
  <c r="AK40" i="27"/>
  <c r="AG40" i="27"/>
  <c r="AH40" i="27"/>
  <c r="AI40" i="27"/>
  <c r="AG32" i="27"/>
  <c r="AH32" i="27"/>
  <c r="AI32" i="27"/>
  <c r="L200" i="38" s="1"/>
  <c r="AJ32" i="27"/>
  <c r="AK32" i="27"/>
  <c r="AG54" i="27"/>
  <c r="AG62" i="27"/>
  <c r="AH71" i="27"/>
  <c r="AI71" i="27"/>
  <c r="AJ71" i="27"/>
  <c r="AK71" i="27"/>
  <c r="AG71" i="27"/>
  <c r="AJ86" i="27"/>
  <c r="AK86" i="27"/>
  <c r="AG86" i="27"/>
  <c r="AH86" i="27"/>
  <c r="L169" i="38" s="1"/>
  <c r="AI86" i="27"/>
  <c r="AV86" i="11"/>
  <c r="AV94" i="11"/>
  <c r="AV122" i="11"/>
  <c r="AV130" i="11"/>
  <c r="AV126" i="11"/>
  <c r="Y27" i="27"/>
  <c r="Y20" i="27"/>
  <c r="X3" i="27"/>
  <c r="AG21" i="27"/>
  <c r="AK21" i="27"/>
  <c r="AH21" i="27"/>
  <c r="L105" i="38" s="1"/>
  <c r="AI21" i="27"/>
  <c r="AJ21" i="27"/>
  <c r="AG13" i="27"/>
  <c r="AK13" i="27"/>
  <c r="AI13" i="27"/>
  <c r="AJ13" i="27"/>
  <c r="AH13" i="27"/>
  <c r="L97" i="38" s="1"/>
  <c r="AG5" i="27"/>
  <c r="L5" i="38" s="1"/>
  <c r="AK5" i="27"/>
  <c r="AH5" i="27"/>
  <c r="L89" i="38" s="1"/>
  <c r="AI5" i="27"/>
  <c r="AJ5" i="27"/>
  <c r="L257" i="38" s="1"/>
  <c r="AJ47" i="27"/>
  <c r="AG47" i="27"/>
  <c r="AH47" i="27"/>
  <c r="AI47" i="27"/>
  <c r="AK47" i="27"/>
  <c r="AJ39" i="27"/>
  <c r="AG39" i="27"/>
  <c r="AH39" i="27"/>
  <c r="L123" i="38" s="1"/>
  <c r="AI39" i="27"/>
  <c r="AK39" i="27"/>
  <c r="AJ31" i="27"/>
  <c r="AG31" i="27"/>
  <c r="AH31" i="27"/>
  <c r="AI31" i="27"/>
  <c r="AK31" i="27"/>
  <c r="AG61" i="27"/>
  <c r="AG70" i="27"/>
  <c r="AH70" i="27"/>
  <c r="L154" i="38" s="1"/>
  <c r="AI70" i="27"/>
  <c r="AJ70" i="27"/>
  <c r="AK70" i="27"/>
  <c r="AG85" i="27"/>
  <c r="AH85" i="27"/>
  <c r="AI85" i="27"/>
  <c r="L252" i="38" s="1"/>
  <c r="AJ85" i="27"/>
  <c r="AK85" i="27"/>
  <c r="G83" i="12"/>
  <c r="N83" i="11" s="1"/>
  <c r="AW83" i="11" s="1"/>
  <c r="E77" i="12"/>
  <c r="M77" i="11" s="1"/>
  <c r="BP77" i="11" s="1"/>
  <c r="G197" i="12"/>
  <c r="N197" i="11" s="1"/>
  <c r="AN197" i="11" s="1"/>
  <c r="AW102" i="11"/>
  <c r="AV134" i="11"/>
  <c r="Y26" i="27"/>
  <c r="Z25" i="27"/>
  <c r="X24" i="27"/>
  <c r="X20" i="27"/>
  <c r="Y19" i="27"/>
  <c r="W6" i="27"/>
  <c r="AI2" i="27"/>
  <c r="AJ2" i="27"/>
  <c r="AK2" i="27"/>
  <c r="AH2" i="27"/>
  <c r="L86" i="38" s="1"/>
  <c r="AG2" i="27"/>
  <c r="L2" i="38" s="1"/>
  <c r="AK20" i="27"/>
  <c r="AH20" i="27"/>
  <c r="AI20" i="27"/>
  <c r="AG20" i="27"/>
  <c r="AJ20" i="27"/>
  <c r="AK12" i="27"/>
  <c r="AH12" i="27"/>
  <c r="L96" i="38" s="1"/>
  <c r="AI12" i="27"/>
  <c r="AG12" i="27"/>
  <c r="AJ12" i="27"/>
  <c r="AK4" i="27"/>
  <c r="AH4" i="27"/>
  <c r="L88" i="38" s="1"/>
  <c r="AI4" i="27"/>
  <c r="AG4" i="27"/>
  <c r="AJ4" i="27"/>
  <c r="AG46" i="27"/>
  <c r="AH46" i="27"/>
  <c r="AI46" i="27"/>
  <c r="AJ46" i="27"/>
  <c r="AK46" i="27"/>
  <c r="AI38" i="27"/>
  <c r="AG38" i="27"/>
  <c r="AK38" i="27"/>
  <c r="AH38" i="27"/>
  <c r="L122" i="38" s="1"/>
  <c r="AJ38" i="27"/>
  <c r="AI30" i="27"/>
  <c r="AJ30" i="27"/>
  <c r="AG30" i="27"/>
  <c r="AH30" i="27"/>
  <c r="AK30" i="27"/>
  <c r="AJ69" i="27"/>
  <c r="AK69" i="27"/>
  <c r="AG69" i="27"/>
  <c r="AH69" i="27"/>
  <c r="L153" i="38" s="1"/>
  <c r="AI69" i="27"/>
  <c r="E61" i="12"/>
  <c r="M61" i="11" s="1"/>
  <c r="BP61" i="11" s="1"/>
  <c r="AV133" i="11"/>
  <c r="AV129" i="11"/>
  <c r="V27" i="27"/>
  <c r="F27" i="38" s="1"/>
  <c r="I27" i="38" s="1"/>
  <c r="V22" i="27"/>
  <c r="F22" i="38" s="1"/>
  <c r="I22" i="38" s="1"/>
  <c r="W20" i="27"/>
  <c r="F104" i="38" s="1"/>
  <c r="I104" i="38" s="1"/>
  <c r="Y5" i="27"/>
  <c r="AH27" i="27"/>
  <c r="L111" i="38" s="1"/>
  <c r="AI27" i="27"/>
  <c r="AG27" i="27"/>
  <c r="AJ27" i="27"/>
  <c r="AK27" i="27"/>
  <c r="AH19" i="27"/>
  <c r="L103" i="38" s="1"/>
  <c r="AI19" i="27"/>
  <c r="AK19" i="27"/>
  <c r="AG19" i="27"/>
  <c r="AJ19" i="27"/>
  <c r="AH11" i="27"/>
  <c r="AI11" i="27"/>
  <c r="AG11" i="27"/>
  <c r="AJ11" i="27"/>
  <c r="AK11" i="27"/>
  <c r="AH3" i="27"/>
  <c r="L87" i="38" s="1"/>
  <c r="AI3" i="27"/>
  <c r="AK3" i="27"/>
  <c r="AG3" i="27"/>
  <c r="AJ3" i="27"/>
  <c r="AG45" i="27"/>
  <c r="AH45" i="27"/>
  <c r="AI45" i="27"/>
  <c r="AJ45" i="27"/>
  <c r="AK45" i="27"/>
  <c r="AG37" i="27"/>
  <c r="AH37" i="27"/>
  <c r="AI37" i="27"/>
  <c r="AJ37" i="27"/>
  <c r="AK37" i="27"/>
  <c r="AG29" i="27"/>
  <c r="AK29" i="27"/>
  <c r="AI29" i="27"/>
  <c r="AJ29" i="27"/>
  <c r="AH29" i="27"/>
  <c r="L113" i="38" s="1"/>
  <c r="AI23" i="27"/>
  <c r="AJ23" i="27"/>
  <c r="AI15" i="27"/>
  <c r="AJ15" i="27"/>
  <c r="AI7" i="27"/>
  <c r="AJ7" i="27"/>
  <c r="AJ33" i="27"/>
  <c r="AH33" i="27"/>
  <c r="AK84" i="27"/>
  <c r="AH83" i="27"/>
  <c r="L166" i="38" s="1"/>
  <c r="AI77" i="27"/>
  <c r="AK75" i="27"/>
  <c r="AH74" i="27"/>
  <c r="L158" i="38" s="1"/>
  <c r="AK67" i="27"/>
  <c r="AJ64" i="27"/>
  <c r="AI51" i="27"/>
  <c r="AJ49" i="27"/>
  <c r="AH42" i="27"/>
  <c r="AH36" i="27"/>
  <c r="L120" i="38" s="1"/>
  <c r="AH34" i="27"/>
  <c r="AJ84" i="27"/>
  <c r="AG83" i="27"/>
  <c r="AK78" i="27"/>
  <c r="AH77" i="27"/>
  <c r="L161" i="38" s="1"/>
  <c r="AJ75" i="27"/>
  <c r="AG74" i="27"/>
  <c r="AG58" i="27"/>
  <c r="AH51" i="27"/>
  <c r="AI49" i="27"/>
  <c r="AK43" i="27"/>
  <c r="AG42" i="27"/>
  <c r="AG34" i="27"/>
  <c r="AK15" i="27"/>
  <c r="AI84" i="27"/>
  <c r="AJ78" i="27"/>
  <c r="AG77" i="27"/>
  <c r="L77" i="38" s="1"/>
  <c r="AI75" i="27"/>
  <c r="L243" i="38" s="1"/>
  <c r="AK73" i="27"/>
  <c r="AK65" i="27"/>
  <c r="AG51" i="27"/>
  <c r="AG49" i="27"/>
  <c r="AJ43" i="27"/>
  <c r="AK41" i="27"/>
  <c r="AK35" i="27"/>
  <c r="AK33" i="27"/>
  <c r="AH15" i="27"/>
  <c r="AH84" i="27"/>
  <c r="L167" i="38" s="1"/>
  <c r="AI78" i="27"/>
  <c r="AK76" i="27"/>
  <c r="AH75" i="27"/>
  <c r="L159" i="38" s="1"/>
  <c r="AJ73" i="27"/>
  <c r="AK68" i="27"/>
  <c r="AG64" i="27"/>
  <c r="AG56" i="27"/>
  <c r="AI43" i="27"/>
  <c r="L211" i="38" s="1"/>
  <c r="AJ41" i="27"/>
  <c r="AJ35" i="27"/>
  <c r="AI33" i="27"/>
  <c r="AG15" i="27"/>
  <c r="AH78" i="27"/>
  <c r="L162" i="38" s="1"/>
  <c r="AJ76" i="27"/>
  <c r="AI73" i="27"/>
  <c r="AJ68" i="27"/>
  <c r="AH43" i="27"/>
  <c r="L127" i="38" s="1"/>
  <c r="AI41" i="27"/>
  <c r="AI35" i="27"/>
  <c r="AG33" i="27"/>
  <c r="AI44" i="27"/>
  <c r="AK36" i="27"/>
  <c r="AI36" i="27"/>
  <c r="AK83" i="27"/>
  <c r="AI76" i="27"/>
  <c r="AK74" i="27"/>
  <c r="AH73" i="27"/>
  <c r="L157" i="38" s="1"/>
  <c r="AI68" i="27"/>
  <c r="AK58" i="27"/>
  <c r="AK44" i="27"/>
  <c r="AG41" i="27"/>
  <c r="AG35" i="27"/>
  <c r="AK23" i="27"/>
  <c r="AK7" i="27"/>
  <c r="AJ25" i="27"/>
  <c r="AK25" i="27"/>
  <c r="AG25" i="27"/>
  <c r="AH25" i="27"/>
  <c r="L109" i="38" s="1"/>
  <c r="AJ17" i="27"/>
  <c r="AK17" i="27"/>
  <c r="AG17" i="27"/>
  <c r="AH17" i="27"/>
  <c r="AJ9" i="27"/>
  <c r="AK9" i="27"/>
  <c r="AG9" i="27"/>
  <c r="L9" i="38" s="1"/>
  <c r="AH9" i="27"/>
  <c r="L93" i="38" s="1"/>
  <c r="AJ83" i="27"/>
  <c r="AK77" i="27"/>
  <c r="AH76" i="27"/>
  <c r="L160" i="38" s="1"/>
  <c r="AJ74" i="27"/>
  <c r="AH68" i="27"/>
  <c r="L152" i="38" s="1"/>
  <c r="AK51" i="27"/>
  <c r="AJ44" i="27"/>
  <c r="AJ42" i="27"/>
  <c r="AJ34" i="27"/>
  <c r="AH23" i="27"/>
  <c r="L107" i="38" s="1"/>
  <c r="AH7" i="27"/>
  <c r="AK49" i="27"/>
  <c r="AH44" i="27"/>
  <c r="L128" i="38" s="1"/>
  <c r="AI42" i="27"/>
  <c r="AJ36" i="27"/>
  <c r="AI34" i="27"/>
  <c r="AG23" i="27"/>
  <c r="AG7" i="27"/>
  <c r="F82" i="27"/>
  <c r="W24" i="27"/>
  <c r="F108" i="38" s="1"/>
  <c r="I108" i="38" s="1"/>
  <c r="Z23" i="27"/>
  <c r="W27" i="27"/>
  <c r="F111" i="38" s="1"/>
  <c r="I111" i="38" s="1"/>
  <c r="Z26" i="27"/>
  <c r="Z22" i="27"/>
  <c r="Z14" i="27"/>
  <c r="Z12" i="27"/>
  <c r="Y14" i="27"/>
  <c r="V6" i="27"/>
  <c r="F6" i="38" s="1"/>
  <c r="I6" i="38" s="1"/>
  <c r="X5" i="27"/>
  <c r="Y4" i="27"/>
  <c r="X22" i="27"/>
  <c r="F190" i="38" s="1"/>
  <c r="I190" i="38" s="1"/>
  <c r="Z18" i="27"/>
  <c r="Z17" i="27"/>
  <c r="X14" i="27"/>
  <c r="F182" i="38" s="1"/>
  <c r="I182" i="38" s="1"/>
  <c r="X12" i="27"/>
  <c r="X10" i="27"/>
  <c r="X7" i="27"/>
  <c r="V5" i="27"/>
  <c r="F5" i="38" s="1"/>
  <c r="I5" i="38" s="1"/>
  <c r="Z3" i="27"/>
  <c r="F339" i="38" s="1"/>
  <c r="I339" i="38" s="1"/>
  <c r="Z27" i="27"/>
  <c r="X25" i="27"/>
  <c r="W22" i="27"/>
  <c r="F106" i="38" s="1"/>
  <c r="I106" i="38" s="1"/>
  <c r="Z21" i="27"/>
  <c r="V19" i="27"/>
  <c r="F19" i="38" s="1"/>
  <c r="I19" i="38" s="1"/>
  <c r="Y18" i="27"/>
  <c r="F270" i="38" s="1"/>
  <c r="I270" i="38" s="1"/>
  <c r="Y11" i="27"/>
  <c r="Z6" i="27"/>
  <c r="Z4" i="27"/>
  <c r="X23" i="27"/>
  <c r="Z20" i="27"/>
  <c r="W19" i="27"/>
  <c r="V12" i="27"/>
  <c r="F12" i="38" s="1"/>
  <c r="I12" i="38" s="1"/>
  <c r="V10" i="27"/>
  <c r="F10" i="38" s="1"/>
  <c r="I10" i="38" s="1"/>
  <c r="X8" i="27"/>
  <c r="X2" i="27"/>
  <c r="X27" i="27"/>
  <c r="X26" i="27"/>
  <c r="F194" i="38" s="1"/>
  <c r="I194" i="38" s="1"/>
  <c r="V25" i="27"/>
  <c r="F25" i="38" s="1"/>
  <c r="I25" i="38" s="1"/>
  <c r="X21" i="27"/>
  <c r="Z19" i="27"/>
  <c r="V15" i="27"/>
  <c r="F15" i="38" s="1"/>
  <c r="I15" i="38" s="1"/>
  <c r="Z13" i="27"/>
  <c r="W11" i="27"/>
  <c r="F95" i="38" s="1"/>
  <c r="I95" i="38" s="1"/>
  <c r="Y10" i="27"/>
  <c r="Z9" i="27"/>
  <c r="X6" i="27"/>
  <c r="X4" i="27"/>
  <c r="Y24" i="27"/>
  <c r="F276" i="38" s="1"/>
  <c r="I276" i="38" s="1"/>
  <c r="V23" i="27"/>
  <c r="F23" i="38" s="1"/>
  <c r="I23" i="38" s="1"/>
  <c r="X17" i="27"/>
  <c r="Y16" i="27"/>
  <c r="Y12" i="27"/>
  <c r="X11" i="27"/>
  <c r="W10" i="27"/>
  <c r="Y21" i="27"/>
  <c r="W16" i="27"/>
  <c r="F100" i="38" s="1"/>
  <c r="I100" i="38" s="1"/>
  <c r="Z15" i="27"/>
  <c r="V11" i="27"/>
  <c r="F11" i="38" s="1"/>
  <c r="I11" i="38" s="1"/>
  <c r="W8" i="27"/>
  <c r="Z7" i="27"/>
  <c r="V3" i="27"/>
  <c r="F3" i="38" s="1"/>
  <c r="I3" i="38" s="1"/>
  <c r="V16" i="27"/>
  <c r="F16" i="38" s="1"/>
  <c r="I16" i="38" s="1"/>
  <c r="Y15" i="27"/>
  <c r="W13" i="27"/>
  <c r="F97" i="38" s="1"/>
  <c r="I97" i="38" s="1"/>
  <c r="V8" i="27"/>
  <c r="F8" i="38" s="1"/>
  <c r="I8" i="38" s="1"/>
  <c r="Y7" i="27"/>
  <c r="W5" i="27"/>
  <c r="F89" i="38" s="1"/>
  <c r="I89" i="38" s="1"/>
  <c r="W26" i="27"/>
  <c r="F110" i="38" s="1"/>
  <c r="I110" i="38" s="1"/>
  <c r="V21" i="27"/>
  <c r="F21" i="38" s="1"/>
  <c r="I21" i="38" s="1"/>
  <c r="Y25" i="27"/>
  <c r="W23" i="27"/>
  <c r="Y17" i="27"/>
  <c r="F269" i="38" s="1"/>
  <c r="I269" i="38" s="1"/>
  <c r="W15" i="27"/>
  <c r="F99" i="38" s="1"/>
  <c r="I99" i="38" s="1"/>
  <c r="F91" i="38"/>
  <c r="I91" i="38" s="1"/>
  <c r="W21" i="27"/>
  <c r="W12" i="27"/>
  <c r="Z11" i="27"/>
  <c r="Y6" i="27"/>
  <c r="W4" i="27"/>
  <c r="F88" i="38" s="1"/>
  <c r="I88" i="38" s="1"/>
  <c r="W25" i="27"/>
  <c r="F109" i="38" s="1"/>
  <c r="I109" i="38" s="1"/>
  <c r="Z24" i="27"/>
  <c r="W17" i="27"/>
  <c r="F101" i="38" s="1"/>
  <c r="I101" i="38" s="1"/>
  <c r="Z16" i="27"/>
  <c r="F352" i="38" s="1"/>
  <c r="I352" i="38" s="1"/>
  <c r="W9" i="27"/>
  <c r="F93" i="38" s="1"/>
  <c r="I93" i="38" s="1"/>
  <c r="Z8" i="27"/>
  <c r="Y3" i="27"/>
  <c r="V2" i="27"/>
  <c r="F2" i="38" s="1"/>
  <c r="I2" i="38" s="1"/>
  <c r="Z67" i="27"/>
  <c r="Z29" i="27"/>
  <c r="Z37" i="27"/>
  <c r="Z45" i="27"/>
  <c r="Z69" i="27"/>
  <c r="Z77" i="27"/>
  <c r="Z30" i="27"/>
  <c r="Z38" i="27"/>
  <c r="Z46" i="27"/>
  <c r="Z70" i="27"/>
  <c r="Z78" i="27"/>
  <c r="Y28" i="27"/>
  <c r="Z31" i="27"/>
  <c r="Z39" i="27"/>
  <c r="Z47" i="27"/>
  <c r="Z71" i="27"/>
  <c r="Z82" i="27"/>
  <c r="Z55" i="27"/>
  <c r="Z32" i="27"/>
  <c r="Z40" i="27"/>
  <c r="Z48" i="27"/>
  <c r="Z72" i="27"/>
  <c r="Z83" i="27"/>
  <c r="Z63" i="27"/>
  <c r="Z56" i="27"/>
  <c r="Z33" i="27"/>
  <c r="Z41" i="27"/>
  <c r="Z49" i="27"/>
  <c r="Z73" i="27"/>
  <c r="L73" i="38" s="1"/>
  <c r="Z84" i="27"/>
  <c r="L83" i="38" s="1"/>
  <c r="Z64" i="27"/>
  <c r="Z34" i="27"/>
  <c r="Z42" i="27"/>
  <c r="Z50" i="27"/>
  <c r="Z74" i="27"/>
  <c r="Z85" i="27"/>
  <c r="Z65" i="27"/>
  <c r="Z58" i="27"/>
  <c r="Z35" i="27"/>
  <c r="Z43" i="27"/>
  <c r="L43" i="38" s="1"/>
  <c r="Z51" i="27"/>
  <c r="Z75" i="27"/>
  <c r="L75" i="38" s="1"/>
  <c r="Z86" i="27"/>
  <c r="Z28" i="27"/>
  <c r="Z36" i="27"/>
  <c r="L36" i="38" s="1"/>
  <c r="Z44" i="27"/>
  <c r="L44" i="38" s="1"/>
  <c r="Z68" i="27"/>
  <c r="L68" i="38" s="1"/>
  <c r="Z76" i="27"/>
  <c r="L76" i="38" s="1"/>
  <c r="AT84" i="11"/>
  <c r="AP36" i="11"/>
  <c r="AM36" i="11"/>
  <c r="AT100" i="11"/>
  <c r="AQ100" i="11"/>
  <c r="AN100" i="11"/>
  <c r="AQ68" i="11"/>
  <c r="AN68" i="11"/>
  <c r="AQ36" i="11"/>
  <c r="AN36" i="11"/>
  <c r="AS149" i="11"/>
  <c r="AP149" i="11"/>
  <c r="AP118" i="11"/>
  <c r="AS118" i="11"/>
  <c r="AS92" i="11"/>
  <c r="AP92" i="11"/>
  <c r="AM92" i="11"/>
  <c r="AP4" i="11"/>
  <c r="AM4" i="11"/>
  <c r="AT156" i="11"/>
  <c r="AQ156" i="11"/>
  <c r="AT127" i="11"/>
  <c r="AN127" i="11"/>
  <c r="AQ127" i="11"/>
  <c r="AT92" i="11"/>
  <c r="AQ92" i="11"/>
  <c r="AN30" i="11"/>
  <c r="AQ5" i="11"/>
  <c r="AN5" i="11"/>
  <c r="AS148" i="11"/>
  <c r="AP117" i="11"/>
  <c r="AS117" i="11"/>
  <c r="AP22" i="11"/>
  <c r="AM22" i="11"/>
  <c r="AP3" i="11"/>
  <c r="AM3" i="11"/>
  <c r="AS173" i="11"/>
  <c r="AP173" i="11"/>
  <c r="AT173" i="11"/>
  <c r="AQ173" i="11"/>
  <c r="AZ213" i="11"/>
  <c r="AT213" i="11"/>
  <c r="AY205" i="11"/>
  <c r="AS205" i="11"/>
  <c r="AP205" i="11"/>
  <c r="AS181" i="11"/>
  <c r="AP181" i="11"/>
  <c r="AQ117" i="11"/>
  <c r="AT117" i="11"/>
  <c r="AT109" i="11"/>
  <c r="AQ109" i="11"/>
  <c r="AN109" i="11"/>
  <c r="AP93" i="11"/>
  <c r="AS93" i="11"/>
  <c r="AM93" i="11"/>
  <c r="AQ77" i="11"/>
  <c r="AT77" i="11"/>
  <c r="AN77" i="11"/>
  <c r="AQ45" i="11"/>
  <c r="AN45" i="11"/>
  <c r="AQ13" i="11"/>
  <c r="AN13" i="11"/>
  <c r="AM170" i="11"/>
  <c r="AM30" i="11"/>
  <c r="AN19" i="11"/>
  <c r="AP80" i="11"/>
  <c r="AT108" i="11"/>
  <c r="AQ108" i="11"/>
  <c r="AQ21" i="11"/>
  <c r="AN21" i="11"/>
  <c r="AP78" i="11"/>
  <c r="AM78" i="11"/>
  <c r="AS78" i="11"/>
  <c r="AP69" i="11"/>
  <c r="AM69" i="11"/>
  <c r="AP27" i="11"/>
  <c r="AM27" i="11"/>
  <c r="AT149" i="11"/>
  <c r="AQ149" i="11"/>
  <c r="AT91" i="11"/>
  <c r="AN91" i="11"/>
  <c r="AQ60" i="11"/>
  <c r="AN60" i="11"/>
  <c r="AQ29" i="11"/>
  <c r="AN29" i="11"/>
  <c r="AN4" i="11"/>
  <c r="AQ4" i="11"/>
  <c r="AS141" i="11"/>
  <c r="AP141" i="11"/>
  <c r="AS116" i="11"/>
  <c r="AP116" i="11"/>
  <c r="AM116" i="11"/>
  <c r="AS85" i="11"/>
  <c r="AP85" i="11"/>
  <c r="AP67" i="11"/>
  <c r="AM67" i="11"/>
  <c r="AM39" i="11"/>
  <c r="AP21" i="11"/>
  <c r="AS172" i="11"/>
  <c r="AP172" i="11"/>
  <c r="AM172" i="11"/>
  <c r="AT188" i="11"/>
  <c r="AQ188" i="11"/>
  <c r="AM2" i="11"/>
  <c r="AN67" i="11"/>
  <c r="AM58" i="11"/>
  <c r="AM49" i="11"/>
  <c r="AM40" i="11"/>
  <c r="AM29" i="11"/>
  <c r="AM8" i="11"/>
  <c r="AP201" i="11"/>
  <c r="AN83" i="11"/>
  <c r="AT148" i="11"/>
  <c r="AQ148" i="11"/>
  <c r="AT124" i="11"/>
  <c r="AQ124" i="11"/>
  <c r="AQ85" i="11"/>
  <c r="AT85" i="11"/>
  <c r="AS140" i="11"/>
  <c r="AM140" i="11"/>
  <c r="AP140" i="11"/>
  <c r="AS109" i="11"/>
  <c r="AP109" i="11"/>
  <c r="AS84" i="11"/>
  <c r="AP84" i="11"/>
  <c r="AM84" i="11"/>
  <c r="AP63" i="11"/>
  <c r="AM63" i="11"/>
  <c r="AP38" i="11"/>
  <c r="AM38" i="11"/>
  <c r="AP20" i="11"/>
  <c r="AM20" i="11"/>
  <c r="AY212" i="11"/>
  <c r="AS212" i="11"/>
  <c r="AP212" i="11"/>
  <c r="AM212" i="11"/>
  <c r="AZ212" i="11"/>
  <c r="AT212" i="11"/>
  <c r="AQ212" i="11"/>
  <c r="AT181" i="11"/>
  <c r="AT171" i="11"/>
  <c r="AQ171" i="11"/>
  <c r="AN171" i="11"/>
  <c r="AY211" i="11"/>
  <c r="AS211" i="11"/>
  <c r="AM211" i="11"/>
  <c r="AY203" i="11"/>
  <c r="AS203" i="11"/>
  <c r="AP203" i="11"/>
  <c r="AM203" i="11"/>
  <c r="AT187" i="11"/>
  <c r="AQ187" i="11"/>
  <c r="AN187" i="11"/>
  <c r="AS171" i="11"/>
  <c r="AP171" i="11"/>
  <c r="AM171" i="11"/>
  <c r="AS155" i="11"/>
  <c r="AP155" i="11"/>
  <c r="AM155" i="11"/>
  <c r="AS131" i="11"/>
  <c r="AP131" i="11"/>
  <c r="AM131" i="11"/>
  <c r="AS123" i="11"/>
  <c r="AP123" i="11"/>
  <c r="AM123" i="11"/>
  <c r="AT107" i="11"/>
  <c r="AQ107" i="11"/>
  <c r="AS83" i="11"/>
  <c r="AP83" i="11"/>
  <c r="AM83" i="11"/>
  <c r="AQ59" i="11"/>
  <c r="AN59" i="11"/>
  <c r="AP51" i="11"/>
  <c r="AM51" i="11"/>
  <c r="AP19" i="11"/>
  <c r="AM19" i="11"/>
  <c r="AP11" i="11"/>
  <c r="AM11" i="11"/>
  <c r="AM169" i="11"/>
  <c r="AM121" i="11"/>
  <c r="AM85" i="11"/>
  <c r="AN39" i="11"/>
  <c r="AN28" i="11"/>
  <c r="AM18" i="11"/>
  <c r="AQ200" i="11"/>
  <c r="AQ133" i="11"/>
  <c r="AQ141" i="11"/>
  <c r="AS108" i="11"/>
  <c r="AP108" i="11"/>
  <c r="AS79" i="11"/>
  <c r="AP79" i="11"/>
  <c r="AM79" i="11"/>
  <c r="AM37" i="11"/>
  <c r="AP37" i="11"/>
  <c r="AY204" i="11"/>
  <c r="AS204" i="11"/>
  <c r="AP204" i="11"/>
  <c r="AZ205" i="11"/>
  <c r="AT205" i="11"/>
  <c r="AQ205" i="11"/>
  <c r="AT180" i="11"/>
  <c r="AQ180" i="11"/>
  <c r="AZ210" i="11"/>
  <c r="AT210" i="11"/>
  <c r="AN210" i="11"/>
  <c r="AP202" i="11"/>
  <c r="AY202" i="11"/>
  <c r="AS202" i="11"/>
  <c r="AT194" i="11"/>
  <c r="AQ194" i="11"/>
  <c r="AZ194" i="11"/>
  <c r="AN194" i="11"/>
  <c r="AT186" i="11"/>
  <c r="AQ186" i="11"/>
  <c r="AN186" i="11"/>
  <c r="AT178" i="11"/>
  <c r="AQ178" i="11"/>
  <c r="AN178" i="11"/>
  <c r="AP170" i="11"/>
  <c r="AS170" i="11"/>
  <c r="AP162" i="11"/>
  <c r="AS162" i="11"/>
  <c r="AP154" i="11"/>
  <c r="AS154" i="11"/>
  <c r="AT146" i="11"/>
  <c r="AQ146" i="11"/>
  <c r="AN146" i="11"/>
  <c r="AP138" i="11"/>
  <c r="AS138" i="11"/>
  <c r="AP130" i="11"/>
  <c r="AS130" i="11"/>
  <c r="AP122" i="11"/>
  <c r="AS122" i="11"/>
  <c r="AP114" i="11"/>
  <c r="AS114" i="11"/>
  <c r="AM114" i="11"/>
  <c r="AP106" i="11"/>
  <c r="AS106" i="11"/>
  <c r="AM106" i="11"/>
  <c r="AP98" i="11"/>
  <c r="AS98" i="11"/>
  <c r="AP90" i="11"/>
  <c r="AS90" i="11"/>
  <c r="AP82" i="11"/>
  <c r="AS82" i="11"/>
  <c r="AM82" i="11"/>
  <c r="AS74" i="11"/>
  <c r="AP74" i="11"/>
  <c r="AM74" i="11"/>
  <c r="AP50" i="11"/>
  <c r="AM50" i="11"/>
  <c r="AP42" i="11"/>
  <c r="AM42" i="11"/>
  <c r="AP26" i="11"/>
  <c r="AM26" i="11"/>
  <c r="AP10" i="11"/>
  <c r="AM10" i="11"/>
  <c r="AN84" i="11"/>
  <c r="AM66" i="11"/>
  <c r="AM57" i="11"/>
  <c r="AM48" i="11"/>
  <c r="AN38" i="11"/>
  <c r="AM28" i="11"/>
  <c r="AM17" i="11"/>
  <c r="AN6" i="11"/>
  <c r="AP157" i="11"/>
  <c r="AP133" i="11"/>
  <c r="AQ27" i="11"/>
  <c r="AN27" i="11"/>
  <c r="AQ51" i="11"/>
  <c r="AN51" i="11"/>
  <c r="AS101" i="11"/>
  <c r="AP101" i="11"/>
  <c r="AM101" i="11"/>
  <c r="AP217" i="11"/>
  <c r="AY217" i="11"/>
  <c r="AS217" i="11"/>
  <c r="AY201" i="11"/>
  <c r="AS201" i="11"/>
  <c r="AP193" i="11"/>
  <c r="AS193" i="11"/>
  <c r="AS185" i="11"/>
  <c r="AP185" i="11"/>
  <c r="AP177" i="11"/>
  <c r="AS177" i="11"/>
  <c r="AP161" i="11"/>
  <c r="AS161" i="11"/>
  <c r="AS153" i="11"/>
  <c r="AP153" i="11"/>
  <c r="AP145" i="11"/>
  <c r="AS145" i="11"/>
  <c r="AP137" i="11"/>
  <c r="AS137" i="11"/>
  <c r="AP129" i="11"/>
  <c r="AS129" i="11"/>
  <c r="AP113" i="11"/>
  <c r="AS113" i="11"/>
  <c r="AS105" i="11"/>
  <c r="AP105" i="11"/>
  <c r="AM105" i="11"/>
  <c r="AS97" i="11"/>
  <c r="AM97" i="11"/>
  <c r="AP97" i="11"/>
  <c r="AP89" i="11"/>
  <c r="AS89" i="11"/>
  <c r="AP81" i="11"/>
  <c r="AS81" i="11"/>
  <c r="AP73" i="11"/>
  <c r="AM73" i="11"/>
  <c r="AP65" i="11"/>
  <c r="AM65" i="11"/>
  <c r="AP41" i="11"/>
  <c r="AM41" i="11"/>
  <c r="AP25" i="11"/>
  <c r="AM25" i="11"/>
  <c r="AP9" i="11"/>
  <c r="AM9" i="11"/>
  <c r="AM118" i="11"/>
  <c r="AM109" i="11"/>
  <c r="AN63" i="11"/>
  <c r="AM54" i="11"/>
  <c r="AM45" i="11"/>
  <c r="AN3" i="11"/>
  <c r="AQ213" i="11"/>
  <c r="AQ172" i="11"/>
  <c r="AS165" i="11"/>
  <c r="AP165" i="11"/>
  <c r="AT140" i="11"/>
  <c r="AQ140" i="11"/>
  <c r="AZ204" i="11"/>
  <c r="AT204" i="11"/>
  <c r="AT102" i="11"/>
  <c r="AQ102" i="11"/>
  <c r="AT76" i="11"/>
  <c r="AQ76" i="11"/>
  <c r="AN20" i="11"/>
  <c r="AQ20" i="11"/>
  <c r="AS125" i="11"/>
  <c r="AP125" i="11"/>
  <c r="AS100" i="11"/>
  <c r="AP100" i="11"/>
  <c r="AP77" i="11"/>
  <c r="AP60" i="11"/>
  <c r="AM60" i="11"/>
  <c r="AP6" i="11"/>
  <c r="AM6" i="11"/>
  <c r="AY196" i="11"/>
  <c r="AS196" i="11"/>
  <c r="AP196" i="11"/>
  <c r="AM196" i="11"/>
  <c r="AZ197" i="11"/>
  <c r="AQ176" i="11"/>
  <c r="AT176" i="11"/>
  <c r="AQ216" i="11"/>
  <c r="AZ216" i="11"/>
  <c r="AT216" i="11"/>
  <c r="AY208" i="11"/>
  <c r="AS208" i="11"/>
  <c r="AP208" i="11"/>
  <c r="AM208" i="11"/>
  <c r="AZ200" i="11"/>
  <c r="AT200" i="11"/>
  <c r="AQ192" i="11"/>
  <c r="AT192" i="11"/>
  <c r="AS184" i="11"/>
  <c r="AM184" i="11"/>
  <c r="AP184" i="11"/>
  <c r="AS176" i="11"/>
  <c r="AP176" i="11"/>
  <c r="AM176" i="11"/>
  <c r="AS168" i="11"/>
  <c r="AM168" i="11"/>
  <c r="AS160" i="11"/>
  <c r="AP160" i="11"/>
  <c r="AM160" i="11"/>
  <c r="AS152" i="11"/>
  <c r="AM152" i="11"/>
  <c r="AP152" i="11"/>
  <c r="AS144" i="11"/>
  <c r="AP144" i="11"/>
  <c r="AM144" i="11"/>
  <c r="AS136" i="11"/>
  <c r="AP136" i="11"/>
  <c r="AM136" i="11"/>
  <c r="AS128" i="11"/>
  <c r="AP128" i="11"/>
  <c r="AM128" i="11"/>
  <c r="AS120" i="11"/>
  <c r="AM120" i="11"/>
  <c r="AS112" i="11"/>
  <c r="AP112" i="11"/>
  <c r="AS104" i="11"/>
  <c r="AP104" i="11"/>
  <c r="AS96" i="11"/>
  <c r="AP96" i="11"/>
  <c r="AM96" i="11"/>
  <c r="AS88" i="11"/>
  <c r="AP88" i="11"/>
  <c r="AM88" i="11"/>
  <c r="AP64" i="11"/>
  <c r="AM64" i="11"/>
  <c r="AP56" i="11"/>
  <c r="AM56" i="11"/>
  <c r="AP32" i="11"/>
  <c r="AM32" i="11"/>
  <c r="AP16" i="11"/>
  <c r="AM16" i="11"/>
  <c r="AN213" i="11"/>
  <c r="AN205" i="11"/>
  <c r="AN189" i="11"/>
  <c r="AN181" i="11"/>
  <c r="AN173" i="11"/>
  <c r="AN157" i="11"/>
  <c r="AN149" i="11"/>
  <c r="AN141" i="11"/>
  <c r="AN133" i="11"/>
  <c r="AN117" i="11"/>
  <c r="AN108" i="11"/>
  <c r="AM90" i="11"/>
  <c r="AM81" i="11"/>
  <c r="AM72" i="11"/>
  <c r="AN62" i="11"/>
  <c r="AN53" i="11"/>
  <c r="AM24" i="11"/>
  <c r="AM13" i="11"/>
  <c r="AP211" i="11"/>
  <c r="AP169" i="11"/>
  <c r="AP148" i="11"/>
  <c r="AP121" i="11"/>
  <c r="AQ91" i="11"/>
  <c r="AP55" i="11"/>
  <c r="AT116" i="11"/>
  <c r="AQ116" i="11"/>
  <c r="AS164" i="11"/>
  <c r="AP164" i="11"/>
  <c r="AM164" i="11"/>
  <c r="AY197" i="11"/>
  <c r="AS197" i="11"/>
  <c r="AP197" i="11"/>
  <c r="AY209" i="11"/>
  <c r="AP209" i="11"/>
  <c r="AS209" i="11"/>
  <c r="AT165" i="11"/>
  <c r="AQ165" i="11"/>
  <c r="AT164" i="11"/>
  <c r="AQ164" i="11"/>
  <c r="AT132" i="11"/>
  <c r="AQ132" i="11"/>
  <c r="AQ101" i="11"/>
  <c r="AQ69" i="11"/>
  <c r="AN69" i="11"/>
  <c r="AQ37" i="11"/>
  <c r="AN37" i="11"/>
  <c r="AS156" i="11"/>
  <c r="AP156" i="11"/>
  <c r="AM156" i="11"/>
  <c r="AS124" i="11"/>
  <c r="AP124" i="11"/>
  <c r="AM124" i="11"/>
  <c r="AP95" i="11"/>
  <c r="AM95" i="11"/>
  <c r="AS76" i="11"/>
  <c r="AP76" i="11"/>
  <c r="AP52" i="11"/>
  <c r="AM52" i="11"/>
  <c r="AM5" i="11"/>
  <c r="AP5" i="11"/>
  <c r="AS188" i="11"/>
  <c r="AP188" i="11"/>
  <c r="AM188" i="11"/>
  <c r="AZ196" i="11"/>
  <c r="AT196" i="11"/>
  <c r="AT175" i="11"/>
  <c r="AQ175" i="11"/>
  <c r="AN175" i="11"/>
  <c r="AY215" i="11"/>
  <c r="AS215" i="11"/>
  <c r="AP215" i="11"/>
  <c r="AM215" i="11"/>
  <c r="AY207" i="11"/>
  <c r="AS207" i="11"/>
  <c r="AP207" i="11"/>
  <c r="AM207" i="11"/>
  <c r="AS191" i="11"/>
  <c r="AM191" i="11"/>
  <c r="AS183" i="11"/>
  <c r="AP183" i="11"/>
  <c r="AM183" i="11"/>
  <c r="AS175" i="11"/>
  <c r="AM175" i="11"/>
  <c r="AP175" i="11"/>
  <c r="AS167" i="11"/>
  <c r="AP167" i="11"/>
  <c r="AM167" i="11"/>
  <c r="AS159" i="11"/>
  <c r="AM159" i="11"/>
  <c r="AT143" i="11"/>
  <c r="AQ143" i="11"/>
  <c r="AN143" i="11"/>
  <c r="AS127" i="11"/>
  <c r="AP127" i="11"/>
  <c r="AM127" i="11"/>
  <c r="AS103" i="11"/>
  <c r="AP103" i="11"/>
  <c r="AM103" i="11"/>
  <c r="AT95" i="11"/>
  <c r="AQ95" i="11"/>
  <c r="AS87" i="11"/>
  <c r="AP87" i="11"/>
  <c r="AM87" i="11"/>
  <c r="AT79" i="11"/>
  <c r="AQ79" i="11"/>
  <c r="AN79" i="11"/>
  <c r="AQ31" i="11"/>
  <c r="AN31" i="11"/>
  <c r="AM23" i="11"/>
  <c r="AP23" i="11"/>
  <c r="AN15" i="11"/>
  <c r="AQ15" i="11"/>
  <c r="AM205" i="11"/>
  <c r="AM197" i="11"/>
  <c r="AM189" i="11"/>
  <c r="AM181" i="11"/>
  <c r="AM173" i="11"/>
  <c r="AM165" i="11"/>
  <c r="AM157" i="11"/>
  <c r="AM149" i="11"/>
  <c r="AM141" i="11"/>
  <c r="AM133" i="11"/>
  <c r="AM125" i="11"/>
  <c r="AM117" i="11"/>
  <c r="AM108" i="11"/>
  <c r="AM62" i="11"/>
  <c r="AM53" i="11"/>
  <c r="AM44" i="11"/>
  <c r="AM34" i="11"/>
  <c r="AN12" i="11"/>
  <c r="AQ210" i="11"/>
  <c r="AS132" i="11"/>
  <c r="AP132" i="11"/>
  <c r="AM132" i="11"/>
  <c r="AT177" i="11"/>
  <c r="AQ177" i="11"/>
  <c r="AT131" i="11"/>
  <c r="AN131" i="11"/>
  <c r="AS180" i="11"/>
  <c r="AM180" i="11"/>
  <c r="AT190" i="11"/>
  <c r="AQ190" i="11"/>
  <c r="AN190" i="11"/>
  <c r="AT174" i="11"/>
  <c r="AQ174" i="11"/>
  <c r="AN174" i="11"/>
  <c r="AZ214" i="11"/>
  <c r="AT214" i="11"/>
  <c r="AQ214" i="11"/>
  <c r="AN214" i="11"/>
  <c r="AZ206" i="11"/>
  <c r="AT206" i="11"/>
  <c r="AQ206" i="11"/>
  <c r="AN206" i="11"/>
  <c r="AZ198" i="11"/>
  <c r="AT198" i="11"/>
  <c r="AQ198" i="11"/>
  <c r="AN198" i="11"/>
  <c r="AP190" i="11"/>
  <c r="AS190" i="11"/>
  <c r="AT182" i="11"/>
  <c r="AQ182" i="11"/>
  <c r="AN182" i="11"/>
  <c r="AP174" i="11"/>
  <c r="AS174" i="11"/>
  <c r="AT166" i="11"/>
  <c r="AQ166" i="11"/>
  <c r="AN166" i="11"/>
  <c r="AP158" i="11"/>
  <c r="AS158" i="11"/>
  <c r="AP150" i="11"/>
  <c r="AS150" i="11"/>
  <c r="AP142" i="11"/>
  <c r="AS142" i="11"/>
  <c r="AP134" i="11"/>
  <c r="AS134" i="11"/>
  <c r="AP126" i="11"/>
  <c r="AS126" i="11"/>
  <c r="AT118" i="11"/>
  <c r="AQ118" i="11"/>
  <c r="AN118" i="11"/>
  <c r="AP110" i="11"/>
  <c r="AM110" i="11"/>
  <c r="AS110" i="11"/>
  <c r="AP102" i="11"/>
  <c r="AS102" i="11"/>
  <c r="AM102" i="11"/>
  <c r="AP94" i="11"/>
  <c r="AS94" i="11"/>
  <c r="AP86" i="11"/>
  <c r="AS86" i="11"/>
  <c r="AT78" i="11"/>
  <c r="AQ78" i="11"/>
  <c r="AN78" i="11"/>
  <c r="AP70" i="11"/>
  <c r="AM70" i="11"/>
  <c r="AP46" i="11"/>
  <c r="AM46" i="11"/>
  <c r="AQ14" i="11"/>
  <c r="AN14" i="11"/>
  <c r="AN212" i="11"/>
  <c r="AN204" i="11"/>
  <c r="AN188" i="11"/>
  <c r="AN180" i="11"/>
  <c r="AN172" i="11"/>
  <c r="AN164" i="11"/>
  <c r="AN156" i="11"/>
  <c r="AN148" i="11"/>
  <c r="AN140" i="11"/>
  <c r="AN132" i="11"/>
  <c r="AN124" i="11"/>
  <c r="AN116" i="11"/>
  <c r="AN107" i="11"/>
  <c r="AM98" i="11"/>
  <c r="AM89" i="11"/>
  <c r="AM80" i="11"/>
  <c r="AN61" i="11"/>
  <c r="AN52" i="11"/>
  <c r="AN43" i="11"/>
  <c r="AM33" i="11"/>
  <c r="AN22" i="11"/>
  <c r="AM12" i="11"/>
  <c r="AP189" i="11"/>
  <c r="AP168" i="11"/>
  <c r="AP120" i="11"/>
  <c r="V34" i="27"/>
  <c r="F34" i="38" s="1"/>
  <c r="I34" i="38" s="1"/>
  <c r="V62" i="27"/>
  <c r="V35" i="27"/>
  <c r="F35" i="38" s="1"/>
  <c r="I35" i="38" s="1"/>
  <c r="V43" i="27"/>
  <c r="F43" i="38" s="1"/>
  <c r="I43" i="38" s="1"/>
  <c r="V51" i="27"/>
  <c r="F51" i="38" s="1"/>
  <c r="I51" i="38" s="1"/>
  <c r="V75" i="27"/>
  <c r="F75" i="38" s="1"/>
  <c r="I75" i="38" s="1"/>
  <c r="V86" i="27"/>
  <c r="V28" i="27"/>
  <c r="F28" i="38" s="1"/>
  <c r="V36" i="27"/>
  <c r="F36" i="38" s="1"/>
  <c r="I36" i="38" s="1"/>
  <c r="V44" i="27"/>
  <c r="F44" i="38" s="1"/>
  <c r="I44" i="38" s="1"/>
  <c r="V68" i="27"/>
  <c r="F68" i="38" s="1"/>
  <c r="V76" i="27"/>
  <c r="F76" i="38" s="1"/>
  <c r="I76" i="38" s="1"/>
  <c r="V61" i="27"/>
  <c r="V29" i="27"/>
  <c r="F29" i="38" s="1"/>
  <c r="I29" i="38" s="1"/>
  <c r="V37" i="27"/>
  <c r="F37" i="38" s="1"/>
  <c r="I37" i="38" s="1"/>
  <c r="V45" i="27"/>
  <c r="F45" i="38" s="1"/>
  <c r="I45" i="38" s="1"/>
  <c r="V69" i="27"/>
  <c r="F69" i="38" s="1"/>
  <c r="V77" i="27"/>
  <c r="F77" i="38" s="1"/>
  <c r="V30" i="27"/>
  <c r="F30" i="38" s="1"/>
  <c r="I30" i="38" s="1"/>
  <c r="V38" i="27"/>
  <c r="F38" i="38" s="1"/>
  <c r="I38" i="38" s="1"/>
  <c r="V46" i="27"/>
  <c r="F46" i="38" s="1"/>
  <c r="I46" i="38" s="1"/>
  <c r="V70" i="27"/>
  <c r="F70" i="38" s="1"/>
  <c r="V78" i="27"/>
  <c r="F78" i="38" s="1"/>
  <c r="V54" i="27"/>
  <c r="V63" i="27"/>
  <c r="V31" i="27"/>
  <c r="F31" i="38" s="1"/>
  <c r="I31" i="38" s="1"/>
  <c r="V39" i="27"/>
  <c r="F39" i="38" s="1"/>
  <c r="I39" i="38" s="1"/>
  <c r="V47" i="27"/>
  <c r="F47" i="38" s="1"/>
  <c r="I47" i="38" s="1"/>
  <c r="V71" i="27"/>
  <c r="F71" i="38" s="1"/>
  <c r="V82" i="27"/>
  <c r="F81" i="38" s="1"/>
  <c r="I81" i="38" s="1"/>
  <c r="V55" i="27"/>
  <c r="V64" i="27"/>
  <c r="Y55" i="27"/>
  <c r="V32" i="27"/>
  <c r="F32" i="38" s="1"/>
  <c r="I32" i="38" s="1"/>
  <c r="V40" i="27"/>
  <c r="F40" i="38" s="1"/>
  <c r="I40" i="38" s="1"/>
  <c r="V48" i="27"/>
  <c r="F48" i="38" s="1"/>
  <c r="I48" i="38" s="1"/>
  <c r="V72" i="27"/>
  <c r="F72" i="38" s="1"/>
  <c r="V83" i="27"/>
  <c r="F82" i="38" s="1"/>
  <c r="I82" i="38" s="1"/>
  <c r="V56" i="27"/>
  <c r="V65" i="27"/>
  <c r="V33" i="27"/>
  <c r="F33" i="38" s="1"/>
  <c r="I33" i="38" s="1"/>
  <c r="V41" i="27"/>
  <c r="F41" i="38" s="1"/>
  <c r="I41" i="38" s="1"/>
  <c r="V49" i="27"/>
  <c r="F49" i="38" s="1"/>
  <c r="I49" i="38" s="1"/>
  <c r="V73" i="27"/>
  <c r="F73" i="38" s="1"/>
  <c r="I73" i="38" s="1"/>
  <c r="V84" i="27"/>
  <c r="F83" i="38" s="1"/>
  <c r="I83" i="38" s="1"/>
  <c r="V58" i="27"/>
  <c r="V67" i="27"/>
  <c r="Y63" i="27"/>
  <c r="V42" i="27"/>
  <c r="F42" i="38" s="1"/>
  <c r="I42" i="38" s="1"/>
  <c r="V50" i="27"/>
  <c r="F50" i="38" s="1"/>
  <c r="I50" i="38" s="1"/>
  <c r="V74" i="27"/>
  <c r="F74" i="38" s="1"/>
  <c r="I74" i="38" s="1"/>
  <c r="V85" i="27"/>
  <c r="F84" i="38" s="1"/>
  <c r="I84" i="38" s="1"/>
  <c r="Y64" i="27"/>
  <c r="W41" i="27"/>
  <c r="W73" i="27"/>
  <c r="F157" i="38" s="1"/>
  <c r="W84" i="27"/>
  <c r="F167" i="38" s="1"/>
  <c r="I167" i="38" s="1"/>
  <c r="X41" i="27"/>
  <c r="X49" i="27"/>
  <c r="X73" i="27"/>
  <c r="X84" i="27"/>
  <c r="W42" i="27"/>
  <c r="F126" i="38" s="1"/>
  <c r="I126" i="38" s="1"/>
  <c r="W50" i="27"/>
  <c r="W74" i="27"/>
  <c r="F158" i="38" s="1"/>
  <c r="I158" i="38" s="1"/>
  <c r="W85" i="27"/>
  <c r="F168" i="38" s="1"/>
  <c r="I168" i="38" s="1"/>
  <c r="X42" i="27"/>
  <c r="X50" i="27"/>
  <c r="F218" i="38" s="1"/>
  <c r="I218" i="38" s="1"/>
  <c r="X74" i="27"/>
  <c r="X85" i="27"/>
  <c r="Y33" i="27"/>
  <c r="Y41" i="27"/>
  <c r="Y49" i="27"/>
  <c r="Y73" i="27"/>
  <c r="Y84" i="27"/>
  <c r="Y34" i="27"/>
  <c r="Y42" i="27"/>
  <c r="Y50" i="27"/>
  <c r="Y74" i="27"/>
  <c r="Y85" i="27"/>
  <c r="W49" i="27"/>
  <c r="F133" i="38" s="1"/>
  <c r="I133" i="38" s="1"/>
  <c r="W43" i="27"/>
  <c r="F127" i="38" s="1"/>
  <c r="I127" i="38" s="1"/>
  <c r="W86" i="27"/>
  <c r="F169" i="38" s="1"/>
  <c r="I169" i="38" s="1"/>
  <c r="X43" i="27"/>
  <c r="X86" i="27"/>
  <c r="Y35" i="27"/>
  <c r="Y43" i="27"/>
  <c r="Y51" i="27"/>
  <c r="Y75" i="27"/>
  <c r="Y86" i="27"/>
  <c r="W35" i="27"/>
  <c r="F119" i="38" s="1"/>
  <c r="I119" i="38" s="1"/>
  <c r="W75" i="27"/>
  <c r="F159" i="38" s="1"/>
  <c r="I159" i="38" s="1"/>
  <c r="X51" i="27"/>
  <c r="W51" i="27"/>
  <c r="X35" i="27"/>
  <c r="X75" i="27"/>
  <c r="Y36" i="27"/>
  <c r="Y44" i="27"/>
  <c r="Y68" i="27"/>
  <c r="Y76" i="27"/>
  <c r="W36" i="27"/>
  <c r="F120" i="38" s="1"/>
  <c r="I120" i="38" s="1"/>
  <c r="W76" i="27"/>
  <c r="F160" i="38" s="1"/>
  <c r="I160" i="38" s="1"/>
  <c r="X44" i="27"/>
  <c r="F212" i="38" s="1"/>
  <c r="I212" i="38" s="1"/>
  <c r="W28" i="27"/>
  <c r="F112" i="38" s="1"/>
  <c r="I112" i="38" s="1"/>
  <c r="W68" i="27"/>
  <c r="F152" i="38" s="1"/>
  <c r="X36" i="27"/>
  <c r="X68" i="27"/>
  <c r="W33" i="27"/>
  <c r="F117" i="38" s="1"/>
  <c r="X33" i="27"/>
  <c r="W44" i="27"/>
  <c r="X28" i="27"/>
  <c r="X76" i="27"/>
  <c r="W45" i="27"/>
  <c r="X29" i="27"/>
  <c r="X69" i="27"/>
  <c r="F237" i="38" s="1"/>
  <c r="I237" i="38" s="1"/>
  <c r="W29" i="27"/>
  <c r="F113" i="38" s="1"/>
  <c r="I113" i="38" s="1"/>
  <c r="W69" i="27"/>
  <c r="F153" i="38" s="1"/>
  <c r="X37" i="27"/>
  <c r="X77" i="27"/>
  <c r="F245" i="38" s="1"/>
  <c r="I245" i="38" s="1"/>
  <c r="W39" i="27"/>
  <c r="F123" i="38" s="1"/>
  <c r="I123" i="38" s="1"/>
  <c r="X47" i="27"/>
  <c r="X71" i="27"/>
  <c r="W32" i="27"/>
  <c r="W40" i="27"/>
  <c r="F124" i="38" s="1"/>
  <c r="I124" i="38" s="1"/>
  <c r="W48" i="27"/>
  <c r="F132" i="38" s="1"/>
  <c r="I132" i="38" s="1"/>
  <c r="W72" i="27"/>
  <c r="W83" i="27"/>
  <c r="X32" i="27"/>
  <c r="F200" i="38" s="1"/>
  <c r="I200" i="38" s="1"/>
  <c r="X40" i="27"/>
  <c r="X48" i="27"/>
  <c r="X72" i="27"/>
  <c r="X83" i="27"/>
  <c r="Y29" i="27"/>
  <c r="Y37" i="27"/>
  <c r="Y45" i="27"/>
  <c r="Y69" i="27"/>
  <c r="Y77" i="27"/>
  <c r="W37" i="27"/>
  <c r="F121" i="38" s="1"/>
  <c r="I121" i="38" s="1"/>
  <c r="W77" i="27"/>
  <c r="X45" i="27"/>
  <c r="W31" i="27"/>
  <c r="W47" i="27"/>
  <c r="F131" i="38" s="1"/>
  <c r="I131" i="38" s="1"/>
  <c r="W71" i="27"/>
  <c r="F155" i="38" s="1"/>
  <c r="W82" i="27"/>
  <c r="F165" i="38" s="1"/>
  <c r="I165" i="38" s="1"/>
  <c r="X39" i="27"/>
  <c r="X82" i="27"/>
  <c r="Y30" i="27"/>
  <c r="Y38" i="27"/>
  <c r="Y46" i="27"/>
  <c r="Y70" i="27"/>
  <c r="Y78" i="27"/>
  <c r="W34" i="27"/>
  <c r="F118" i="38" s="1"/>
  <c r="I118" i="38" s="1"/>
  <c r="X34" i="27"/>
  <c r="Y31" i="27"/>
  <c r="Y39" i="27"/>
  <c r="Y47" i="27"/>
  <c r="Y71" i="27"/>
  <c r="Y82" i="27"/>
  <c r="W30" i="27"/>
  <c r="F114" i="38" s="1"/>
  <c r="I114" i="38" s="1"/>
  <c r="W38" i="27"/>
  <c r="F122" i="38" s="1"/>
  <c r="I122" i="38" s="1"/>
  <c r="W46" i="27"/>
  <c r="W70" i="27"/>
  <c r="F154" i="38" s="1"/>
  <c r="I154" i="38" s="1"/>
  <c r="W78" i="27"/>
  <c r="F162" i="38" s="1"/>
  <c r="I162" i="38" s="1"/>
  <c r="X30" i="27"/>
  <c r="X38" i="27"/>
  <c r="X46" i="27"/>
  <c r="X70" i="27"/>
  <c r="X78" i="27"/>
  <c r="F246" i="38" s="1"/>
  <c r="I246" i="38" s="1"/>
  <c r="X31" i="27"/>
  <c r="Y32" i="27"/>
  <c r="Y40" i="27"/>
  <c r="Y48" i="27"/>
  <c r="Y72" i="27"/>
  <c r="Y83" i="27"/>
  <c r="N84" i="27"/>
  <c r="N86" i="27"/>
  <c r="O84" i="27"/>
  <c r="O86" i="27"/>
  <c r="N83" i="27"/>
  <c r="N85" i="27"/>
  <c r="O85" i="27"/>
  <c r="E166" i="12"/>
  <c r="M166" i="11" s="1"/>
  <c r="BP166" i="11" s="1"/>
  <c r="G94" i="12"/>
  <c r="N94" i="11" s="1"/>
  <c r="AW94" i="11" s="1"/>
  <c r="G46" i="12"/>
  <c r="N46" i="11" s="1"/>
  <c r="G158" i="12"/>
  <c r="N158" i="11" s="1"/>
  <c r="G134" i="12"/>
  <c r="N134" i="11" s="1"/>
  <c r="AW134" i="11" s="1"/>
  <c r="G93" i="12"/>
  <c r="N93" i="11" s="1"/>
  <c r="AW93" i="11" s="1"/>
  <c r="E15" i="12"/>
  <c r="M15" i="11" s="1"/>
  <c r="BP15" i="11" s="1"/>
  <c r="E143" i="12"/>
  <c r="M143" i="11" s="1"/>
  <c r="BP143" i="11" s="1"/>
  <c r="G110" i="12"/>
  <c r="N110" i="11" s="1"/>
  <c r="G23" i="12"/>
  <c r="N23" i="11" s="1"/>
  <c r="E14" i="12"/>
  <c r="M14" i="11" s="1"/>
  <c r="BP14" i="11" s="1"/>
  <c r="E182" i="12"/>
  <c r="M182" i="11" s="1"/>
  <c r="BP182" i="11" s="1"/>
  <c r="G159" i="12"/>
  <c r="N159" i="11" s="1"/>
  <c r="E31" i="12"/>
  <c r="M31" i="11" s="1"/>
  <c r="BP31" i="11" s="1"/>
  <c r="G70" i="12"/>
  <c r="N70" i="11" s="1"/>
  <c r="G55" i="12"/>
  <c r="N55" i="11" s="1"/>
  <c r="G167" i="12"/>
  <c r="N167" i="11" s="1"/>
  <c r="G150" i="12"/>
  <c r="N150" i="11" s="1"/>
  <c r="G86" i="12"/>
  <c r="N86" i="11" s="1"/>
  <c r="AW86" i="11" s="1"/>
  <c r="G54" i="12"/>
  <c r="N54" i="11" s="1"/>
  <c r="E206" i="12"/>
  <c r="M206" i="11" s="1"/>
  <c r="BP206" i="11" s="1"/>
  <c r="G203" i="12"/>
  <c r="N203" i="11" s="1"/>
  <c r="G126" i="12"/>
  <c r="N126" i="11" s="1"/>
  <c r="AW126" i="11" s="1"/>
  <c r="G103" i="12"/>
  <c r="N103" i="11" s="1"/>
  <c r="AW103" i="11" s="1"/>
  <c r="G87" i="12"/>
  <c r="N87" i="11" s="1"/>
  <c r="AW87" i="11" s="1"/>
  <c r="E214" i="12"/>
  <c r="M214" i="11" s="1"/>
  <c r="BP214" i="11" s="1"/>
  <c r="E198" i="12"/>
  <c r="M198" i="11" s="1"/>
  <c r="BP198" i="11" s="1"/>
  <c r="G142" i="12"/>
  <c r="N142" i="11" s="1"/>
  <c r="E59" i="12"/>
  <c r="M59" i="11" s="1"/>
  <c r="BP59" i="11" s="1"/>
  <c r="G217" i="12"/>
  <c r="N217" i="11" s="1"/>
  <c r="G211" i="12"/>
  <c r="N211" i="11" s="1"/>
  <c r="E187" i="12"/>
  <c r="M187" i="11" s="1"/>
  <c r="BP187" i="11" s="1"/>
  <c r="G155" i="12"/>
  <c r="N155" i="11" s="1"/>
  <c r="G123" i="12"/>
  <c r="N123" i="11" s="1"/>
  <c r="AW123" i="11" s="1"/>
  <c r="E107" i="12"/>
  <c r="M107" i="11" s="1"/>
  <c r="E43" i="12"/>
  <c r="M43" i="11" s="1"/>
  <c r="BP43" i="11" s="1"/>
  <c r="E195" i="12"/>
  <c r="M195" i="11" s="1"/>
  <c r="BP195" i="11" s="1"/>
  <c r="G195" i="12"/>
  <c r="N195" i="11" s="1"/>
  <c r="E179" i="12"/>
  <c r="M179" i="11" s="1"/>
  <c r="BP179" i="11" s="1"/>
  <c r="G179" i="12"/>
  <c r="N179" i="11" s="1"/>
  <c r="E163" i="12"/>
  <c r="M163" i="11" s="1"/>
  <c r="BP163" i="11" s="1"/>
  <c r="G163" i="12"/>
  <c r="N163" i="11" s="1"/>
  <c r="E147" i="12"/>
  <c r="M147" i="11" s="1"/>
  <c r="BP147" i="11" s="1"/>
  <c r="G147" i="12"/>
  <c r="N147" i="11" s="1"/>
  <c r="E139" i="12"/>
  <c r="M139" i="11" s="1"/>
  <c r="BP139" i="11" s="1"/>
  <c r="G139" i="12"/>
  <c r="N139" i="11" s="1"/>
  <c r="E115" i="12"/>
  <c r="M115" i="11" s="1"/>
  <c r="G115" i="12"/>
  <c r="N115" i="11" s="1"/>
  <c r="AW115" i="11" s="1"/>
  <c r="E99" i="12"/>
  <c r="M99" i="11" s="1"/>
  <c r="G99" i="12"/>
  <c r="N99" i="11" s="1"/>
  <c r="AW99" i="11" s="1"/>
  <c r="E75" i="12"/>
  <c r="M75" i="11" s="1"/>
  <c r="G75" i="12"/>
  <c r="N75" i="11" s="1"/>
  <c r="AW75" i="11" s="1"/>
  <c r="E35" i="12"/>
  <c r="M35" i="11" s="1"/>
  <c r="BP35" i="11" s="1"/>
  <c r="G35" i="12"/>
  <c r="N35" i="11" s="1"/>
  <c r="E199" i="12"/>
  <c r="M199" i="11" s="1"/>
  <c r="BP199" i="11" s="1"/>
  <c r="G199" i="12"/>
  <c r="N199" i="11" s="1"/>
  <c r="E151" i="12"/>
  <c r="M151" i="11" s="1"/>
  <c r="BP151" i="11" s="1"/>
  <c r="G151" i="12"/>
  <c r="N151" i="11" s="1"/>
  <c r="E135" i="12"/>
  <c r="M135" i="11" s="1"/>
  <c r="G135" i="12"/>
  <c r="N135" i="11" s="1"/>
  <c r="AW135" i="11" s="1"/>
  <c r="E119" i="12"/>
  <c r="M119" i="11" s="1"/>
  <c r="G119" i="12"/>
  <c r="N119" i="11" s="1"/>
  <c r="AW119" i="11" s="1"/>
  <c r="E111" i="12"/>
  <c r="M111" i="11" s="1"/>
  <c r="BP111" i="11" s="1"/>
  <c r="G111" i="12"/>
  <c r="N111" i="11" s="1"/>
  <c r="E71" i="12"/>
  <c r="M71" i="11" s="1"/>
  <c r="BP71" i="11" s="1"/>
  <c r="G71" i="12"/>
  <c r="N71" i="11" s="1"/>
  <c r="E47" i="12"/>
  <c r="M47" i="11" s="1"/>
  <c r="BP47" i="11" s="1"/>
  <c r="G47" i="12"/>
  <c r="N47" i="11" s="1"/>
  <c r="E7" i="12"/>
  <c r="M7" i="11" s="1"/>
  <c r="BP7" i="11" s="1"/>
  <c r="G7" i="12"/>
  <c r="N7" i="11" s="1"/>
  <c r="G11" i="12"/>
  <c r="N11" i="11" s="1"/>
  <c r="E192" i="12"/>
  <c r="M192" i="11" s="1"/>
  <c r="BP192" i="11" s="1"/>
  <c r="G183" i="12"/>
  <c r="N183" i="11" s="1"/>
  <c r="G2" i="12"/>
  <c r="N2" i="11" s="1"/>
  <c r="G162" i="12"/>
  <c r="N162" i="11" s="1"/>
  <c r="G154" i="12"/>
  <c r="N154" i="11" s="1"/>
  <c r="G138" i="12"/>
  <c r="N138" i="11" s="1"/>
  <c r="G130" i="12"/>
  <c r="N130" i="11" s="1"/>
  <c r="AW130" i="11" s="1"/>
  <c r="G122" i="12"/>
  <c r="N122" i="11" s="1"/>
  <c r="AW122" i="11" s="1"/>
  <c r="G114" i="12"/>
  <c r="N114" i="11" s="1"/>
  <c r="AW114" i="11" s="1"/>
  <c r="G106" i="12"/>
  <c r="N106" i="11" s="1"/>
  <c r="AW106" i="11" s="1"/>
  <c r="G98" i="12"/>
  <c r="N98" i="11" s="1"/>
  <c r="AW98" i="11" s="1"/>
  <c r="G90" i="12"/>
  <c r="N90" i="11" s="1"/>
  <c r="AW90" i="11" s="1"/>
  <c r="G82" i="12"/>
  <c r="N82" i="11" s="1"/>
  <c r="AW82" i="11" s="1"/>
  <c r="G74" i="12"/>
  <c r="N74" i="11" s="1"/>
  <c r="AW74" i="11" s="1"/>
  <c r="G66" i="12"/>
  <c r="N66" i="11" s="1"/>
  <c r="G58" i="12"/>
  <c r="N58" i="11" s="1"/>
  <c r="G50" i="12"/>
  <c r="N50" i="11" s="1"/>
  <c r="G42" i="12"/>
  <c r="N42" i="11" s="1"/>
  <c r="G34" i="12"/>
  <c r="N34" i="11" s="1"/>
  <c r="G26" i="12"/>
  <c r="N26" i="11" s="1"/>
  <c r="G18" i="12"/>
  <c r="N18" i="11" s="1"/>
  <c r="G10" i="12"/>
  <c r="N10" i="11" s="1"/>
  <c r="E146" i="12"/>
  <c r="M146" i="11" s="1"/>
  <c r="BP146" i="11" s="1"/>
  <c r="G170" i="12"/>
  <c r="N170" i="11" s="1"/>
  <c r="G208" i="12"/>
  <c r="N208" i="11" s="1"/>
  <c r="G169" i="12"/>
  <c r="N169" i="11" s="1"/>
  <c r="G161" i="12"/>
  <c r="N161" i="11" s="1"/>
  <c r="G153" i="12"/>
  <c r="N153" i="11" s="1"/>
  <c r="G145" i="12"/>
  <c r="N145" i="11" s="1"/>
  <c r="G137" i="12"/>
  <c r="N137" i="11" s="1"/>
  <c r="AW137" i="11" s="1"/>
  <c r="G129" i="12"/>
  <c r="N129" i="11" s="1"/>
  <c r="AW129" i="11" s="1"/>
  <c r="G121" i="12"/>
  <c r="N121" i="11" s="1"/>
  <c r="AW121" i="11" s="1"/>
  <c r="G113" i="12"/>
  <c r="N113" i="11" s="1"/>
  <c r="G105" i="12"/>
  <c r="N105" i="11" s="1"/>
  <c r="AW105" i="11" s="1"/>
  <c r="G97" i="12"/>
  <c r="N97" i="11" s="1"/>
  <c r="AW97" i="11" s="1"/>
  <c r="G89" i="12"/>
  <c r="N89" i="11" s="1"/>
  <c r="AW89" i="11" s="1"/>
  <c r="G81" i="12"/>
  <c r="N81" i="11" s="1"/>
  <c r="AW81" i="11" s="1"/>
  <c r="G73" i="12"/>
  <c r="N73" i="11" s="1"/>
  <c r="G65" i="12"/>
  <c r="N65" i="11" s="1"/>
  <c r="G57" i="12"/>
  <c r="N57" i="11" s="1"/>
  <c r="G49" i="12"/>
  <c r="N49" i="11" s="1"/>
  <c r="G41" i="12"/>
  <c r="N41" i="11" s="1"/>
  <c r="G33" i="12"/>
  <c r="N33" i="11" s="1"/>
  <c r="G25" i="12"/>
  <c r="N25" i="11" s="1"/>
  <c r="G17" i="12"/>
  <c r="N17" i="11" s="1"/>
  <c r="G9" i="12"/>
  <c r="N9" i="11" s="1"/>
  <c r="G168" i="12"/>
  <c r="N168" i="11" s="1"/>
  <c r="G160" i="12"/>
  <c r="N160" i="11" s="1"/>
  <c r="G152" i="12"/>
  <c r="N152" i="11" s="1"/>
  <c r="G144" i="12"/>
  <c r="N144" i="11" s="1"/>
  <c r="G136" i="12"/>
  <c r="N136" i="11" s="1"/>
  <c r="AW136" i="11" s="1"/>
  <c r="G128" i="12"/>
  <c r="N128" i="11" s="1"/>
  <c r="AW128" i="11" s="1"/>
  <c r="G120" i="12"/>
  <c r="N120" i="11" s="1"/>
  <c r="AW120" i="11" s="1"/>
  <c r="G112" i="12"/>
  <c r="N112" i="11" s="1"/>
  <c r="G104" i="12"/>
  <c r="N104" i="11" s="1"/>
  <c r="AW104" i="11" s="1"/>
  <c r="G96" i="12"/>
  <c r="N96" i="11" s="1"/>
  <c r="AW96" i="11" s="1"/>
  <c r="G88" i="12"/>
  <c r="N88" i="11" s="1"/>
  <c r="AW88" i="11" s="1"/>
  <c r="G80" i="12"/>
  <c r="N80" i="11" s="1"/>
  <c r="AW80" i="11" s="1"/>
  <c r="G72" i="12"/>
  <c r="N72" i="11" s="1"/>
  <c r="G64" i="12"/>
  <c r="N64" i="11" s="1"/>
  <c r="G56" i="12"/>
  <c r="N56" i="11" s="1"/>
  <c r="G48" i="12"/>
  <c r="N48" i="11" s="1"/>
  <c r="G40" i="12"/>
  <c r="N40" i="11" s="1"/>
  <c r="G32" i="12"/>
  <c r="N32" i="11" s="1"/>
  <c r="G24" i="12"/>
  <c r="N24" i="11" s="1"/>
  <c r="G16" i="12"/>
  <c r="N16" i="11" s="1"/>
  <c r="G8" i="12"/>
  <c r="N8" i="11" s="1"/>
  <c r="G191" i="12"/>
  <c r="N191" i="11" s="1"/>
  <c r="G185" i="12"/>
  <c r="N185" i="11" s="1"/>
  <c r="E200" i="12"/>
  <c r="M200" i="11" s="1"/>
  <c r="BP200" i="11" s="1"/>
  <c r="E178" i="12"/>
  <c r="M178" i="11" s="1"/>
  <c r="G193" i="12"/>
  <c r="N193" i="11" s="1"/>
  <c r="G184" i="12"/>
  <c r="N184" i="11" s="1"/>
  <c r="G201" i="12"/>
  <c r="N201" i="11" s="1"/>
  <c r="E210" i="12"/>
  <c r="M210" i="11" s="1"/>
  <c r="BP210" i="11" s="1"/>
  <c r="E186" i="12"/>
  <c r="M186" i="11" s="1"/>
  <c r="BP186" i="11" s="1"/>
  <c r="G209" i="12"/>
  <c r="N209" i="11" s="1"/>
  <c r="G215" i="12"/>
  <c r="N215" i="11" s="1"/>
  <c r="E216" i="12"/>
  <c r="M216" i="11" s="1"/>
  <c r="BP216" i="11" s="1"/>
  <c r="G207" i="12"/>
  <c r="N207" i="11" s="1"/>
  <c r="E194" i="12"/>
  <c r="M194" i="11" s="1"/>
  <c r="BP194" i="11" s="1"/>
  <c r="G202" i="12"/>
  <c r="N202" i="11" s="1"/>
  <c r="G239" i="19"/>
  <c r="G252" i="19"/>
  <c r="G224" i="19"/>
  <c r="G244" i="19"/>
  <c r="G257" i="19"/>
  <c r="G242" i="19"/>
  <c r="G265" i="19"/>
  <c r="G262" i="19"/>
  <c r="G229" i="19"/>
  <c r="G248" i="19"/>
  <c r="G249" i="19"/>
  <c r="B222" i="12"/>
  <c r="G222" i="12" s="1"/>
  <c r="N222" i="11" s="1"/>
  <c r="G222" i="19"/>
  <c r="B230" i="12"/>
  <c r="E230" i="12" s="1"/>
  <c r="M230" i="11" s="1"/>
  <c r="BN230" i="11" s="1"/>
  <c r="G230" i="19"/>
  <c r="B261" i="12"/>
  <c r="E261" i="12" s="1"/>
  <c r="M261" i="11" s="1"/>
  <c r="BP261" i="11" s="1"/>
  <c r="G261" i="19"/>
  <c r="B262" i="12"/>
  <c r="G262" i="12" s="1"/>
  <c r="N262" i="11" s="1"/>
  <c r="G238" i="19"/>
  <c r="G250" i="19"/>
  <c r="B256" i="12"/>
  <c r="G256" i="19"/>
  <c r="B252" i="12"/>
  <c r="E252" i="12" s="1"/>
  <c r="M252" i="11" s="1"/>
  <c r="BP252" i="11" s="1"/>
  <c r="G231" i="19"/>
  <c r="G263" i="19"/>
  <c r="G247" i="19"/>
  <c r="B244" i="12"/>
  <c r="E244" i="12" s="1"/>
  <c r="M244" i="11" s="1"/>
  <c r="BP244" i="11" s="1"/>
  <c r="B221" i="12"/>
  <c r="G221" i="12" s="1"/>
  <c r="N221" i="11" s="1"/>
  <c r="G221" i="19"/>
  <c r="G260" i="19"/>
  <c r="G241" i="19"/>
  <c r="G227" i="19"/>
  <c r="G233" i="19"/>
  <c r="G243" i="19"/>
  <c r="B258" i="12"/>
  <c r="E258" i="12" s="1"/>
  <c r="M258" i="11" s="1"/>
  <c r="BP258" i="11" s="1"/>
  <c r="G258" i="19"/>
  <c r="B248" i="12"/>
  <c r="G248" i="12" s="1"/>
  <c r="N248" i="11" s="1"/>
  <c r="G236" i="19"/>
  <c r="B257" i="12"/>
  <c r="G257" i="12" s="1"/>
  <c r="N257" i="11" s="1"/>
  <c r="G240" i="19"/>
  <c r="B255" i="12"/>
  <c r="E255" i="12" s="1"/>
  <c r="M255" i="11" s="1"/>
  <c r="BP255" i="11" s="1"/>
  <c r="G255" i="19"/>
  <c r="B238" i="12"/>
  <c r="E238" i="12" s="1"/>
  <c r="M238" i="11" s="1"/>
  <c r="BN238" i="11" s="1"/>
  <c r="B247" i="12"/>
  <c r="E247" i="12" s="1"/>
  <c r="M247" i="11" s="1"/>
  <c r="BP247" i="11" s="1"/>
  <c r="G228" i="19"/>
  <c r="B242" i="12"/>
  <c r="G242" i="12" s="1"/>
  <c r="N242" i="11" s="1"/>
  <c r="B220" i="12"/>
  <c r="E220" i="12" s="1"/>
  <c r="M220" i="11" s="1"/>
  <c r="BN220" i="11" s="1"/>
  <c r="G220" i="19"/>
  <c r="B264" i="12"/>
  <c r="E264" i="12" s="1"/>
  <c r="M264" i="11" s="1"/>
  <c r="BP264" i="11" s="1"/>
  <c r="G264" i="19"/>
  <c r="B239" i="12"/>
  <c r="E239" i="12" s="1"/>
  <c r="M239" i="11" s="1"/>
  <c r="BN239" i="11" s="1"/>
  <c r="B254" i="12"/>
  <c r="E254" i="12" s="1"/>
  <c r="M254" i="11" s="1"/>
  <c r="BP254" i="11" s="1"/>
  <c r="G254" i="19"/>
  <c r="B250" i="12"/>
  <c r="G250" i="12" s="1"/>
  <c r="N250" i="11" s="1"/>
  <c r="G223" i="19"/>
  <c r="B219" i="12"/>
  <c r="G219" i="12" s="1"/>
  <c r="N219" i="11" s="1"/>
  <c r="G219" i="19"/>
  <c r="G225" i="19"/>
  <c r="B223" i="12"/>
  <c r="E223" i="12" s="1"/>
  <c r="M223" i="11" s="1"/>
  <c r="BN223" i="11" s="1"/>
  <c r="B233" i="12"/>
  <c r="E233" i="12" s="1"/>
  <c r="M233" i="11" s="1"/>
  <c r="BN233" i="11" s="1"/>
  <c r="B241" i="12"/>
  <c r="E241" i="12" s="1"/>
  <c r="M241" i="11" s="1"/>
  <c r="BN241" i="11" s="1"/>
  <c r="B243" i="12"/>
  <c r="G243" i="12" s="1"/>
  <c r="N243" i="11" s="1"/>
  <c r="B229" i="12"/>
  <c r="G229" i="12" s="1"/>
  <c r="N229" i="11" s="1"/>
  <c r="G237" i="19"/>
  <c r="G226" i="19"/>
  <c r="B224" i="12"/>
  <c r="E224" i="12" s="1"/>
  <c r="M224" i="11" s="1"/>
  <c r="BN224" i="11" s="1"/>
  <c r="B259" i="12"/>
  <c r="E259" i="12" s="1"/>
  <c r="M259" i="11" s="1"/>
  <c r="BP259" i="11" s="1"/>
  <c r="G259" i="19"/>
  <c r="B253" i="12"/>
  <c r="E253" i="12" s="1"/>
  <c r="M253" i="11" s="1"/>
  <c r="BP253" i="11" s="1"/>
  <c r="G253" i="19"/>
  <c r="B251" i="12"/>
  <c r="E251" i="12" s="1"/>
  <c r="M251" i="11" s="1"/>
  <c r="BP251" i="11" s="1"/>
  <c r="G251" i="19"/>
  <c r="B265" i="12"/>
  <c r="E265" i="12" s="1"/>
  <c r="M265" i="11" s="1"/>
  <c r="BP265" i="11" s="1"/>
  <c r="B227" i="12"/>
  <c r="G227" i="12" s="1"/>
  <c r="N227" i="11" s="1"/>
  <c r="B245" i="12"/>
  <c r="E245" i="12" s="1"/>
  <c r="M245" i="11" s="1"/>
  <c r="BP245" i="11" s="1"/>
  <c r="G245" i="19"/>
  <c r="B226" i="12"/>
  <c r="E226" i="12" s="1"/>
  <c r="M226" i="11" s="1"/>
  <c r="BN226" i="11" s="1"/>
  <c r="B234" i="12"/>
  <c r="G234" i="12" s="1"/>
  <c r="N234" i="11" s="1"/>
  <c r="G234" i="19"/>
  <c r="G218" i="19"/>
  <c r="B237" i="12"/>
  <c r="E237" i="12" s="1"/>
  <c r="M237" i="11" s="1"/>
  <c r="BN237" i="11" s="1"/>
  <c r="G235" i="19"/>
  <c r="B235" i="12"/>
  <c r="E235" i="12" s="1"/>
  <c r="M235" i="11" s="1"/>
  <c r="BN235" i="11" s="1"/>
  <c r="G246" i="19"/>
  <c r="B249" i="12"/>
  <c r="G249" i="12" s="1"/>
  <c r="N249" i="11" s="1"/>
  <c r="B231" i="12"/>
  <c r="G231" i="12" s="1"/>
  <c r="N231" i="11" s="1"/>
  <c r="B263" i="12"/>
  <c r="G263" i="12" s="1"/>
  <c r="N263" i="11" s="1"/>
  <c r="B232" i="12"/>
  <c r="G232" i="12" s="1"/>
  <c r="N232" i="11" s="1"/>
  <c r="G232" i="19"/>
  <c r="B246" i="12"/>
  <c r="E246" i="12" s="1"/>
  <c r="M246" i="11" s="1"/>
  <c r="BP246" i="11" s="1"/>
  <c r="B228" i="12"/>
  <c r="E228" i="12" s="1"/>
  <c r="M228" i="11" s="1"/>
  <c r="BN228" i="11" s="1"/>
  <c r="B240" i="12"/>
  <c r="E240" i="12" s="1"/>
  <c r="M240" i="11" s="1"/>
  <c r="BN240" i="11" s="1"/>
  <c r="B225" i="12"/>
  <c r="G225" i="12" s="1"/>
  <c r="N225" i="11" s="1"/>
  <c r="B260" i="12"/>
  <c r="G260" i="12" s="1"/>
  <c r="N260" i="11" s="1"/>
  <c r="B218" i="12"/>
  <c r="G218" i="12" s="1"/>
  <c r="N218" i="11" s="1"/>
  <c r="B236" i="12"/>
  <c r="E236" i="12" s="1"/>
  <c r="M236" i="11" s="1"/>
  <c r="BN236" i="11" s="1"/>
  <c r="AQ196" i="11" l="1"/>
  <c r="AQ157" i="11"/>
  <c r="AP213" i="11"/>
  <c r="AQ131" i="11"/>
  <c r="AM213" i="11"/>
  <c r="AM61" i="11"/>
  <c r="AS213" i="11"/>
  <c r="AY213" i="11"/>
  <c r="AT83" i="11"/>
  <c r="AN101" i="11"/>
  <c r="AT101" i="11"/>
  <c r="AP61" i="11"/>
  <c r="AQ197" i="11"/>
  <c r="AV79" i="11"/>
  <c r="BP79" i="11"/>
  <c r="AM100" i="11"/>
  <c r="BP100" i="11"/>
  <c r="AV99" i="11"/>
  <c r="BP99" i="11"/>
  <c r="AT197" i="11"/>
  <c r="AP13" i="11"/>
  <c r="BP13" i="11"/>
  <c r="AV115" i="11"/>
  <c r="BP115" i="11"/>
  <c r="AS77" i="11"/>
  <c r="AP39" i="11"/>
  <c r="AV95" i="11"/>
  <c r="BP95" i="11"/>
  <c r="AV117" i="11"/>
  <c r="BP117" i="11"/>
  <c r="D58" i="27"/>
  <c r="N394" i="38" s="1"/>
  <c r="BP178" i="11"/>
  <c r="AV91" i="11"/>
  <c r="BP91" i="11"/>
  <c r="AP62" i="11"/>
  <c r="BP62" i="11"/>
  <c r="AV109" i="11"/>
  <c r="BP109" i="11"/>
  <c r="AV119" i="11"/>
  <c r="BP119" i="11"/>
  <c r="AP68" i="11"/>
  <c r="BP68" i="11"/>
  <c r="AV118" i="11"/>
  <c r="BP118" i="11"/>
  <c r="AQ189" i="11"/>
  <c r="AM68" i="11"/>
  <c r="AM91" i="11"/>
  <c r="AM148" i="11"/>
  <c r="BP148" i="11"/>
  <c r="AV135" i="11"/>
  <c r="BP135" i="11"/>
  <c r="AV75" i="11"/>
  <c r="BP75" i="11"/>
  <c r="AV107" i="11"/>
  <c r="BP107" i="11"/>
  <c r="AN44" i="11"/>
  <c r="AM204" i="11"/>
  <c r="AS91" i="11"/>
  <c r="AN92" i="11"/>
  <c r="AP45" i="11"/>
  <c r="BP45" i="11"/>
  <c r="AM21" i="11"/>
  <c r="BP21" i="11"/>
  <c r="AP28" i="11"/>
  <c r="BP28" i="11"/>
  <c r="L74" i="38"/>
  <c r="L45" i="38"/>
  <c r="L11" i="38"/>
  <c r="L49" i="38"/>
  <c r="L17" i="38"/>
  <c r="L3" i="38"/>
  <c r="L39" i="38"/>
  <c r="L14" i="38"/>
  <c r="I28" i="38"/>
  <c r="P28" i="38"/>
  <c r="R28" i="38" s="1"/>
  <c r="N165" i="38"/>
  <c r="N333" i="38"/>
  <c r="N81" i="38"/>
  <c r="P81" i="38" s="1"/>
  <c r="R81" i="38" s="1"/>
  <c r="N249" i="38"/>
  <c r="I117" i="38"/>
  <c r="P117" i="38"/>
  <c r="R117" i="38" s="1"/>
  <c r="I153" i="38"/>
  <c r="I68" i="38"/>
  <c r="V68" i="38"/>
  <c r="X68" i="38" s="1"/>
  <c r="I77" i="38"/>
  <c r="I152" i="38"/>
  <c r="V152" i="38"/>
  <c r="X152" i="38" s="1"/>
  <c r="I157" i="38"/>
  <c r="I78" i="38"/>
  <c r="I70" i="38"/>
  <c r="I155" i="38"/>
  <c r="I72" i="38"/>
  <c r="I71" i="38"/>
  <c r="I69" i="38"/>
  <c r="L31" i="38"/>
  <c r="L71" i="38"/>
  <c r="L6" i="38"/>
  <c r="L26" i="38"/>
  <c r="F85" i="38"/>
  <c r="I85" i="38" s="1"/>
  <c r="L25" i="38"/>
  <c r="L29" i="38"/>
  <c r="L69" i="38"/>
  <c r="L12" i="38"/>
  <c r="L50" i="38"/>
  <c r="L24" i="38"/>
  <c r="L33" i="38"/>
  <c r="L15" i="38"/>
  <c r="L46" i="38"/>
  <c r="L47" i="38"/>
  <c r="L21" i="38"/>
  <c r="L22" i="38"/>
  <c r="L81" i="38"/>
  <c r="L28" i="38"/>
  <c r="L70" i="38"/>
  <c r="L32" i="38"/>
  <c r="L38" i="38"/>
  <c r="L4" i="38"/>
  <c r="L16" i="38"/>
  <c r="L78" i="38"/>
  <c r="L51" i="38"/>
  <c r="L34" i="38"/>
  <c r="L27" i="38"/>
  <c r="L13" i="38"/>
  <c r="L85" i="38"/>
  <c r="L48" i="38"/>
  <c r="L18" i="38"/>
  <c r="L7" i="38"/>
  <c r="L35" i="38"/>
  <c r="L42" i="38"/>
  <c r="L37" i="38"/>
  <c r="L30" i="38"/>
  <c r="L20" i="38"/>
  <c r="L84" i="38"/>
  <c r="L40" i="38"/>
  <c r="L72" i="38"/>
  <c r="L10" i="38"/>
  <c r="L23" i="38"/>
  <c r="L41" i="38"/>
  <c r="L82" i="38"/>
  <c r="L19" i="38"/>
  <c r="L8" i="38"/>
  <c r="AN125" i="11"/>
  <c r="AQ84" i="11"/>
  <c r="AQ83" i="11"/>
  <c r="L260" i="38"/>
  <c r="L293" i="38"/>
  <c r="F255" i="38"/>
  <c r="I255" i="38" s="1"/>
  <c r="F258" i="38"/>
  <c r="I258" i="38" s="1"/>
  <c r="F356" i="38"/>
  <c r="I356" i="38" s="1"/>
  <c r="L353" i="38"/>
  <c r="F347" i="38"/>
  <c r="I347" i="38" s="1"/>
  <c r="F349" i="38"/>
  <c r="I349" i="38" s="1"/>
  <c r="F351" i="38"/>
  <c r="I351" i="38" s="1"/>
  <c r="F174" i="38"/>
  <c r="I174" i="38" s="1"/>
  <c r="L215" i="38"/>
  <c r="F284" i="38"/>
  <c r="I284" i="38" s="1"/>
  <c r="F204" i="38"/>
  <c r="I204" i="38" s="1"/>
  <c r="L194" i="38"/>
  <c r="F216" i="38"/>
  <c r="I216" i="38" s="1"/>
  <c r="F199" i="38"/>
  <c r="I199" i="38" s="1"/>
  <c r="F215" i="38"/>
  <c r="I215" i="38" s="1"/>
  <c r="F324" i="38"/>
  <c r="F299" i="38"/>
  <c r="I299" i="38" s="1"/>
  <c r="F213" i="38"/>
  <c r="I213" i="38" s="1"/>
  <c r="F328" i="38"/>
  <c r="F211" i="38"/>
  <c r="I211" i="38" s="1"/>
  <c r="F239" i="38"/>
  <c r="F337" i="38"/>
  <c r="I337" i="38" s="1"/>
  <c r="L210" i="38"/>
  <c r="F321" i="38"/>
  <c r="F244" i="38"/>
  <c r="F303" i="38"/>
  <c r="I303" i="38" s="1"/>
  <c r="F336" i="38"/>
  <c r="I336" i="38" s="1"/>
  <c r="F386" i="38"/>
  <c r="I386" i="38" s="1"/>
  <c r="F360" i="38"/>
  <c r="I360" i="38" s="1"/>
  <c r="F175" i="38"/>
  <c r="I175" i="38" s="1"/>
  <c r="F359" i="38"/>
  <c r="I359" i="38" s="1"/>
  <c r="L261" i="38"/>
  <c r="L277" i="38"/>
  <c r="L203" i="38"/>
  <c r="L289" i="38"/>
  <c r="L350" i="38"/>
  <c r="F355" i="38"/>
  <c r="I355" i="38" s="1"/>
  <c r="L326" i="38"/>
  <c r="L418" i="38"/>
  <c r="L339" i="38"/>
  <c r="F345" i="38"/>
  <c r="I345" i="38" s="1"/>
  <c r="L322" i="38"/>
  <c r="L407" i="38"/>
  <c r="L384" i="38"/>
  <c r="L352" i="38"/>
  <c r="L346" i="38"/>
  <c r="F325" i="38"/>
  <c r="L321" i="38"/>
  <c r="L385" i="38"/>
  <c r="F326" i="38"/>
  <c r="L413" i="38"/>
  <c r="L271" i="38"/>
  <c r="L382" i="38"/>
  <c r="L199" i="38"/>
  <c r="F365" i="38"/>
  <c r="I365" i="38" s="1"/>
  <c r="F268" i="38"/>
  <c r="I268" i="38" s="1"/>
  <c r="F362" i="38"/>
  <c r="I362" i="38" s="1"/>
  <c r="L288" i="38"/>
  <c r="L290" i="38"/>
  <c r="L201" i="38"/>
  <c r="L363" i="38"/>
  <c r="L256" i="38"/>
  <c r="L299" i="38"/>
  <c r="L274" i="38"/>
  <c r="L209" i="38"/>
  <c r="L338" i="38"/>
  <c r="F214" i="38"/>
  <c r="I214" i="38" s="1"/>
  <c r="F289" i="38"/>
  <c r="I289" i="38" s="1"/>
  <c r="F273" i="38"/>
  <c r="I273" i="38" s="1"/>
  <c r="L273" i="38"/>
  <c r="L421" i="38"/>
  <c r="F300" i="38"/>
  <c r="I300" i="38" s="1"/>
  <c r="F344" i="38"/>
  <c r="I344" i="38" s="1"/>
  <c r="L197" i="38"/>
  <c r="L368" i="38"/>
  <c r="L333" i="38"/>
  <c r="L218" i="38"/>
  <c r="L178" i="38"/>
  <c r="F198" i="38"/>
  <c r="I198" i="38" s="1"/>
  <c r="F240" i="38"/>
  <c r="F335" i="38"/>
  <c r="I335" i="38" s="1"/>
  <c r="F195" i="38"/>
  <c r="I195" i="38" s="1"/>
  <c r="L380" i="38"/>
  <c r="L372" i="38"/>
  <c r="L297" i="38"/>
  <c r="L214" i="38"/>
  <c r="F238" i="38"/>
  <c r="F283" i="38"/>
  <c r="I283" i="38" s="1"/>
  <c r="F296" i="38"/>
  <c r="I296" i="38" s="1"/>
  <c r="F364" i="38"/>
  <c r="I364" i="38" s="1"/>
  <c r="F170" i="38"/>
  <c r="I170" i="38" s="1"/>
  <c r="F342" i="38"/>
  <c r="I342" i="38" s="1"/>
  <c r="L296" i="38"/>
  <c r="L371" i="38"/>
  <c r="L411" i="38"/>
  <c r="L356" i="38"/>
  <c r="L258" i="38"/>
  <c r="L280" i="38"/>
  <c r="F411" i="38"/>
  <c r="F290" i="38"/>
  <c r="I290" i="38" s="1"/>
  <c r="F249" i="38"/>
  <c r="I249" i="38" s="1"/>
  <c r="F256" i="38"/>
  <c r="I256" i="38" s="1"/>
  <c r="L387" i="38"/>
  <c r="L325" i="38"/>
  <c r="L377" i="38"/>
  <c r="L330" i="38"/>
  <c r="L245" i="38"/>
  <c r="L183" i="38"/>
  <c r="L263" i="38"/>
  <c r="L275" i="38"/>
  <c r="L374" i="38"/>
  <c r="L336" i="38"/>
  <c r="L207" i="38"/>
  <c r="L181" i="38"/>
  <c r="F171" i="38"/>
  <c r="I171" i="38" s="1"/>
  <c r="L253" i="38"/>
  <c r="L239" i="38"/>
  <c r="L216" i="38"/>
  <c r="L324" i="38"/>
  <c r="L344" i="38"/>
  <c r="F203" i="38"/>
  <c r="I203" i="38" s="1"/>
  <c r="F285" i="38"/>
  <c r="I285" i="38" s="1"/>
  <c r="F378" i="38"/>
  <c r="I378" i="38" s="1"/>
  <c r="F382" i="38"/>
  <c r="I382" i="38" s="1"/>
  <c r="F178" i="38"/>
  <c r="I178" i="38" s="1"/>
  <c r="L185" i="38"/>
  <c r="F267" i="38"/>
  <c r="I267" i="38" s="1"/>
  <c r="L219" i="38"/>
  <c r="L320" i="38"/>
  <c r="L414" i="38"/>
  <c r="L285" i="38"/>
  <c r="L281" i="38"/>
  <c r="L195" i="38"/>
  <c r="L291" i="38"/>
  <c r="L342" i="38"/>
  <c r="F293" i="38"/>
  <c r="I293" i="38" s="1"/>
  <c r="F250" i="38"/>
  <c r="I250" i="38" s="1"/>
  <c r="F217" i="38"/>
  <c r="I217" i="38" s="1"/>
  <c r="F419" i="38"/>
  <c r="I419" i="38" s="1"/>
  <c r="F408" i="38"/>
  <c r="F375" i="38"/>
  <c r="I375" i="38" s="1"/>
  <c r="F413" i="38"/>
  <c r="F179" i="38"/>
  <c r="I179" i="38" s="1"/>
  <c r="F191" i="38"/>
  <c r="I191" i="38" s="1"/>
  <c r="F350" i="38"/>
  <c r="I350" i="38" s="1"/>
  <c r="L370" i="38"/>
  <c r="L334" i="38"/>
  <c r="L269" i="38"/>
  <c r="L341" i="38"/>
  <c r="L376" i="38"/>
  <c r="L182" i="38"/>
  <c r="L192" i="38"/>
  <c r="L270" i="38"/>
  <c r="F286" i="38"/>
  <c r="I286" i="38" s="1"/>
  <c r="F292" i="38"/>
  <c r="I292" i="38" s="1"/>
  <c r="F291" i="38"/>
  <c r="I291" i="38" s="1"/>
  <c r="F343" i="38"/>
  <c r="I343" i="38" s="1"/>
  <c r="F264" i="38"/>
  <c r="I264" i="38" s="1"/>
  <c r="F340" i="38"/>
  <c r="I340" i="38" s="1"/>
  <c r="F363" i="38"/>
  <c r="I363" i="38" s="1"/>
  <c r="F358" i="38"/>
  <c r="I358" i="38" s="1"/>
  <c r="L202" i="38"/>
  <c r="L294" i="38"/>
  <c r="L328" i="38"/>
  <c r="L217" i="38"/>
  <c r="L335" i="38"/>
  <c r="L175" i="38"/>
  <c r="L198" i="38"/>
  <c r="F271" i="38"/>
  <c r="I271" i="38" s="1"/>
  <c r="L292" i="38"/>
  <c r="F261" i="38"/>
  <c r="I261" i="38" s="1"/>
  <c r="F193" i="38"/>
  <c r="I193" i="38" s="1"/>
  <c r="F353" i="38"/>
  <c r="I353" i="38" s="1"/>
  <c r="L170" i="38"/>
  <c r="L266" i="38"/>
  <c r="L417" i="38"/>
  <c r="L302" i="38"/>
  <c r="L92" i="38"/>
  <c r="L276" i="38"/>
  <c r="L354" i="38"/>
  <c r="F341" i="38"/>
  <c r="I341" i="38" s="1"/>
  <c r="L242" i="38"/>
  <c r="F380" i="38"/>
  <c r="I380" i="38" s="1"/>
  <c r="F282" i="38"/>
  <c r="I282" i="38" s="1"/>
  <c r="F161" i="38"/>
  <c r="F116" i="38"/>
  <c r="I116" i="38" s="1"/>
  <c r="F236" i="38"/>
  <c r="F320" i="38"/>
  <c r="F210" i="38"/>
  <c r="I210" i="38" s="1"/>
  <c r="F209" i="38"/>
  <c r="I209" i="38" s="1"/>
  <c r="F372" i="38"/>
  <c r="I372" i="38" s="1"/>
  <c r="F409" i="38"/>
  <c r="F384" i="38"/>
  <c r="I384" i="38" s="1"/>
  <c r="F367" i="38"/>
  <c r="I367" i="38" s="1"/>
  <c r="F405" i="38"/>
  <c r="F96" i="38"/>
  <c r="I96" i="38" s="1"/>
  <c r="F262" i="38"/>
  <c r="I262" i="38" s="1"/>
  <c r="F354" i="38"/>
  <c r="I354" i="38" s="1"/>
  <c r="L286" i="38"/>
  <c r="L204" i="38"/>
  <c r="L241" i="38"/>
  <c r="L99" i="38"/>
  <c r="L409" i="38"/>
  <c r="L379" i="38"/>
  <c r="L259" i="38"/>
  <c r="L381" i="38"/>
  <c r="L171" i="38"/>
  <c r="L237" i="38"/>
  <c r="L282" i="38"/>
  <c r="L298" i="38"/>
  <c r="L340" i="38"/>
  <c r="L188" i="38"/>
  <c r="F90" i="38"/>
  <c r="I90" i="38" s="1"/>
  <c r="L406" i="38"/>
  <c r="L115" i="38"/>
  <c r="L383" i="38"/>
  <c r="L189" i="38"/>
  <c r="L337" i="38"/>
  <c r="L408" i="38"/>
  <c r="L329" i="38"/>
  <c r="F87" i="38"/>
  <c r="I87" i="38" s="1"/>
  <c r="L378" i="38"/>
  <c r="F197" i="38"/>
  <c r="I197" i="38" s="1"/>
  <c r="F420" i="38"/>
  <c r="I420" i="38" s="1"/>
  <c r="F385" i="38"/>
  <c r="I385" i="38" s="1"/>
  <c r="F376" i="38"/>
  <c r="I376" i="38" s="1"/>
  <c r="F280" i="38"/>
  <c r="I280" i="38" s="1"/>
  <c r="F381" i="38"/>
  <c r="I381" i="38" s="1"/>
  <c r="F105" i="38"/>
  <c r="I105" i="38" s="1"/>
  <c r="F92" i="38"/>
  <c r="I92" i="38" s="1"/>
  <c r="L369" i="38"/>
  <c r="L365" i="38"/>
  <c r="L355" i="38"/>
  <c r="F257" i="38"/>
  <c r="I257" i="38" s="1"/>
  <c r="L264" i="38"/>
  <c r="L104" i="38"/>
  <c r="L284" i="38"/>
  <c r="L358" i="38"/>
  <c r="L249" i="38"/>
  <c r="L134" i="38"/>
  <c r="L184" i="38"/>
  <c r="L108" i="38"/>
  <c r="L94" i="38"/>
  <c r="F254" i="38"/>
  <c r="I254" i="38" s="1"/>
  <c r="F184" i="38"/>
  <c r="I184" i="38" s="1"/>
  <c r="L250" i="38"/>
  <c r="L119" i="38"/>
  <c r="F130" i="38"/>
  <c r="I130" i="38" s="1"/>
  <c r="F202" i="38"/>
  <c r="I202" i="38" s="1"/>
  <c r="F207" i="38"/>
  <c r="I207" i="38" s="1"/>
  <c r="F329" i="38"/>
  <c r="F208" i="38"/>
  <c r="I208" i="38" s="1"/>
  <c r="F129" i="38"/>
  <c r="I129" i="38" s="1"/>
  <c r="F288" i="38"/>
  <c r="I288" i="38" s="1"/>
  <c r="F327" i="38"/>
  <c r="F301" i="38"/>
  <c r="I301" i="38" s="1"/>
  <c r="F421" i="38"/>
  <c r="I421" i="38" s="1"/>
  <c r="F410" i="38"/>
  <c r="F377" i="38"/>
  <c r="I377" i="38" s="1"/>
  <c r="F368" i="38"/>
  <c r="I368" i="38" s="1"/>
  <c r="F414" i="38"/>
  <c r="F373" i="38"/>
  <c r="I373" i="38" s="1"/>
  <c r="F259" i="38"/>
  <c r="I259" i="38" s="1"/>
  <c r="F185" i="38"/>
  <c r="I185" i="38" s="1"/>
  <c r="F176" i="38"/>
  <c r="I176" i="38" s="1"/>
  <c r="F263" i="38"/>
  <c r="I263" i="38" s="1"/>
  <c r="L212" i="38"/>
  <c r="L404" i="38"/>
  <c r="L135" i="38"/>
  <c r="L118" i="38"/>
  <c r="L267" i="38"/>
  <c r="L213" i="38"/>
  <c r="L347" i="38"/>
  <c r="L187" i="38"/>
  <c r="L130" i="38"/>
  <c r="F188" i="38"/>
  <c r="I188" i="38" s="1"/>
  <c r="L238" i="38"/>
  <c r="L283" i="38"/>
  <c r="L131" i="38"/>
  <c r="L357" i="38"/>
  <c r="F265" i="38"/>
  <c r="I265" i="38" s="1"/>
  <c r="L125" i="38"/>
  <c r="L303" i="38"/>
  <c r="F134" i="38"/>
  <c r="I134" i="38" s="1"/>
  <c r="F369" i="38"/>
  <c r="I369" i="38" s="1"/>
  <c r="F406" i="38"/>
  <c r="F173" i="38"/>
  <c r="I173" i="38" s="1"/>
  <c r="L345" i="38"/>
  <c r="L361" i="38"/>
  <c r="L236" i="38"/>
  <c r="L373" i="38"/>
  <c r="L129" i="38"/>
  <c r="L405" i="38"/>
  <c r="L180" i="38"/>
  <c r="F192" i="38"/>
  <c r="I192" i="38" s="1"/>
  <c r="L420" i="38"/>
  <c r="L375" i="38"/>
  <c r="L265" i="38"/>
  <c r="L323" i="38"/>
  <c r="L116" i="38"/>
  <c r="L300" i="38"/>
  <c r="L174" i="38"/>
  <c r="L386" i="38"/>
  <c r="L268" i="38"/>
  <c r="F177" i="38"/>
  <c r="I177" i="38" s="1"/>
  <c r="F274" i="38"/>
  <c r="I274" i="38" s="1"/>
  <c r="L262" i="38"/>
  <c r="L110" i="38"/>
  <c r="L133" i="38"/>
  <c r="L177" i="38"/>
  <c r="F330" i="38"/>
  <c r="F297" i="38"/>
  <c r="I297" i="38" s="1"/>
  <c r="F295" i="38"/>
  <c r="I295" i="38" s="1"/>
  <c r="F387" i="38"/>
  <c r="I387" i="38" s="1"/>
  <c r="F417" i="38"/>
  <c r="I417" i="38" s="1"/>
  <c r="L295" i="38"/>
  <c r="L251" i="38"/>
  <c r="L126" i="38"/>
  <c r="F361" i="38"/>
  <c r="I361" i="38" s="1"/>
  <c r="F181" i="38"/>
  <c r="I181" i="38" s="1"/>
  <c r="F275" i="38"/>
  <c r="I275" i="38" s="1"/>
  <c r="L196" i="38"/>
  <c r="L186" i="38"/>
  <c r="L362" i="38"/>
  <c r="F338" i="38"/>
  <c r="I338" i="38" s="1"/>
  <c r="F183" i="38"/>
  <c r="I183" i="38" s="1"/>
  <c r="F334" i="38"/>
  <c r="I334" i="38" s="1"/>
  <c r="F333" i="38"/>
  <c r="I333" i="38" s="1"/>
  <c r="F322" i="38"/>
  <c r="F156" i="38"/>
  <c r="I205" i="38"/>
  <c r="F128" i="38"/>
  <c r="I128" i="38" s="1"/>
  <c r="F135" i="38"/>
  <c r="I135" i="38" s="1"/>
  <c r="F287" i="38"/>
  <c r="I287" i="38" s="1"/>
  <c r="F302" i="38"/>
  <c r="I302" i="38" s="1"/>
  <c r="F252" i="38"/>
  <c r="I252" i="38" s="1"/>
  <c r="F251" i="38"/>
  <c r="I251" i="38" s="1"/>
  <c r="F412" i="38"/>
  <c r="F379" i="38"/>
  <c r="I379" i="38" s="1"/>
  <c r="F370" i="38"/>
  <c r="I370" i="38" s="1"/>
  <c r="F407" i="38"/>
  <c r="F374" i="38"/>
  <c r="I374" i="38" s="1"/>
  <c r="F107" i="38"/>
  <c r="I107" i="38" s="1"/>
  <c r="F172" i="38"/>
  <c r="I172" i="38" s="1"/>
  <c r="F189" i="38"/>
  <c r="I189" i="38" s="1"/>
  <c r="F103" i="38"/>
  <c r="I103" i="38" s="1"/>
  <c r="F357" i="38"/>
  <c r="I357" i="38" s="1"/>
  <c r="F180" i="38"/>
  <c r="I180" i="38" s="1"/>
  <c r="F266" i="38"/>
  <c r="I266" i="38" s="1"/>
  <c r="L101" i="38"/>
  <c r="L343" i="38"/>
  <c r="L410" i="38"/>
  <c r="L287" i="38"/>
  <c r="L412" i="38"/>
  <c r="L351" i="38"/>
  <c r="L327" i="38"/>
  <c r="L301" i="38"/>
  <c r="L419" i="38"/>
  <c r="L191" i="38"/>
  <c r="L205" i="38"/>
  <c r="L255" i="38"/>
  <c r="L179" i="38"/>
  <c r="L279" i="38"/>
  <c r="L366" i="38"/>
  <c r="L348" i="38"/>
  <c r="F278" i="38"/>
  <c r="I278" i="38" s="1"/>
  <c r="L349" i="38"/>
  <c r="F272" i="38"/>
  <c r="I272" i="38" s="1"/>
  <c r="L155" i="38"/>
  <c r="L208" i="38"/>
  <c r="L190" i="38"/>
  <c r="L240" i="38"/>
  <c r="F186" i="38"/>
  <c r="I186" i="38" s="1"/>
  <c r="F86" i="38"/>
  <c r="I86" i="38" s="1"/>
  <c r="L112" i="38"/>
  <c r="L278" i="38"/>
  <c r="F187" i="38"/>
  <c r="I187" i="38" s="1"/>
  <c r="L193" i="38"/>
  <c r="F243" i="38"/>
  <c r="F125" i="38"/>
  <c r="I125" i="38" s="1"/>
  <c r="F166" i="38"/>
  <c r="I166" i="38" s="1"/>
  <c r="F196" i="38"/>
  <c r="I196" i="38" s="1"/>
  <c r="F206" i="38"/>
  <c r="I206" i="38" s="1"/>
  <c r="F323" i="38"/>
  <c r="F298" i="38"/>
  <c r="I298" i="38" s="1"/>
  <c r="F115" i="38"/>
  <c r="I115" i="38" s="1"/>
  <c r="F281" i="38"/>
  <c r="I281" i="38" s="1"/>
  <c r="F201" i="38"/>
  <c r="I201" i="38" s="1"/>
  <c r="F219" i="38"/>
  <c r="I219" i="38" s="1"/>
  <c r="F253" i="38"/>
  <c r="I253" i="38" s="1"/>
  <c r="F294" i="38"/>
  <c r="I294" i="38" s="1"/>
  <c r="F242" i="38"/>
  <c r="F241" i="38"/>
  <c r="F404" i="38"/>
  <c r="F371" i="38"/>
  <c r="I371" i="38" s="1"/>
  <c r="F418" i="38"/>
  <c r="I418" i="38" s="1"/>
  <c r="F383" i="38"/>
  <c r="I383" i="38" s="1"/>
  <c r="F366" i="38"/>
  <c r="I366" i="38" s="1"/>
  <c r="F277" i="38"/>
  <c r="I277" i="38" s="1"/>
  <c r="F94" i="38"/>
  <c r="I94" i="38" s="1"/>
  <c r="F348" i="38"/>
  <c r="I348" i="38" s="1"/>
  <c r="L91" i="38"/>
  <c r="L359" i="38"/>
  <c r="L244" i="38"/>
  <c r="L246" i="38"/>
  <c r="L117" i="38"/>
  <c r="L121" i="38"/>
  <c r="L95" i="38"/>
  <c r="L114" i="38"/>
  <c r="L206" i="38"/>
  <c r="L172" i="38"/>
  <c r="L272" i="38"/>
  <c r="L254" i="38"/>
  <c r="L168" i="38"/>
  <c r="L367" i="38"/>
  <c r="L173" i="38"/>
  <c r="F279" i="38"/>
  <c r="I279" i="38" s="1"/>
  <c r="L124" i="38"/>
  <c r="L156" i="38"/>
  <c r="L176" i="38"/>
  <c r="L360" i="38"/>
  <c r="L364" i="38"/>
  <c r="F346" i="38"/>
  <c r="I346" i="38" s="1"/>
  <c r="F260" i="38"/>
  <c r="I260" i="38" s="1"/>
  <c r="P71" i="38"/>
  <c r="R71" i="38" s="1"/>
  <c r="P77" i="38"/>
  <c r="R77" i="38" s="1"/>
  <c r="P51" i="38"/>
  <c r="R51" i="38" s="1"/>
  <c r="P75" i="38"/>
  <c r="R75" i="38" s="1"/>
  <c r="P29" i="38"/>
  <c r="R29" i="38" s="1"/>
  <c r="P68" i="38"/>
  <c r="R68" i="38" s="1"/>
  <c r="P30" i="38"/>
  <c r="R30" i="38" s="1"/>
  <c r="P72" i="38"/>
  <c r="R72" i="38" s="1"/>
  <c r="P131" i="38"/>
  <c r="R131" i="38" s="1"/>
  <c r="P284" i="38"/>
  <c r="R284" i="38" s="1"/>
  <c r="P158" i="38"/>
  <c r="R158" i="38" s="1"/>
  <c r="P159" i="38"/>
  <c r="R159" i="38" s="1"/>
  <c r="P78" i="38"/>
  <c r="R78" i="38" s="1"/>
  <c r="P133" i="38"/>
  <c r="R133" i="38" s="1"/>
  <c r="P120" i="38"/>
  <c r="R120" i="38" s="1"/>
  <c r="T61" i="27"/>
  <c r="P37" i="38"/>
  <c r="R37" i="38" s="1"/>
  <c r="P237" i="38"/>
  <c r="R237" i="38" s="1"/>
  <c r="P74" i="38"/>
  <c r="R74" i="38" s="1"/>
  <c r="P200" i="38"/>
  <c r="R200" i="38" s="1"/>
  <c r="P160" i="38"/>
  <c r="R160" i="38" s="1"/>
  <c r="P48" i="38"/>
  <c r="R48" i="38" s="1"/>
  <c r="P154" i="38"/>
  <c r="R154" i="38" s="1"/>
  <c r="P122" i="38"/>
  <c r="R122" i="38" s="1"/>
  <c r="P212" i="38"/>
  <c r="R212" i="38" s="1"/>
  <c r="P44" i="38"/>
  <c r="R44" i="38" s="1"/>
  <c r="P152" i="38"/>
  <c r="R152" i="38" s="1"/>
  <c r="P40" i="38"/>
  <c r="R40" i="38" s="1"/>
  <c r="P157" i="38"/>
  <c r="R157" i="38" s="1"/>
  <c r="P162" i="38"/>
  <c r="R162" i="38" s="1"/>
  <c r="P42" i="38"/>
  <c r="R42" i="38" s="1"/>
  <c r="P69" i="38"/>
  <c r="R69" i="38" s="1"/>
  <c r="P43" i="38"/>
  <c r="R43" i="38" s="1"/>
  <c r="P38" i="38"/>
  <c r="R38" i="38" s="1"/>
  <c r="P165" i="38"/>
  <c r="R165" i="38" s="1"/>
  <c r="P31" i="38"/>
  <c r="R31" i="38" s="1"/>
  <c r="P41" i="38"/>
  <c r="R41" i="38" s="1"/>
  <c r="P50" i="38"/>
  <c r="R50" i="38" s="1"/>
  <c r="P76" i="38"/>
  <c r="R76" i="38" s="1"/>
  <c r="P47" i="38"/>
  <c r="R47" i="38" s="1"/>
  <c r="AE61" i="27"/>
  <c r="P49" i="38"/>
  <c r="R49" i="38" s="1"/>
  <c r="P246" i="38"/>
  <c r="R246" i="38" s="1"/>
  <c r="P118" i="38"/>
  <c r="R118" i="38" s="1"/>
  <c r="P119" i="38"/>
  <c r="R119" i="38" s="1"/>
  <c r="P36" i="38"/>
  <c r="R36" i="38" s="1"/>
  <c r="P113" i="38"/>
  <c r="R113" i="38" s="1"/>
  <c r="P114" i="38"/>
  <c r="R114" i="38" s="1"/>
  <c r="P155" i="38"/>
  <c r="R155" i="38" s="1"/>
  <c r="P39" i="38"/>
  <c r="R39" i="38" s="1"/>
  <c r="AM77" i="11"/>
  <c r="AV77" i="11"/>
  <c r="AT125" i="11"/>
  <c r="AW125" i="11"/>
  <c r="T62" i="27" s="1"/>
  <c r="Z62" i="27" s="1"/>
  <c r="P245" i="38"/>
  <c r="R245" i="38" s="1"/>
  <c r="P124" i="38"/>
  <c r="R124" i="38" s="1"/>
  <c r="P33" i="38"/>
  <c r="R33" i="38" s="1"/>
  <c r="P35" i="38"/>
  <c r="R35" i="38" s="1"/>
  <c r="P126" i="38"/>
  <c r="R126" i="38" s="1"/>
  <c r="P127" i="38"/>
  <c r="R127" i="38" s="1"/>
  <c r="P73" i="38"/>
  <c r="R73" i="38" s="1"/>
  <c r="P46" i="38"/>
  <c r="R46" i="38" s="1"/>
  <c r="P32" i="38"/>
  <c r="R32" i="38" s="1"/>
  <c r="P218" i="38"/>
  <c r="R218" i="38" s="1"/>
  <c r="P123" i="38"/>
  <c r="R123" i="38" s="1"/>
  <c r="P132" i="38"/>
  <c r="R132" i="38" s="1"/>
  <c r="P70" i="38"/>
  <c r="R70" i="38" s="1"/>
  <c r="P34" i="38"/>
  <c r="R34" i="38" s="1"/>
  <c r="P112" i="38"/>
  <c r="R112" i="38" s="1"/>
  <c r="P153" i="38"/>
  <c r="R153" i="38" s="1"/>
  <c r="P45" i="38"/>
  <c r="R45" i="38" s="1"/>
  <c r="P121" i="38"/>
  <c r="R121" i="38" s="1"/>
  <c r="AP254" i="11"/>
  <c r="AS254" i="11"/>
  <c r="AM254" i="11"/>
  <c r="AS247" i="11"/>
  <c r="AM247" i="11"/>
  <c r="AJ247" i="11"/>
  <c r="AP247" i="11"/>
  <c r="AT221" i="11"/>
  <c r="AQ221" i="11"/>
  <c r="AN221" i="11"/>
  <c r="AK221" i="11"/>
  <c r="AT222" i="11"/>
  <c r="AQ222" i="11"/>
  <c r="AN222" i="11"/>
  <c r="AK222" i="11"/>
  <c r="AZ215" i="11"/>
  <c r="AT215" i="11"/>
  <c r="AQ215" i="11"/>
  <c r="AN215" i="11"/>
  <c r="AY200" i="11"/>
  <c r="AS200" i="11"/>
  <c r="AM200" i="11"/>
  <c r="AP200" i="11"/>
  <c r="AQ48" i="11"/>
  <c r="AN48" i="11"/>
  <c r="AQ112" i="11"/>
  <c r="AT112" i="11"/>
  <c r="AN112" i="11"/>
  <c r="AQ9" i="11"/>
  <c r="AN9" i="11"/>
  <c r="AQ73" i="11"/>
  <c r="AN73" i="11"/>
  <c r="AQ137" i="11"/>
  <c r="AT137" i="11"/>
  <c r="AN137" i="11"/>
  <c r="AQ10" i="11"/>
  <c r="AN10" i="11"/>
  <c r="AT74" i="11"/>
  <c r="AN74" i="11"/>
  <c r="D61" i="27"/>
  <c r="AQ74" i="11"/>
  <c r="AT138" i="11"/>
  <c r="AQ138" i="11"/>
  <c r="AN138" i="11"/>
  <c r="AM7" i="11"/>
  <c r="AP7" i="11"/>
  <c r="AS119" i="11"/>
  <c r="AP119" i="11"/>
  <c r="AM119" i="11"/>
  <c r="AP35" i="11"/>
  <c r="AM35" i="11"/>
  <c r="AS139" i="11"/>
  <c r="AP139" i="11"/>
  <c r="AM139" i="11"/>
  <c r="AY195" i="11"/>
  <c r="AS195" i="11"/>
  <c r="AM195" i="11"/>
  <c r="AP195" i="11"/>
  <c r="AM59" i="11"/>
  <c r="AP59" i="11"/>
  <c r="AP206" i="11"/>
  <c r="AY206" i="11"/>
  <c r="AS206" i="11"/>
  <c r="AM206" i="11"/>
  <c r="AT159" i="11"/>
  <c r="AQ159" i="11"/>
  <c r="AN159" i="11"/>
  <c r="AT134" i="11"/>
  <c r="AQ134" i="11"/>
  <c r="AN134" i="11"/>
  <c r="AS228" i="11"/>
  <c r="AM228" i="11"/>
  <c r="AP228" i="11"/>
  <c r="AJ228" i="11"/>
  <c r="AS235" i="11"/>
  <c r="AP235" i="11"/>
  <c r="AM235" i="11"/>
  <c r="AJ235" i="11"/>
  <c r="AS245" i="11"/>
  <c r="AP245" i="11"/>
  <c r="AM245" i="11"/>
  <c r="AJ245" i="11"/>
  <c r="AS259" i="11"/>
  <c r="AP259" i="11"/>
  <c r="AM259" i="11"/>
  <c r="AS223" i="11"/>
  <c r="AM223" i="11"/>
  <c r="AJ223" i="11"/>
  <c r="AP223" i="11"/>
  <c r="AS239" i="11"/>
  <c r="AP239" i="11"/>
  <c r="AM239" i="11"/>
  <c r="AJ239" i="11"/>
  <c r="AP238" i="11"/>
  <c r="AS238" i="11"/>
  <c r="AM238" i="11"/>
  <c r="AJ238" i="11"/>
  <c r="AP258" i="11"/>
  <c r="AS258" i="11"/>
  <c r="AM258" i="11"/>
  <c r="AS244" i="11"/>
  <c r="AP244" i="11"/>
  <c r="AM244" i="11"/>
  <c r="AJ244" i="11"/>
  <c r="AZ209" i="11"/>
  <c r="AT209" i="11"/>
  <c r="AQ209" i="11"/>
  <c r="AN209" i="11"/>
  <c r="AQ185" i="11"/>
  <c r="AT185" i="11"/>
  <c r="AN185" i="11"/>
  <c r="AQ56" i="11"/>
  <c r="AN56" i="11"/>
  <c r="AT120" i="11"/>
  <c r="AQ120" i="11"/>
  <c r="AN120" i="11"/>
  <c r="AQ17" i="11"/>
  <c r="AN17" i="11"/>
  <c r="AQ81" i="11"/>
  <c r="AT81" i="11"/>
  <c r="AN81" i="11"/>
  <c r="AT145" i="11"/>
  <c r="AQ145" i="11"/>
  <c r="AN145" i="11"/>
  <c r="AQ18" i="11"/>
  <c r="AN18" i="11"/>
  <c r="AT82" i="11"/>
  <c r="AN82" i="11"/>
  <c r="AQ82" i="11"/>
  <c r="AT154" i="11"/>
  <c r="AQ154" i="11"/>
  <c r="AN154" i="11"/>
  <c r="AN47" i="11"/>
  <c r="AQ47" i="11"/>
  <c r="AT135" i="11"/>
  <c r="AN135" i="11"/>
  <c r="AQ135" i="11"/>
  <c r="AT75" i="11"/>
  <c r="AQ75" i="11"/>
  <c r="AN75" i="11"/>
  <c r="AT147" i="11"/>
  <c r="AN147" i="11"/>
  <c r="AQ147" i="11"/>
  <c r="AP43" i="11"/>
  <c r="AM43" i="11"/>
  <c r="AT142" i="11"/>
  <c r="AQ142" i="11"/>
  <c r="AN142" i="11"/>
  <c r="AQ54" i="11"/>
  <c r="AN54" i="11"/>
  <c r="AP182" i="11"/>
  <c r="AS182" i="11"/>
  <c r="AM182" i="11"/>
  <c r="AT158" i="11"/>
  <c r="AQ158" i="11"/>
  <c r="AN158" i="11"/>
  <c r="D65" i="27"/>
  <c r="AT262" i="11"/>
  <c r="AQ262" i="11"/>
  <c r="AN262" i="11"/>
  <c r="AP186" i="11"/>
  <c r="AS186" i="11"/>
  <c r="AM186" i="11"/>
  <c r="AT191" i="11"/>
  <c r="AQ191" i="11"/>
  <c r="AN191" i="11"/>
  <c r="AQ64" i="11"/>
  <c r="AN64" i="11"/>
  <c r="AT128" i="11"/>
  <c r="AQ128" i="11"/>
  <c r="AN128" i="11"/>
  <c r="AQ25" i="11"/>
  <c r="AN25" i="11"/>
  <c r="AQ89" i="11"/>
  <c r="AT89" i="11"/>
  <c r="AN89" i="11"/>
  <c r="AQ153" i="11"/>
  <c r="AT153" i="11"/>
  <c r="AN153" i="11"/>
  <c r="AQ26" i="11"/>
  <c r="AN26" i="11"/>
  <c r="AT90" i="11"/>
  <c r="AQ90" i="11"/>
  <c r="AN90" i="11"/>
  <c r="AT162" i="11"/>
  <c r="AQ162" i="11"/>
  <c r="AN162" i="11"/>
  <c r="AP47" i="11"/>
  <c r="AM47" i="11"/>
  <c r="AS135" i="11"/>
  <c r="AP135" i="11"/>
  <c r="AM135" i="11"/>
  <c r="AS75" i="11"/>
  <c r="AM75" i="11"/>
  <c r="AP75" i="11"/>
  <c r="AS147" i="11"/>
  <c r="AP147" i="11"/>
  <c r="AM147" i="11"/>
  <c r="AS107" i="11"/>
  <c r="AM107" i="11"/>
  <c r="AP107" i="11"/>
  <c r="AP198" i="11"/>
  <c r="AY198" i="11"/>
  <c r="AS198" i="11"/>
  <c r="AM198" i="11"/>
  <c r="AT86" i="11"/>
  <c r="AQ86" i="11"/>
  <c r="AN86" i="11"/>
  <c r="AP14" i="11"/>
  <c r="AM14" i="11"/>
  <c r="AQ46" i="11"/>
  <c r="AN46" i="11"/>
  <c r="AS224" i="11"/>
  <c r="AP224" i="11"/>
  <c r="AM224" i="11"/>
  <c r="AJ224" i="11"/>
  <c r="AS237" i="11"/>
  <c r="AM237" i="11"/>
  <c r="AP237" i="11"/>
  <c r="AJ237" i="11"/>
  <c r="AS265" i="11"/>
  <c r="AM265" i="11"/>
  <c r="AP265" i="11"/>
  <c r="AS264" i="11"/>
  <c r="AP264" i="11"/>
  <c r="AM264" i="11"/>
  <c r="AS255" i="11"/>
  <c r="AM255" i="11"/>
  <c r="AP255" i="11"/>
  <c r="AP210" i="11"/>
  <c r="AY210" i="11"/>
  <c r="AS210" i="11"/>
  <c r="AM210" i="11"/>
  <c r="AQ8" i="11"/>
  <c r="AN8" i="11"/>
  <c r="AQ72" i="11"/>
  <c r="AN72" i="11"/>
  <c r="AQ136" i="11"/>
  <c r="AT136" i="11"/>
  <c r="AN136" i="11"/>
  <c r="AQ33" i="11"/>
  <c r="AN33" i="11"/>
  <c r="AQ97" i="11"/>
  <c r="AT97" i="11"/>
  <c r="AN97" i="11"/>
  <c r="AT161" i="11"/>
  <c r="AN161" i="11"/>
  <c r="AQ161" i="11"/>
  <c r="AQ34" i="11"/>
  <c r="AN34" i="11"/>
  <c r="AT98" i="11"/>
  <c r="AQ98" i="11"/>
  <c r="AN98" i="11"/>
  <c r="AQ2" i="11"/>
  <c r="D63" i="27"/>
  <c r="AN2" i="11"/>
  <c r="AN71" i="11"/>
  <c r="AQ71" i="11"/>
  <c r="AT151" i="11"/>
  <c r="AN151" i="11"/>
  <c r="AQ151" i="11"/>
  <c r="AT99" i="11"/>
  <c r="AQ99" i="11"/>
  <c r="AN99" i="11"/>
  <c r="AT163" i="11"/>
  <c r="AQ163" i="11"/>
  <c r="AN163" i="11"/>
  <c r="AT123" i="11"/>
  <c r="AQ123" i="11"/>
  <c r="AN123" i="11"/>
  <c r="AP214" i="11"/>
  <c r="AY214" i="11"/>
  <c r="AS214" i="11"/>
  <c r="AM214" i="11"/>
  <c r="AT150" i="11"/>
  <c r="AQ150" i="11"/>
  <c r="AN150" i="11"/>
  <c r="AQ23" i="11"/>
  <c r="AN23" i="11"/>
  <c r="AT94" i="11"/>
  <c r="AQ94" i="11"/>
  <c r="AN94" i="11"/>
  <c r="AS240" i="11"/>
  <c r="AP240" i="11"/>
  <c r="AM240" i="11"/>
  <c r="AJ240" i="11"/>
  <c r="AP246" i="11"/>
  <c r="AS246" i="11"/>
  <c r="AM246" i="11"/>
  <c r="AJ246" i="11"/>
  <c r="AT232" i="11"/>
  <c r="AQ232" i="11"/>
  <c r="AK232" i="11"/>
  <c r="AN232" i="11"/>
  <c r="AZ202" i="11"/>
  <c r="AT202" i="11"/>
  <c r="AQ202" i="11"/>
  <c r="AN202" i="11"/>
  <c r="AZ201" i="11"/>
  <c r="AQ201" i="11"/>
  <c r="AT201" i="11"/>
  <c r="AN201" i="11"/>
  <c r="AQ16" i="11"/>
  <c r="AN16" i="11"/>
  <c r="AT80" i="11"/>
  <c r="AQ80" i="11"/>
  <c r="AN80" i="11"/>
  <c r="AQ144" i="11"/>
  <c r="AT144" i="11"/>
  <c r="AN144" i="11"/>
  <c r="AQ41" i="11"/>
  <c r="AN41" i="11"/>
  <c r="AN105" i="11"/>
  <c r="AT105" i="11"/>
  <c r="AQ105" i="11"/>
  <c r="AQ169" i="11"/>
  <c r="AT169" i="11"/>
  <c r="AN169" i="11"/>
  <c r="AQ42" i="11"/>
  <c r="AN42" i="11"/>
  <c r="AT106" i="11"/>
  <c r="AN106" i="11"/>
  <c r="AQ106" i="11"/>
  <c r="AT183" i="11"/>
  <c r="AN183" i="11"/>
  <c r="AQ183" i="11"/>
  <c r="AM71" i="11"/>
  <c r="AP71" i="11"/>
  <c r="AS151" i="11"/>
  <c r="AP151" i="11"/>
  <c r="AM151" i="11"/>
  <c r="AS99" i="11"/>
  <c r="AP99" i="11"/>
  <c r="AM99" i="11"/>
  <c r="AS163" i="11"/>
  <c r="AM163" i="11"/>
  <c r="AP163" i="11"/>
  <c r="AT155" i="11"/>
  <c r="AQ155" i="11"/>
  <c r="AN155" i="11"/>
  <c r="AT87" i="11"/>
  <c r="AN87" i="11"/>
  <c r="AQ87" i="11"/>
  <c r="AT167" i="11"/>
  <c r="AN167" i="11"/>
  <c r="AQ167" i="11"/>
  <c r="AT110" i="11"/>
  <c r="AQ110" i="11"/>
  <c r="AN110" i="11"/>
  <c r="AP166" i="11"/>
  <c r="AS166" i="11"/>
  <c r="AM166" i="11"/>
  <c r="D54" i="27"/>
  <c r="D55" i="27"/>
  <c r="AS251" i="11"/>
  <c r="AM251" i="11"/>
  <c r="AP251" i="11"/>
  <c r="AJ251" i="11"/>
  <c r="AT229" i="11"/>
  <c r="AQ229" i="11"/>
  <c r="AN229" i="11"/>
  <c r="AK229" i="11"/>
  <c r="AS220" i="11"/>
  <c r="AM220" i="11"/>
  <c r="AJ220" i="11"/>
  <c r="AP220" i="11"/>
  <c r="AQ257" i="11"/>
  <c r="AT257" i="11"/>
  <c r="AN257" i="11"/>
  <c r="AS252" i="11"/>
  <c r="AP252" i="11"/>
  <c r="AM252" i="11"/>
  <c r="AJ252" i="11"/>
  <c r="AY194" i="11"/>
  <c r="AP194" i="11"/>
  <c r="AS194" i="11"/>
  <c r="D57" i="27"/>
  <c r="AM194" i="11"/>
  <c r="AT184" i="11"/>
  <c r="AQ184" i="11"/>
  <c r="AN184" i="11"/>
  <c r="AQ24" i="11"/>
  <c r="AN24" i="11"/>
  <c r="AQ88" i="11"/>
  <c r="AT88" i="11"/>
  <c r="AN88" i="11"/>
  <c r="AT152" i="11"/>
  <c r="AQ152" i="11"/>
  <c r="AN152" i="11"/>
  <c r="AQ49" i="11"/>
  <c r="AN49" i="11"/>
  <c r="AQ113" i="11"/>
  <c r="AT113" i="11"/>
  <c r="AN113" i="11"/>
  <c r="AQ208" i="11"/>
  <c r="AZ208" i="11"/>
  <c r="AT208" i="11"/>
  <c r="AN208" i="11"/>
  <c r="AQ50" i="11"/>
  <c r="AN50" i="11"/>
  <c r="D64" i="27"/>
  <c r="AT114" i="11"/>
  <c r="AQ114" i="11"/>
  <c r="AN114" i="11"/>
  <c r="AS192" i="11"/>
  <c r="AP192" i="11"/>
  <c r="AM192" i="11"/>
  <c r="AT111" i="11"/>
  <c r="AN111" i="11"/>
  <c r="AQ111" i="11"/>
  <c r="AZ199" i="11"/>
  <c r="AT199" i="11"/>
  <c r="AN199" i="11"/>
  <c r="AQ199" i="11"/>
  <c r="AT115" i="11"/>
  <c r="AQ115" i="11"/>
  <c r="AN115" i="11"/>
  <c r="AT179" i="11"/>
  <c r="AN179" i="11"/>
  <c r="AQ179" i="11"/>
  <c r="AS187" i="11"/>
  <c r="AP187" i="11"/>
  <c r="AM187" i="11"/>
  <c r="AT103" i="11"/>
  <c r="AQ103" i="11"/>
  <c r="AN103" i="11"/>
  <c r="AN55" i="11"/>
  <c r="AQ55" i="11"/>
  <c r="AS143" i="11"/>
  <c r="AP143" i="11"/>
  <c r="AM143" i="11"/>
  <c r="AT227" i="11"/>
  <c r="AN227" i="11"/>
  <c r="AQ227" i="11"/>
  <c r="AK227" i="11"/>
  <c r="AS236" i="11"/>
  <c r="AP236" i="11"/>
  <c r="AM236" i="11"/>
  <c r="AJ236" i="11"/>
  <c r="AT219" i="11"/>
  <c r="AN219" i="11"/>
  <c r="AK219" i="11"/>
  <c r="AQ219" i="11"/>
  <c r="AT218" i="11"/>
  <c r="AQ218" i="11"/>
  <c r="AN218" i="11"/>
  <c r="AK218" i="11"/>
  <c r="AT263" i="11"/>
  <c r="AN263" i="11"/>
  <c r="AQ263" i="11"/>
  <c r="AT260" i="11"/>
  <c r="AQ260" i="11"/>
  <c r="AN260" i="11"/>
  <c r="AT231" i="11"/>
  <c r="AQ231" i="11"/>
  <c r="AN231" i="11"/>
  <c r="AK231" i="11"/>
  <c r="AT234" i="11"/>
  <c r="AQ234" i="11"/>
  <c r="AN234" i="11"/>
  <c r="AK234" i="11"/>
  <c r="AT243" i="11"/>
  <c r="AQ243" i="11"/>
  <c r="AN243" i="11"/>
  <c r="AK243" i="11"/>
  <c r="AT250" i="11"/>
  <c r="AN250" i="11"/>
  <c r="AQ250" i="11"/>
  <c r="AK250" i="11"/>
  <c r="AT242" i="11"/>
  <c r="AQ242" i="11"/>
  <c r="AN242" i="11"/>
  <c r="AK242" i="11"/>
  <c r="AP230" i="11"/>
  <c r="AS230" i="11"/>
  <c r="AM230" i="11"/>
  <c r="AJ230" i="11"/>
  <c r="AZ207" i="11"/>
  <c r="AT207" i="11"/>
  <c r="AQ207" i="11"/>
  <c r="AN207" i="11"/>
  <c r="AT193" i="11"/>
  <c r="AQ193" i="11"/>
  <c r="AN193" i="11"/>
  <c r="AQ32" i="11"/>
  <c r="AN32" i="11"/>
  <c r="AT96" i="11"/>
  <c r="AN96" i="11"/>
  <c r="AQ96" i="11"/>
  <c r="AQ160" i="11"/>
  <c r="AT160" i="11"/>
  <c r="AN160" i="11"/>
  <c r="AQ57" i="11"/>
  <c r="AN57" i="11"/>
  <c r="AQ121" i="11"/>
  <c r="AT121" i="11"/>
  <c r="AN121" i="11"/>
  <c r="AT170" i="11"/>
  <c r="AQ170" i="11"/>
  <c r="AN170" i="11"/>
  <c r="D67" i="27"/>
  <c r="AQ58" i="11"/>
  <c r="AN58" i="11"/>
  <c r="AT122" i="11"/>
  <c r="AQ122" i="11"/>
  <c r="AN122" i="11"/>
  <c r="D62" i="27"/>
  <c r="AN11" i="11"/>
  <c r="AQ11" i="11"/>
  <c r="AS111" i="11"/>
  <c r="AP111" i="11"/>
  <c r="AM111" i="11"/>
  <c r="AY199" i="11"/>
  <c r="AS199" i="11"/>
  <c r="AP199" i="11"/>
  <c r="AM199" i="11"/>
  <c r="AS115" i="11"/>
  <c r="AM115" i="11"/>
  <c r="AP115" i="11"/>
  <c r="AS179" i="11"/>
  <c r="AM179" i="11"/>
  <c r="AP179" i="11"/>
  <c r="AZ211" i="11"/>
  <c r="AT211" i="11"/>
  <c r="AQ211" i="11"/>
  <c r="AN211" i="11"/>
  <c r="AT126" i="11"/>
  <c r="AQ126" i="11"/>
  <c r="AN126" i="11"/>
  <c r="AQ70" i="11"/>
  <c r="AN70" i="11"/>
  <c r="AP15" i="11"/>
  <c r="AM15" i="11"/>
  <c r="AS233" i="11"/>
  <c r="AP233" i="11"/>
  <c r="AJ233" i="11"/>
  <c r="AM233" i="11"/>
  <c r="AS261" i="11"/>
  <c r="AP261" i="11"/>
  <c r="AM261" i="11"/>
  <c r="AQ225" i="11"/>
  <c r="AT225" i="11"/>
  <c r="AK225" i="11"/>
  <c r="AN225" i="11"/>
  <c r="AQ249" i="11"/>
  <c r="AT249" i="11"/>
  <c r="AK249" i="11"/>
  <c r="AN249" i="11"/>
  <c r="AP226" i="11"/>
  <c r="AS226" i="11"/>
  <c r="AJ226" i="11"/>
  <c r="AM226" i="11"/>
  <c r="AS253" i="11"/>
  <c r="AP253" i="11"/>
  <c r="AM253" i="11"/>
  <c r="AJ253" i="11"/>
  <c r="AS241" i="11"/>
  <c r="AJ241" i="11"/>
  <c r="AM241" i="11"/>
  <c r="AP241" i="11"/>
  <c r="AQ248" i="11"/>
  <c r="AT248" i="11"/>
  <c r="AK248" i="11"/>
  <c r="AN248" i="11"/>
  <c r="AY216" i="11"/>
  <c r="AS216" i="11"/>
  <c r="AP216" i="11"/>
  <c r="AM216" i="11"/>
  <c r="AP178" i="11"/>
  <c r="AS178" i="11"/>
  <c r="AM178" i="11"/>
  <c r="AQ40" i="11"/>
  <c r="AN40" i="11"/>
  <c r="AQ104" i="11"/>
  <c r="AT104" i="11"/>
  <c r="AN104" i="11"/>
  <c r="AT168" i="11"/>
  <c r="AQ168" i="11"/>
  <c r="AN168" i="11"/>
  <c r="AQ65" i="11"/>
  <c r="AN65" i="11"/>
  <c r="AQ129" i="11"/>
  <c r="AT129" i="11"/>
  <c r="AN129" i="11"/>
  <c r="AP146" i="11"/>
  <c r="AS146" i="11"/>
  <c r="D56" i="27"/>
  <c r="AM146" i="11"/>
  <c r="AQ66" i="11"/>
  <c r="AN66" i="11"/>
  <c r="AT130" i="11"/>
  <c r="AQ130" i="11"/>
  <c r="AN130" i="11"/>
  <c r="AQ7" i="11"/>
  <c r="AN7" i="11"/>
  <c r="AT119" i="11"/>
  <c r="AN119" i="11"/>
  <c r="AQ119" i="11"/>
  <c r="AQ35" i="11"/>
  <c r="AN35" i="11"/>
  <c r="AT139" i="11"/>
  <c r="AN139" i="11"/>
  <c r="AQ139" i="11"/>
  <c r="AZ195" i="11"/>
  <c r="AT195" i="11"/>
  <c r="AQ195" i="11"/>
  <c r="AN195" i="11"/>
  <c r="AQ217" i="11"/>
  <c r="AZ217" i="11"/>
  <c r="AT217" i="11"/>
  <c r="AN217" i="11"/>
  <c r="AZ203" i="11"/>
  <c r="AT203" i="11"/>
  <c r="AQ203" i="11"/>
  <c r="AN203" i="11"/>
  <c r="AP31" i="11"/>
  <c r="AM31" i="11"/>
  <c r="AQ93" i="11"/>
  <c r="AT93" i="11"/>
  <c r="AN93" i="11"/>
  <c r="D66" i="27"/>
  <c r="F83" i="27"/>
  <c r="F86" i="27"/>
  <c r="F85" i="27"/>
  <c r="F84" i="27"/>
  <c r="E229" i="12"/>
  <c r="M229" i="11" s="1"/>
  <c r="BN229" i="11" s="1"/>
  <c r="E242" i="12"/>
  <c r="M242" i="11" s="1"/>
  <c r="BP242" i="11" s="1"/>
  <c r="G265" i="12"/>
  <c r="N265" i="11" s="1"/>
  <c r="G244" i="12"/>
  <c r="N244" i="11" s="1"/>
  <c r="G240" i="12"/>
  <c r="N240" i="11" s="1"/>
  <c r="G226" i="12"/>
  <c r="N226" i="11" s="1"/>
  <c r="E250" i="12"/>
  <c r="M250" i="11" s="1"/>
  <c r="BP250" i="11" s="1"/>
  <c r="G245" i="12"/>
  <c r="N245" i="11" s="1"/>
  <c r="E263" i="12"/>
  <c r="M263" i="11" s="1"/>
  <c r="BP263" i="11" s="1"/>
  <c r="E232" i="12"/>
  <c r="M232" i="11" s="1"/>
  <c r="BN232" i="11" s="1"/>
  <c r="G228" i="12"/>
  <c r="N228" i="11" s="1"/>
  <c r="E231" i="12"/>
  <c r="M231" i="11" s="1"/>
  <c r="BN231" i="11" s="1"/>
  <c r="G237" i="12"/>
  <c r="N237" i="11" s="1"/>
  <c r="G220" i="12"/>
  <c r="N220" i="11" s="1"/>
  <c r="G230" i="12"/>
  <c r="N230" i="11" s="1"/>
  <c r="E249" i="12"/>
  <c r="M249" i="11" s="1"/>
  <c r="BP249" i="11" s="1"/>
  <c r="G238" i="12"/>
  <c r="N238" i="11" s="1"/>
  <c r="E248" i="12"/>
  <c r="M248" i="11" s="1"/>
  <c r="BP248" i="11" s="1"/>
  <c r="E257" i="12"/>
  <c r="M257" i="11" s="1"/>
  <c r="BP257" i="11" s="1"/>
  <c r="G239" i="12"/>
  <c r="N239" i="11" s="1"/>
  <c r="G258" i="12"/>
  <c r="N258" i="11" s="1"/>
  <c r="G224" i="12"/>
  <c r="N224" i="11" s="1"/>
  <c r="G264" i="12"/>
  <c r="N264" i="11" s="1"/>
  <c r="G256" i="12"/>
  <c r="N256" i="11" s="1"/>
  <c r="E256" i="12"/>
  <c r="M256" i="11" s="1"/>
  <c r="BP256" i="11" s="1"/>
  <c r="E234" i="12"/>
  <c r="M234" i="11" s="1"/>
  <c r="BN234" i="11" s="1"/>
  <c r="G251" i="12"/>
  <c r="N251" i="11" s="1"/>
  <c r="G254" i="12"/>
  <c r="N254" i="11" s="1"/>
  <c r="E221" i="12"/>
  <c r="M221" i="11" s="1"/>
  <c r="BN221" i="11" s="1"/>
  <c r="G253" i="12"/>
  <c r="N253" i="11" s="1"/>
  <c r="G233" i="12"/>
  <c r="N233" i="11" s="1"/>
  <c r="G246" i="12"/>
  <c r="N246" i="11" s="1"/>
  <c r="E218" i="12"/>
  <c r="M218" i="11" s="1"/>
  <c r="BN218" i="11" s="1"/>
  <c r="E225" i="12"/>
  <c r="M225" i="11" s="1"/>
  <c r="BN225" i="11" s="1"/>
  <c r="E243" i="12"/>
  <c r="M243" i="11" s="1"/>
  <c r="BP243" i="11" s="1"/>
  <c r="G255" i="12"/>
  <c r="N255" i="11" s="1"/>
  <c r="E262" i="12"/>
  <c r="M262" i="11" s="1"/>
  <c r="BP262" i="11" s="1"/>
  <c r="G241" i="12"/>
  <c r="N241" i="11" s="1"/>
  <c r="G223" i="12"/>
  <c r="N223" i="11" s="1"/>
  <c r="G259" i="12"/>
  <c r="N259" i="11" s="1"/>
  <c r="G252" i="12"/>
  <c r="N252" i="11" s="1"/>
  <c r="G261" i="12"/>
  <c r="N261" i="11" s="1"/>
  <c r="E222" i="12"/>
  <c r="M222" i="11" s="1"/>
  <c r="BN222" i="11" s="1"/>
  <c r="G236" i="12"/>
  <c r="N236" i="11" s="1"/>
  <c r="E260" i="12"/>
  <c r="M260" i="11" s="1"/>
  <c r="BP260" i="11" s="1"/>
  <c r="E219" i="12"/>
  <c r="M219" i="11" s="1"/>
  <c r="BN219" i="11" s="1"/>
  <c r="G235" i="12"/>
  <c r="N235" i="11" s="1"/>
  <c r="G247" i="12"/>
  <c r="N247" i="11" s="1"/>
  <c r="E227" i="12"/>
  <c r="M227" i="11" s="1"/>
  <c r="BN227" i="11" s="1"/>
  <c r="AE54" i="27" l="1"/>
  <c r="AE80" i="27" s="1"/>
  <c r="D80" i="27"/>
  <c r="Z61" i="27"/>
  <c r="T81" i="27"/>
  <c r="D81" i="27"/>
  <c r="P214" i="38"/>
  <c r="R214" i="38" s="1"/>
  <c r="N337" i="38"/>
  <c r="P337" i="38" s="1"/>
  <c r="R337" i="38" s="1"/>
  <c r="N85" i="38"/>
  <c r="P85" i="38" s="1"/>
  <c r="R85" i="38" s="1"/>
  <c r="N253" i="38"/>
  <c r="P253" i="38" s="1"/>
  <c r="R253" i="38" s="1"/>
  <c r="N169" i="38"/>
  <c r="P169" i="38" s="1"/>
  <c r="R169" i="38" s="1"/>
  <c r="N166" i="38"/>
  <c r="N334" i="38"/>
  <c r="P334" i="38" s="1"/>
  <c r="R334" i="38" s="1"/>
  <c r="N250" i="38"/>
  <c r="P250" i="38" s="1"/>
  <c r="R250" i="38" s="1"/>
  <c r="N82" i="38"/>
  <c r="P82" i="38" s="1"/>
  <c r="R82" i="38" s="1"/>
  <c r="N251" i="38"/>
  <c r="N167" i="38"/>
  <c r="P167" i="38" s="1"/>
  <c r="R167" i="38" s="1"/>
  <c r="N83" i="38"/>
  <c r="P83" i="38" s="1"/>
  <c r="R83" i="38" s="1"/>
  <c r="N335" i="38"/>
  <c r="P335" i="38" s="1"/>
  <c r="R335" i="38" s="1"/>
  <c r="N252" i="38"/>
  <c r="N168" i="38"/>
  <c r="P168" i="38" s="1"/>
  <c r="R168" i="38" s="1"/>
  <c r="N84" i="38"/>
  <c r="P84" i="38" s="1"/>
  <c r="R84" i="38" s="1"/>
  <c r="N336" i="38"/>
  <c r="P336" i="38" s="1"/>
  <c r="R336" i="38" s="1"/>
  <c r="P303" i="38"/>
  <c r="R303" i="38" s="1"/>
  <c r="I240" i="38"/>
  <c r="I327" i="38"/>
  <c r="I325" i="38"/>
  <c r="I407" i="38"/>
  <c r="I243" i="38"/>
  <c r="I320" i="38"/>
  <c r="V320" i="38"/>
  <c r="X320" i="38" s="1"/>
  <c r="I408" i="38"/>
  <c r="I409" i="38"/>
  <c r="I324" i="38"/>
  <c r="I406" i="38"/>
  <c r="I413" i="38"/>
  <c r="I404" i="38"/>
  <c r="V404" i="38"/>
  <c r="X404" i="38" s="1"/>
  <c r="I329" i="38"/>
  <c r="I405" i="38"/>
  <c r="I236" i="38"/>
  <c r="V236" i="38"/>
  <c r="X236" i="38" s="1"/>
  <c r="I411" i="38"/>
  <c r="I328" i="38"/>
  <c r="I330" i="38"/>
  <c r="I238" i="38"/>
  <c r="I414" i="38"/>
  <c r="I239" i="38"/>
  <c r="I241" i="38"/>
  <c r="I412" i="38"/>
  <c r="I156" i="38"/>
  <c r="I410" i="38"/>
  <c r="I326" i="38"/>
  <c r="I321" i="38"/>
  <c r="I242" i="38"/>
  <c r="P323" i="38"/>
  <c r="R323" i="38" s="1"/>
  <c r="I322" i="38"/>
  <c r="I161" i="38"/>
  <c r="I244" i="38"/>
  <c r="S58" i="27"/>
  <c r="Y58" i="27" s="1"/>
  <c r="AC58" i="27"/>
  <c r="AI58" i="27" s="1"/>
  <c r="AD65" i="27"/>
  <c r="AJ65" i="27" s="1"/>
  <c r="P386" i="38"/>
  <c r="R386" i="38" s="1"/>
  <c r="P293" i="38"/>
  <c r="R293" i="38" s="1"/>
  <c r="P282" i="38"/>
  <c r="R282" i="38" s="1"/>
  <c r="P244" i="38"/>
  <c r="R244" i="38" s="1"/>
  <c r="P299" i="38"/>
  <c r="R299" i="38" s="1"/>
  <c r="P215" i="38"/>
  <c r="R215" i="38" s="1"/>
  <c r="P324" i="38"/>
  <c r="R324" i="38" s="1"/>
  <c r="P325" i="38"/>
  <c r="R325" i="38" s="1"/>
  <c r="P321" i="38"/>
  <c r="R321" i="38" s="1"/>
  <c r="P365" i="38"/>
  <c r="R365" i="38" s="1"/>
  <c r="P301" i="38"/>
  <c r="R301" i="38" s="1"/>
  <c r="P372" i="38"/>
  <c r="R372" i="38" s="1"/>
  <c r="N391" i="38"/>
  <c r="N390" i="38"/>
  <c r="N400" i="38"/>
  <c r="N399" i="38"/>
  <c r="N397" i="38"/>
  <c r="N401" i="38"/>
  <c r="N403" i="38"/>
  <c r="N393" i="38"/>
  <c r="N402" i="38"/>
  <c r="N392" i="38"/>
  <c r="N398" i="38"/>
  <c r="P381" i="38"/>
  <c r="R381" i="38" s="1"/>
  <c r="P333" i="38"/>
  <c r="R333" i="38" s="1"/>
  <c r="P208" i="38"/>
  <c r="R208" i="38" s="1"/>
  <c r="P290" i="38"/>
  <c r="R290" i="38" s="1"/>
  <c r="P199" i="38"/>
  <c r="R199" i="38" s="1"/>
  <c r="P292" i="38"/>
  <c r="R292" i="38" s="1"/>
  <c r="P375" i="38"/>
  <c r="R375" i="38" s="1"/>
  <c r="P134" i="38"/>
  <c r="R134" i="38" s="1"/>
  <c r="P411" i="38"/>
  <c r="R411" i="38" s="1"/>
  <c r="P289" i="38"/>
  <c r="R289" i="38" s="1"/>
  <c r="P216" i="38"/>
  <c r="R216" i="38" s="1"/>
  <c r="P320" i="38"/>
  <c r="R320" i="38" s="1"/>
  <c r="P204" i="38"/>
  <c r="R204" i="38" s="1"/>
  <c r="P373" i="38"/>
  <c r="R373" i="38" s="1"/>
  <c r="P413" i="38"/>
  <c r="R413" i="38" s="1"/>
  <c r="P406" i="38"/>
  <c r="R406" i="38" s="1"/>
  <c r="P205" i="38"/>
  <c r="R205" i="38" s="1"/>
  <c r="P288" i="38"/>
  <c r="R288" i="38" s="1"/>
  <c r="P209" i="38"/>
  <c r="R209" i="38" s="1"/>
  <c r="P377" i="38"/>
  <c r="R377" i="38" s="1"/>
  <c r="P213" i="38"/>
  <c r="R213" i="38" s="1"/>
  <c r="P405" i="38"/>
  <c r="R405" i="38" s="1"/>
  <c r="P236" i="38"/>
  <c r="R236" i="38" s="1"/>
  <c r="P280" i="38"/>
  <c r="R280" i="38" s="1"/>
  <c r="P129" i="38"/>
  <c r="R129" i="38" s="1"/>
  <c r="P410" i="38"/>
  <c r="R410" i="38" s="1"/>
  <c r="P374" i="38"/>
  <c r="R374" i="38" s="1"/>
  <c r="P207" i="38"/>
  <c r="R207" i="38" s="1"/>
  <c r="P285" i="38"/>
  <c r="R285" i="38" s="1"/>
  <c r="P409" i="38"/>
  <c r="R409" i="38" s="1"/>
  <c r="P296" i="38"/>
  <c r="R296" i="38" s="1"/>
  <c r="P326" i="38"/>
  <c r="R326" i="38" s="1"/>
  <c r="P116" i="38"/>
  <c r="R116" i="38" s="1"/>
  <c r="P240" i="38"/>
  <c r="R240" i="38" s="1"/>
  <c r="P238" i="38"/>
  <c r="R238" i="38" s="1"/>
  <c r="P239" i="38"/>
  <c r="R239" i="38" s="1"/>
  <c r="P383" i="38"/>
  <c r="R383" i="38" s="1"/>
  <c r="P283" i="38"/>
  <c r="R283" i="38" s="1"/>
  <c r="P328" i="38"/>
  <c r="R328" i="38" s="1"/>
  <c r="P198" i="38"/>
  <c r="R198" i="38" s="1"/>
  <c r="P211" i="38"/>
  <c r="R211" i="38" s="1"/>
  <c r="P380" i="38"/>
  <c r="R380" i="38" s="1"/>
  <c r="P300" i="38"/>
  <c r="R300" i="38" s="1"/>
  <c r="P327" i="38"/>
  <c r="R327" i="38" s="1"/>
  <c r="P115" i="38"/>
  <c r="R115" i="38" s="1"/>
  <c r="P197" i="38"/>
  <c r="R197" i="38" s="1"/>
  <c r="P367" i="38"/>
  <c r="R367" i="38" s="1"/>
  <c r="P387" i="38"/>
  <c r="R387" i="38" s="1"/>
  <c r="P364" i="38"/>
  <c r="R364" i="38" s="1"/>
  <c r="P203" i="38"/>
  <c r="R203" i="38" s="1"/>
  <c r="P130" i="38"/>
  <c r="R130" i="38" s="1"/>
  <c r="P161" i="38"/>
  <c r="R161" i="38" s="1"/>
  <c r="P376" i="38"/>
  <c r="R376" i="38" s="1"/>
  <c r="P242" i="38"/>
  <c r="R242" i="38" s="1"/>
  <c r="P414" i="38"/>
  <c r="R414" i="38" s="1"/>
  <c r="P241" i="38"/>
  <c r="R241" i="38" s="1"/>
  <c r="P369" i="38"/>
  <c r="R369" i="38" s="1"/>
  <c r="P404" i="38"/>
  <c r="R404" i="38" s="1"/>
  <c r="P287" i="38"/>
  <c r="R287" i="38" s="1"/>
  <c r="P210" i="38"/>
  <c r="R210" i="38" s="1"/>
  <c r="P196" i="38"/>
  <c r="R196" i="38" s="1"/>
  <c r="P286" i="38"/>
  <c r="R286" i="38" s="1"/>
  <c r="P382" i="38"/>
  <c r="R382" i="38" s="1"/>
  <c r="P217" i="38"/>
  <c r="R217" i="38" s="1"/>
  <c r="P249" i="38"/>
  <c r="R249" i="38" s="1"/>
  <c r="P329" i="38"/>
  <c r="R329" i="38" s="1"/>
  <c r="P291" i="38"/>
  <c r="R291" i="38" s="1"/>
  <c r="P370" i="38"/>
  <c r="R370" i="38" s="1"/>
  <c r="P128" i="38"/>
  <c r="R128" i="38" s="1"/>
  <c r="P407" i="38"/>
  <c r="R407" i="38" s="1"/>
  <c r="P156" i="38"/>
  <c r="R156" i="38" s="1"/>
  <c r="P368" i="38"/>
  <c r="R368" i="38" s="1"/>
  <c r="P408" i="38"/>
  <c r="R408" i="38" s="1"/>
  <c r="P379" i="38"/>
  <c r="R379" i="38" s="1"/>
  <c r="P206" i="38"/>
  <c r="R206" i="38" s="1"/>
  <c r="P412" i="38"/>
  <c r="R412" i="38" s="1"/>
  <c r="P378" i="38"/>
  <c r="R378" i="38" s="1"/>
  <c r="P298" i="38"/>
  <c r="R298" i="38" s="1"/>
  <c r="P417" i="38"/>
  <c r="R417" i="38" s="1"/>
  <c r="P281" i="38"/>
  <c r="R281" i="38" s="1"/>
  <c r="P385" i="38"/>
  <c r="R385" i="38" s="1"/>
  <c r="P243" i="38"/>
  <c r="R243" i="38" s="1"/>
  <c r="P202" i="38"/>
  <c r="R202" i="38" s="1"/>
  <c r="P125" i="38"/>
  <c r="R125" i="38" s="1"/>
  <c r="P294" i="38"/>
  <c r="R294" i="38" s="1"/>
  <c r="P322" i="38"/>
  <c r="R322" i="38" s="1"/>
  <c r="P295" i="38"/>
  <c r="R295" i="38" s="1"/>
  <c r="P384" i="38"/>
  <c r="R384" i="38" s="1"/>
  <c r="P201" i="38"/>
  <c r="R201" i="38" s="1"/>
  <c r="P371" i="38"/>
  <c r="R371" i="38" s="1"/>
  <c r="P251" i="38"/>
  <c r="R251" i="38" s="1"/>
  <c r="P419" i="38"/>
  <c r="R419" i="38" s="1"/>
  <c r="P420" i="38"/>
  <c r="R420" i="38" s="1"/>
  <c r="P252" i="38"/>
  <c r="R252" i="38" s="1"/>
  <c r="P366" i="38"/>
  <c r="R366" i="38" s="1"/>
  <c r="P421" i="38"/>
  <c r="R421" i="38" s="1"/>
  <c r="P166" i="38"/>
  <c r="R166" i="38" s="1"/>
  <c r="P418" i="38"/>
  <c r="R418" i="38" s="1"/>
  <c r="P330" i="38"/>
  <c r="R330" i="38" s="1"/>
  <c r="P302" i="38"/>
  <c r="R302" i="38" s="1"/>
  <c r="P297" i="38"/>
  <c r="R297" i="38" s="1"/>
  <c r="P135" i="38"/>
  <c r="R135" i="38" s="1"/>
  <c r="P219" i="38"/>
  <c r="R219" i="38" s="1"/>
  <c r="I323" i="38"/>
  <c r="AB66" i="27"/>
  <c r="AC65" i="27"/>
  <c r="AI65" i="27" s="1"/>
  <c r="Q66" i="27"/>
  <c r="AD54" i="27"/>
  <c r="AF57" i="27"/>
  <c r="AC55" i="27"/>
  <c r="AI55" i="27" s="1"/>
  <c r="AB55" i="27"/>
  <c r="U66" i="27"/>
  <c r="AB56" i="27"/>
  <c r="AH56" i="27" s="1"/>
  <c r="Q58" i="27"/>
  <c r="W58" i="27" s="1"/>
  <c r="AC54" i="27"/>
  <c r="AD58" i="27"/>
  <c r="AK54" i="27"/>
  <c r="R66" i="27"/>
  <c r="AC63" i="27"/>
  <c r="AI63" i="27" s="1"/>
  <c r="Q65" i="27"/>
  <c r="W65" i="27" s="1"/>
  <c r="AD61" i="27"/>
  <c r="AF66" i="27"/>
  <c r="AF81" i="27" s="1"/>
  <c r="S66" i="27"/>
  <c r="R54" i="27"/>
  <c r="R65" i="27"/>
  <c r="X65" i="27" s="1"/>
  <c r="AB67" i="27"/>
  <c r="AH67" i="27" s="1"/>
  <c r="AB65" i="27"/>
  <c r="AH65" i="27" s="1"/>
  <c r="Q63" i="27"/>
  <c r="R67" i="27"/>
  <c r="X67" i="27" s="1"/>
  <c r="AC67" i="27"/>
  <c r="AI67" i="27" s="1"/>
  <c r="S65" i="27"/>
  <c r="AD66" i="27"/>
  <c r="S56" i="27"/>
  <c r="AD56" i="27"/>
  <c r="S57" i="27"/>
  <c r="AB62" i="27"/>
  <c r="AH62" i="27" s="1"/>
  <c r="AD67" i="27"/>
  <c r="AB57" i="27"/>
  <c r="Q54" i="27"/>
  <c r="AE62" i="27"/>
  <c r="AE81" i="27" s="1"/>
  <c r="R56" i="27"/>
  <c r="X56" i="27" s="1"/>
  <c r="AC56" i="27"/>
  <c r="AI56" i="27" s="1"/>
  <c r="L224" i="38" s="1"/>
  <c r="R58" i="27"/>
  <c r="X58" i="27" s="1"/>
  <c r="U57" i="27"/>
  <c r="AC62" i="27"/>
  <c r="AI62" i="27" s="1"/>
  <c r="AC61" i="27"/>
  <c r="AB54" i="27"/>
  <c r="D60" i="27"/>
  <c r="AD62" i="27"/>
  <c r="AJ62" i="27" s="1"/>
  <c r="AB64" i="27"/>
  <c r="AD57" i="27"/>
  <c r="AB63" i="27"/>
  <c r="AK61" i="27"/>
  <c r="AC64" i="27"/>
  <c r="AI64" i="27" s="1"/>
  <c r="AC57" i="27"/>
  <c r="AB61" i="27"/>
  <c r="AC66" i="27"/>
  <c r="AB58" i="27"/>
  <c r="AH58" i="27" s="1"/>
  <c r="L142" i="38" s="1"/>
  <c r="T54" i="27"/>
  <c r="T80" i="27" s="1"/>
  <c r="R55" i="27"/>
  <c r="S54" i="27"/>
  <c r="AT223" i="11"/>
  <c r="AN223" i="11"/>
  <c r="AQ223" i="11"/>
  <c r="AK223" i="11"/>
  <c r="AQ233" i="11"/>
  <c r="AT233" i="11"/>
  <c r="AK233" i="11"/>
  <c r="AN233" i="11"/>
  <c r="AT264" i="11"/>
  <c r="AN264" i="11"/>
  <c r="AQ264" i="11"/>
  <c r="AT230" i="11"/>
  <c r="AQ230" i="11"/>
  <c r="AN230" i="11"/>
  <c r="AK230" i="11"/>
  <c r="AP250" i="11"/>
  <c r="AS250" i="11"/>
  <c r="AJ250" i="11"/>
  <c r="AM250" i="11"/>
  <c r="R62" i="27"/>
  <c r="X62" i="27" s="1"/>
  <c r="Q61" i="27"/>
  <c r="AS219" i="11"/>
  <c r="AM219" i="11"/>
  <c r="AJ219" i="11"/>
  <c r="AP219" i="11"/>
  <c r="AT241" i="11"/>
  <c r="AQ241" i="11"/>
  <c r="AK241" i="11"/>
  <c r="AN241" i="11"/>
  <c r="AT253" i="11"/>
  <c r="AQ253" i="11"/>
  <c r="AN253" i="11"/>
  <c r="AK253" i="11"/>
  <c r="AT224" i="11"/>
  <c r="AQ224" i="11"/>
  <c r="AK224" i="11"/>
  <c r="AN224" i="11"/>
  <c r="AT220" i="11"/>
  <c r="AQ220" i="11"/>
  <c r="AN220" i="11"/>
  <c r="AK220" i="11"/>
  <c r="AT226" i="11"/>
  <c r="AQ226" i="11"/>
  <c r="AN226" i="11"/>
  <c r="AK226" i="11"/>
  <c r="S62" i="27"/>
  <c r="Y62" i="27" s="1"/>
  <c r="Q57" i="27"/>
  <c r="AQ240" i="11"/>
  <c r="AT240" i="11"/>
  <c r="AK240" i="11"/>
  <c r="AN240" i="11"/>
  <c r="S61" i="27"/>
  <c r="Q55" i="27"/>
  <c r="AS231" i="11"/>
  <c r="AP231" i="11"/>
  <c r="AM231" i="11"/>
  <c r="AJ231" i="11"/>
  <c r="AT244" i="11"/>
  <c r="AQ244" i="11"/>
  <c r="AN244" i="11"/>
  <c r="AK244" i="11"/>
  <c r="D59" i="27"/>
  <c r="Q64" i="27"/>
  <c r="AS262" i="11"/>
  <c r="AP262" i="11"/>
  <c r="AM262" i="11"/>
  <c r="AT237" i="11"/>
  <c r="AN237" i="11"/>
  <c r="AQ237" i="11"/>
  <c r="AK237" i="11"/>
  <c r="AT239" i="11"/>
  <c r="AQ239" i="11"/>
  <c r="AN239" i="11"/>
  <c r="AK239" i="11"/>
  <c r="AT251" i="11"/>
  <c r="AQ251" i="11"/>
  <c r="AN251" i="11"/>
  <c r="AK251" i="11"/>
  <c r="AQ265" i="11"/>
  <c r="AT265" i="11"/>
  <c r="AN265" i="11"/>
  <c r="R64" i="27"/>
  <c r="X64" i="27" s="1"/>
  <c r="G400" i="38" s="1"/>
  <c r="R57" i="27"/>
  <c r="AT254" i="11"/>
  <c r="AQ254" i="11"/>
  <c r="AN254" i="11"/>
  <c r="AP222" i="11"/>
  <c r="AS222" i="11"/>
  <c r="AM222" i="11"/>
  <c r="AJ222" i="11"/>
  <c r="AS243" i="11"/>
  <c r="AM243" i="11"/>
  <c r="AP243" i="11"/>
  <c r="AJ243" i="11"/>
  <c r="AP257" i="11"/>
  <c r="AS257" i="11"/>
  <c r="AM257" i="11"/>
  <c r="AT228" i="11"/>
  <c r="AN228" i="11"/>
  <c r="AQ228" i="11"/>
  <c r="AK228" i="11"/>
  <c r="V66" i="27"/>
  <c r="G66" i="38" s="1"/>
  <c r="AT261" i="11"/>
  <c r="AQ261" i="11"/>
  <c r="AN261" i="11"/>
  <c r="AP225" i="11"/>
  <c r="AS225" i="11"/>
  <c r="AJ225" i="11"/>
  <c r="AM225" i="11"/>
  <c r="AP234" i="11"/>
  <c r="AS234" i="11"/>
  <c r="AJ234" i="11"/>
  <c r="AM234" i="11"/>
  <c r="AS248" i="11"/>
  <c r="AP248" i="11"/>
  <c r="AM248" i="11"/>
  <c r="AJ248" i="11"/>
  <c r="AS232" i="11"/>
  <c r="AM232" i="11"/>
  <c r="AJ232" i="11"/>
  <c r="AP232" i="11"/>
  <c r="AP242" i="11"/>
  <c r="AS242" i="11"/>
  <c r="D53" i="27"/>
  <c r="AJ242" i="11"/>
  <c r="AM242" i="11"/>
  <c r="Q56" i="27"/>
  <c r="W56" i="27" s="1"/>
  <c r="Q67" i="27"/>
  <c r="W67" i="27" s="1"/>
  <c r="G151" i="38" s="1"/>
  <c r="AT235" i="11"/>
  <c r="AQ235" i="11"/>
  <c r="AN235" i="11"/>
  <c r="AK235" i="11"/>
  <c r="AS260" i="11"/>
  <c r="AM260" i="11"/>
  <c r="AP260" i="11"/>
  <c r="AT258" i="11"/>
  <c r="AQ258" i="11"/>
  <c r="AN258" i="11"/>
  <c r="AT255" i="11"/>
  <c r="AN255" i="11"/>
  <c r="AQ255" i="11"/>
  <c r="AP218" i="11"/>
  <c r="AS218" i="11"/>
  <c r="D52" i="27"/>
  <c r="AM218" i="11"/>
  <c r="AJ218" i="11"/>
  <c r="AS263" i="11"/>
  <c r="AP263" i="11"/>
  <c r="AM263" i="11"/>
  <c r="R61" i="27"/>
  <c r="AS221" i="11"/>
  <c r="AP221" i="11"/>
  <c r="AM221" i="11"/>
  <c r="AJ221" i="11"/>
  <c r="AT236" i="11"/>
  <c r="AQ236" i="11"/>
  <c r="AN236" i="11"/>
  <c r="AK236" i="11"/>
  <c r="AS227" i="11"/>
  <c r="AP227" i="11"/>
  <c r="AM227" i="11"/>
  <c r="AJ227" i="11"/>
  <c r="AT252" i="11"/>
  <c r="AQ252" i="11"/>
  <c r="AN252" i="11"/>
  <c r="AK252" i="11"/>
  <c r="AS256" i="11"/>
  <c r="AM256" i="11"/>
  <c r="AP256" i="11"/>
  <c r="AT238" i="11"/>
  <c r="AN238" i="11"/>
  <c r="AQ238" i="11"/>
  <c r="AK238" i="11"/>
  <c r="AS229" i="11"/>
  <c r="AM229" i="11"/>
  <c r="AP229" i="11"/>
  <c r="AJ229" i="11"/>
  <c r="AT247" i="11"/>
  <c r="AN247" i="11"/>
  <c r="AK247" i="11"/>
  <c r="AQ247" i="11"/>
  <c r="AT259" i="11"/>
  <c r="AN259" i="11"/>
  <c r="AQ259" i="11"/>
  <c r="AT246" i="11"/>
  <c r="AN246" i="11"/>
  <c r="AQ246" i="11"/>
  <c r="AK246" i="11"/>
  <c r="AT256" i="11"/>
  <c r="AN256" i="11"/>
  <c r="AQ256" i="11"/>
  <c r="AP249" i="11"/>
  <c r="AS249" i="11"/>
  <c r="AJ249" i="11"/>
  <c r="AM249" i="11"/>
  <c r="AT245" i="11"/>
  <c r="AQ245" i="11"/>
  <c r="AN245" i="11"/>
  <c r="AK245" i="11"/>
  <c r="Q62" i="27"/>
  <c r="W62" i="27" s="1"/>
  <c r="S67" i="27"/>
  <c r="R63" i="27"/>
  <c r="X63" i="27" s="1"/>
  <c r="X55" i="27" l="1"/>
  <c r="H223" i="38"/>
  <c r="AI57" i="27"/>
  <c r="AH57" i="27"/>
  <c r="Z57" i="27"/>
  <c r="U80" i="27"/>
  <c r="V80" i="27" s="1"/>
  <c r="Z66" i="27"/>
  <c r="U81" i="27"/>
  <c r="Y61" i="27"/>
  <c r="S81" i="27"/>
  <c r="AK57" i="27"/>
  <c r="AF80" i="27"/>
  <c r="X54" i="27"/>
  <c r="R80" i="27"/>
  <c r="AJ54" i="27"/>
  <c r="AD80" i="27"/>
  <c r="AH61" i="27"/>
  <c r="AB81" i="27"/>
  <c r="AH54" i="27"/>
  <c r="L138" i="38" s="1"/>
  <c r="AB80" i="27"/>
  <c r="W54" i="27"/>
  <c r="Q80" i="27"/>
  <c r="W80" i="27" s="1"/>
  <c r="AI54" i="27"/>
  <c r="AC80" i="27"/>
  <c r="AI61" i="27"/>
  <c r="AC81" i="27"/>
  <c r="X61" i="27"/>
  <c r="R81" i="27"/>
  <c r="W61" i="27"/>
  <c r="Q81" i="27"/>
  <c r="D79" i="27"/>
  <c r="Y54" i="27"/>
  <c r="S80" i="27"/>
  <c r="AJ61" i="27"/>
  <c r="AD81" i="27"/>
  <c r="Y66" i="27"/>
  <c r="G146" i="38"/>
  <c r="L233" i="38"/>
  <c r="H224" i="38"/>
  <c r="P224" i="38" s="1"/>
  <c r="R224" i="38" s="1"/>
  <c r="W66" i="27"/>
  <c r="X66" i="27"/>
  <c r="AD59" i="27"/>
  <c r="H140" i="38"/>
  <c r="K140" i="38" s="1"/>
  <c r="H142" i="38"/>
  <c r="K142" i="38" s="1"/>
  <c r="L230" i="38"/>
  <c r="G149" i="38"/>
  <c r="P149" i="38" s="1"/>
  <c r="R149" i="38" s="1"/>
  <c r="AJ57" i="27"/>
  <c r="W64" i="27"/>
  <c r="G148" i="38" s="1"/>
  <c r="J148" i="38" s="1"/>
  <c r="G64" i="38"/>
  <c r="N388" i="38"/>
  <c r="L145" i="38"/>
  <c r="G233" i="38"/>
  <c r="J233" i="38" s="1"/>
  <c r="N396" i="38"/>
  <c r="L65" i="38"/>
  <c r="L235" i="38"/>
  <c r="H58" i="38"/>
  <c r="K58" i="38" s="1"/>
  <c r="N389" i="38"/>
  <c r="H54" i="38"/>
  <c r="K54" i="38" s="1"/>
  <c r="AH63" i="27"/>
  <c r="L147" i="38" s="1"/>
  <c r="L63" i="38"/>
  <c r="L146" i="38"/>
  <c r="W63" i="27"/>
  <c r="G147" i="38" s="1"/>
  <c r="P147" i="38" s="1"/>
  <c r="R147" i="38" s="1"/>
  <c r="G63" i="38"/>
  <c r="L140" i="38"/>
  <c r="N395" i="38"/>
  <c r="W55" i="27"/>
  <c r="H139" i="38" s="1"/>
  <c r="P139" i="38" s="1"/>
  <c r="R139" i="38" s="1"/>
  <c r="H55" i="38"/>
  <c r="G230" i="38"/>
  <c r="J230" i="38" s="1"/>
  <c r="L149" i="38"/>
  <c r="G145" i="38"/>
  <c r="P145" i="38" s="1"/>
  <c r="R145" i="38" s="1"/>
  <c r="AH64" i="27"/>
  <c r="L148" i="38" s="1"/>
  <c r="L64" i="38"/>
  <c r="L151" i="38"/>
  <c r="AH55" i="27"/>
  <c r="L139" i="38" s="1"/>
  <c r="L55" i="38"/>
  <c r="G399" i="38"/>
  <c r="J399" i="38" s="1"/>
  <c r="L391" i="38"/>
  <c r="H310" i="38"/>
  <c r="P310" i="38" s="1"/>
  <c r="R310" i="38" s="1"/>
  <c r="AJ67" i="27"/>
  <c r="L67" i="38"/>
  <c r="L399" i="38"/>
  <c r="AJ56" i="27"/>
  <c r="L56" i="38"/>
  <c r="Y56" i="27"/>
  <c r="H56" i="38"/>
  <c r="K56" i="38" s="1"/>
  <c r="G62" i="38"/>
  <c r="P62" i="38" s="1"/>
  <c r="R62" i="38" s="1"/>
  <c r="L61" i="38"/>
  <c r="H391" i="38"/>
  <c r="K391" i="38" s="1"/>
  <c r="L400" i="38"/>
  <c r="H138" i="38"/>
  <c r="K138" i="38" s="1"/>
  <c r="Y65" i="27"/>
  <c r="G65" i="38"/>
  <c r="J65" i="38" s="1"/>
  <c r="AJ58" i="27"/>
  <c r="L58" i="38"/>
  <c r="G61" i="38"/>
  <c r="P61" i="38" s="1"/>
  <c r="R61" i="38" s="1"/>
  <c r="Y67" i="27"/>
  <c r="G67" i="38"/>
  <c r="J67" i="38" s="1"/>
  <c r="G318" i="38"/>
  <c r="J318" i="38" s="1"/>
  <c r="L397" i="38"/>
  <c r="G313" i="38"/>
  <c r="J313" i="38" s="1"/>
  <c r="H306" i="38"/>
  <c r="K306" i="38" s="1"/>
  <c r="X57" i="27"/>
  <c r="V57" i="27"/>
  <c r="H57" i="38" s="1"/>
  <c r="K57" i="38" s="1"/>
  <c r="W57" i="27"/>
  <c r="H141" i="38" s="1"/>
  <c r="P141" i="38" s="1"/>
  <c r="R141" i="38" s="1"/>
  <c r="J400" i="38"/>
  <c r="P400" i="38"/>
  <c r="R400" i="38" s="1"/>
  <c r="L401" i="38"/>
  <c r="L314" i="38"/>
  <c r="H394" i="38"/>
  <c r="AK62" i="27"/>
  <c r="L62" i="38"/>
  <c r="G314" i="38"/>
  <c r="J314" i="38" s="1"/>
  <c r="H308" i="38"/>
  <c r="P308" i="38" s="1"/>
  <c r="R308" i="38" s="1"/>
  <c r="H392" i="38"/>
  <c r="L223" i="38"/>
  <c r="L307" i="38"/>
  <c r="L317" i="38"/>
  <c r="G150" i="38"/>
  <c r="J150" i="38" s="1"/>
  <c r="L231" i="38"/>
  <c r="L315" i="38"/>
  <c r="L393" i="38"/>
  <c r="L232" i="38"/>
  <c r="L316" i="38"/>
  <c r="L398" i="38"/>
  <c r="G231" i="38"/>
  <c r="P231" i="38" s="1"/>
  <c r="R231" i="38" s="1"/>
  <c r="G315" i="38"/>
  <c r="G234" i="38"/>
  <c r="P234" i="38" s="1"/>
  <c r="R234" i="38" s="1"/>
  <c r="G317" i="38"/>
  <c r="J317" i="38" s="1"/>
  <c r="G401" i="38"/>
  <c r="H222" i="38"/>
  <c r="K222" i="38" s="1"/>
  <c r="L310" i="38"/>
  <c r="L394" i="38"/>
  <c r="L306" i="38"/>
  <c r="G319" i="38"/>
  <c r="J319" i="38" s="1"/>
  <c r="G403" i="38"/>
  <c r="L222" i="38"/>
  <c r="L229" i="38"/>
  <c r="G235" i="38"/>
  <c r="J235" i="38" s="1"/>
  <c r="G397" i="38"/>
  <c r="K223" i="38"/>
  <c r="H307" i="38"/>
  <c r="G232" i="38"/>
  <c r="J232" i="38" s="1"/>
  <c r="G316" i="38"/>
  <c r="L319" i="38"/>
  <c r="L403" i="38"/>
  <c r="L226" i="38"/>
  <c r="G229" i="38"/>
  <c r="J229" i="38" s="1"/>
  <c r="H226" i="38"/>
  <c r="P226" i="38" s="1"/>
  <c r="R226" i="38" s="1"/>
  <c r="G402" i="38"/>
  <c r="J402" i="38" s="1"/>
  <c r="G398" i="38"/>
  <c r="L308" i="38"/>
  <c r="L392" i="38"/>
  <c r="L313" i="38"/>
  <c r="L390" i="38"/>
  <c r="S60" i="27"/>
  <c r="AC53" i="27"/>
  <c r="AD60" i="27"/>
  <c r="AA59" i="27"/>
  <c r="AG59" i="27" s="1"/>
  <c r="AG57" i="27"/>
  <c r="L57" i="38" s="1"/>
  <c r="AA60" i="27"/>
  <c r="AG60" i="27" s="1"/>
  <c r="Q60" i="27"/>
  <c r="AA52" i="27"/>
  <c r="AB59" i="27"/>
  <c r="AC59" i="27"/>
  <c r="AB60" i="27"/>
  <c r="J146" i="38"/>
  <c r="P146" i="38"/>
  <c r="R146" i="38" s="1"/>
  <c r="R60" i="27"/>
  <c r="J151" i="38"/>
  <c r="P151" i="38"/>
  <c r="R151" i="38" s="1"/>
  <c r="Y57" i="27"/>
  <c r="H309" i="38" s="1"/>
  <c r="AD52" i="27"/>
  <c r="Q59" i="27"/>
  <c r="AC60" i="27"/>
  <c r="R59" i="27"/>
  <c r="R52" i="27"/>
  <c r="AC52" i="27"/>
  <c r="Q53" i="27"/>
  <c r="AB53" i="27"/>
  <c r="P59" i="27"/>
  <c r="Z59" i="27" s="1"/>
  <c r="Z54" i="27"/>
  <c r="H390" i="38" s="1"/>
  <c r="S59" i="27"/>
  <c r="P60" i="27"/>
  <c r="Z60" i="27" s="1"/>
  <c r="P53" i="27"/>
  <c r="Z53" i="27" s="1"/>
  <c r="AA53" i="27"/>
  <c r="J66" i="38"/>
  <c r="P66" i="38"/>
  <c r="R66" i="38" s="1"/>
  <c r="AK66" i="27"/>
  <c r="AH66" i="27"/>
  <c r="L150" i="38" s="1"/>
  <c r="AG66" i="27"/>
  <c r="L66" i="38" s="1"/>
  <c r="AJ66" i="27"/>
  <c r="AI66" i="27"/>
  <c r="AD53" i="27"/>
  <c r="AB52" i="27"/>
  <c r="S52" i="27"/>
  <c r="P52" i="27"/>
  <c r="S53" i="27"/>
  <c r="R53" i="27"/>
  <c r="Q52" i="27"/>
  <c r="J149" i="38" l="1"/>
  <c r="AB79" i="27"/>
  <c r="AD79" i="27"/>
  <c r="S79" i="27"/>
  <c r="AK52" i="27"/>
  <c r="AA79" i="27"/>
  <c r="AC79" i="27"/>
  <c r="Q79" i="27"/>
  <c r="R79" i="27"/>
  <c r="Z52" i="27"/>
  <c r="P79" i="27"/>
  <c r="K224" i="38"/>
  <c r="P140" i="38"/>
  <c r="R140" i="38" s="1"/>
  <c r="P142" i="38"/>
  <c r="R142" i="38" s="1"/>
  <c r="L54" i="38"/>
  <c r="L59" i="38"/>
  <c r="P233" i="38"/>
  <c r="R233" i="38" s="1"/>
  <c r="P148" i="38"/>
  <c r="R148" i="38" s="1"/>
  <c r="J147" i="38"/>
  <c r="K139" i="38"/>
  <c r="Y59" i="27"/>
  <c r="P138" i="38"/>
  <c r="R138" i="38" s="1"/>
  <c r="P230" i="38"/>
  <c r="R230" i="38" s="1"/>
  <c r="J145" i="38"/>
  <c r="P399" i="38"/>
  <c r="R399" i="38" s="1"/>
  <c r="P313" i="38"/>
  <c r="R313" i="38" s="1"/>
  <c r="K308" i="38"/>
  <c r="P58" i="38"/>
  <c r="R58" i="38" s="1"/>
  <c r="P54" i="38"/>
  <c r="R54" i="38" s="1"/>
  <c r="J231" i="38"/>
  <c r="K141" i="38"/>
  <c r="AJ52" i="27"/>
  <c r="K310" i="38"/>
  <c r="P163" i="38"/>
  <c r="R163" i="38" s="1"/>
  <c r="N415" i="38"/>
  <c r="P415" i="38" s="1"/>
  <c r="R415" i="38" s="1"/>
  <c r="P79" i="38"/>
  <c r="R79" i="38" s="1"/>
  <c r="P331" i="38"/>
  <c r="R331" i="38" s="1"/>
  <c r="P247" i="38"/>
  <c r="R247" i="38" s="1"/>
  <c r="K55" i="38"/>
  <c r="P55" i="38"/>
  <c r="R55" i="38" s="1"/>
  <c r="J63" i="38"/>
  <c r="P63" i="38"/>
  <c r="R63" i="38" s="1"/>
  <c r="AG81" i="27"/>
  <c r="AG52" i="27"/>
  <c r="J64" i="38"/>
  <c r="P64" i="38"/>
  <c r="R64" i="38" s="1"/>
  <c r="P164" i="38"/>
  <c r="R164" i="38" s="1"/>
  <c r="N416" i="38"/>
  <c r="P416" i="38" s="1"/>
  <c r="R416" i="38" s="1"/>
  <c r="P80" i="38"/>
  <c r="R80" i="38" s="1"/>
  <c r="P332" i="38"/>
  <c r="R332" i="38" s="1"/>
  <c r="P248" i="38"/>
  <c r="R248" i="38" s="1"/>
  <c r="P317" i="38"/>
  <c r="R317" i="38" s="1"/>
  <c r="P235" i="38"/>
  <c r="R235" i="38" s="1"/>
  <c r="P306" i="38"/>
  <c r="R306" i="38" s="1"/>
  <c r="J234" i="38"/>
  <c r="P229" i="38"/>
  <c r="R229" i="38" s="1"/>
  <c r="P150" i="38"/>
  <c r="R150" i="38" s="1"/>
  <c r="P57" i="38"/>
  <c r="R57" i="38" s="1"/>
  <c r="P314" i="38"/>
  <c r="R314" i="38" s="1"/>
  <c r="J62" i="38"/>
  <c r="P222" i="38"/>
  <c r="R222" i="38" s="1"/>
  <c r="J61" i="38"/>
  <c r="P391" i="38"/>
  <c r="R391" i="38" s="1"/>
  <c r="P319" i="38"/>
  <c r="R319" i="38" s="1"/>
  <c r="P232" i="38"/>
  <c r="R232" i="38" s="1"/>
  <c r="L60" i="38"/>
  <c r="P67" i="38"/>
  <c r="R67" i="38" s="1"/>
  <c r="K226" i="38"/>
  <c r="P223" i="38"/>
  <c r="R223" i="38" s="1"/>
  <c r="L52" i="38"/>
  <c r="P56" i="38"/>
  <c r="R56" i="38" s="1"/>
  <c r="P318" i="38"/>
  <c r="R318" i="38" s="1"/>
  <c r="P65" i="38"/>
  <c r="R65" i="38" s="1"/>
  <c r="L309" i="38"/>
  <c r="H225" i="38"/>
  <c r="L318" i="38"/>
  <c r="L225" i="38"/>
  <c r="AH60" i="27"/>
  <c r="L144" i="38" s="1"/>
  <c r="P394" i="38"/>
  <c r="R394" i="38" s="1"/>
  <c r="K394" i="38"/>
  <c r="L402" i="38"/>
  <c r="Y53" i="27"/>
  <c r="Y60" i="27"/>
  <c r="V60" i="27"/>
  <c r="G60" i="38" s="1"/>
  <c r="J60" i="38" s="1"/>
  <c r="V59" i="27"/>
  <c r="G59" i="38" s="1"/>
  <c r="J59" i="38" s="1"/>
  <c r="AJ80" i="27"/>
  <c r="K307" i="38"/>
  <c r="P307" i="38"/>
  <c r="R307" i="38" s="1"/>
  <c r="J315" i="38"/>
  <c r="P315" i="38"/>
  <c r="R315" i="38" s="1"/>
  <c r="AJ59" i="27"/>
  <c r="L311" i="38" s="1"/>
  <c r="H393" i="38"/>
  <c r="J397" i="38"/>
  <c r="P397" i="38"/>
  <c r="R397" i="38" s="1"/>
  <c r="J398" i="38"/>
  <c r="P398" i="38"/>
  <c r="R398" i="38" s="1"/>
  <c r="K392" i="38"/>
  <c r="P392" i="38"/>
  <c r="R392" i="38" s="1"/>
  <c r="J401" i="38"/>
  <c r="P401" i="38"/>
  <c r="R401" i="38" s="1"/>
  <c r="L234" i="38"/>
  <c r="P402" i="38"/>
  <c r="R402" i="38" s="1"/>
  <c r="J316" i="38"/>
  <c r="P316" i="38"/>
  <c r="R316" i="38" s="1"/>
  <c r="L141" i="38"/>
  <c r="J403" i="38"/>
  <c r="P403" i="38"/>
  <c r="R403" i="38" s="1"/>
  <c r="W59" i="27"/>
  <c r="W53" i="27"/>
  <c r="X53" i="27"/>
  <c r="Z80" i="27"/>
  <c r="AK60" i="27"/>
  <c r="AJ60" i="27"/>
  <c r="AK59" i="27"/>
  <c r="AI59" i="27"/>
  <c r="AH59" i="27"/>
  <c r="L143" i="38" s="1"/>
  <c r="K390" i="38"/>
  <c r="P390" i="38"/>
  <c r="R390" i="38" s="1"/>
  <c r="X60" i="27"/>
  <c r="V53" i="27"/>
  <c r="H53" i="38" s="1"/>
  <c r="W60" i="27"/>
  <c r="G144" i="38" s="1"/>
  <c r="X59" i="27"/>
  <c r="K309" i="38"/>
  <c r="P309" i="38"/>
  <c r="R309" i="38" s="1"/>
  <c r="AI53" i="27"/>
  <c r="L221" i="38" s="1"/>
  <c r="AJ53" i="27"/>
  <c r="AK53" i="27"/>
  <c r="AG53" i="27"/>
  <c r="L53" i="38" s="1"/>
  <c r="AH53" i="27"/>
  <c r="AH52" i="27"/>
  <c r="L136" i="38" s="1"/>
  <c r="AI60" i="27"/>
  <c r="L228" i="38" s="1"/>
  <c r="AI52" i="27"/>
  <c r="L220" i="38" s="1"/>
  <c r="Y52" i="27"/>
  <c r="X52" i="27"/>
  <c r="V52" i="27"/>
  <c r="H52" i="38" s="1"/>
  <c r="Z81" i="27"/>
  <c r="W52" i="27"/>
  <c r="H136" i="38" s="1"/>
  <c r="W79" i="27" l="1"/>
  <c r="X79" i="27"/>
  <c r="Y79" i="27"/>
  <c r="Z79" i="27"/>
  <c r="V79" i="27"/>
  <c r="AK79" i="27"/>
  <c r="AJ79" i="27"/>
  <c r="AI79" i="27"/>
  <c r="AH79" i="27"/>
  <c r="AG79" i="27"/>
  <c r="L80" i="38"/>
  <c r="AK81" i="27"/>
  <c r="AJ81" i="27"/>
  <c r="AK80" i="27"/>
  <c r="AI81" i="27"/>
  <c r="L248" i="38" s="1"/>
  <c r="AH81" i="27"/>
  <c r="AI80" i="27"/>
  <c r="H389" i="38"/>
  <c r="K389" i="38" s="1"/>
  <c r="AG80" i="27"/>
  <c r="L79" i="38" s="1"/>
  <c r="P59" i="38"/>
  <c r="R59" i="38" s="1"/>
  <c r="G227" i="38"/>
  <c r="P227" i="38" s="1"/>
  <c r="R227" i="38" s="1"/>
  <c r="P60" i="38"/>
  <c r="R60" i="38" s="1"/>
  <c r="G228" i="38"/>
  <c r="P228" i="38" s="1"/>
  <c r="R228" i="38" s="1"/>
  <c r="K225" i="38"/>
  <c r="P225" i="38"/>
  <c r="R225" i="38" s="1"/>
  <c r="X81" i="27"/>
  <c r="H221" i="38"/>
  <c r="K221" i="38" s="1"/>
  <c r="H304" i="38"/>
  <c r="K304" i="38" s="1"/>
  <c r="AH80" i="27"/>
  <c r="L163" i="38" s="1"/>
  <c r="L388" i="38"/>
  <c r="G312" i="38"/>
  <c r="L389" i="38"/>
  <c r="L396" i="38"/>
  <c r="L332" i="38"/>
  <c r="H220" i="38"/>
  <c r="K220" i="38" s="1"/>
  <c r="G395" i="38"/>
  <c r="L164" i="38"/>
  <c r="L247" i="38"/>
  <c r="L312" i="38"/>
  <c r="P393" i="38"/>
  <c r="R393" i="38" s="1"/>
  <c r="K393" i="38"/>
  <c r="L416" i="38"/>
  <c r="H388" i="38"/>
  <c r="L137" i="38"/>
  <c r="G396" i="38"/>
  <c r="L415" i="38"/>
  <c r="G311" i="38"/>
  <c r="L305" i="38"/>
  <c r="L227" i="38"/>
  <c r="H137" i="38"/>
  <c r="H305" i="38"/>
  <c r="L395" i="38"/>
  <c r="G143" i="38"/>
  <c r="L304" i="38"/>
  <c r="G79" i="38"/>
  <c r="J79" i="38" s="1"/>
  <c r="Y80" i="27"/>
  <c r="X80" i="27"/>
  <c r="K52" i="38"/>
  <c r="P52" i="38"/>
  <c r="R52" i="38" s="1"/>
  <c r="J144" i="38"/>
  <c r="P144" i="38"/>
  <c r="R144" i="38" s="1"/>
  <c r="K136" i="38"/>
  <c r="P136" i="38"/>
  <c r="R136" i="38" s="1"/>
  <c r="K53" i="38"/>
  <c r="P53" i="38"/>
  <c r="R53" i="38" s="1"/>
  <c r="W81" i="27"/>
  <c r="Y81" i="27"/>
  <c r="V81" i="27"/>
  <c r="H80" i="38" s="1"/>
  <c r="K80" i="38" s="1"/>
  <c r="P220" i="38" l="1"/>
  <c r="R220" i="38" s="1"/>
  <c r="P221" i="38"/>
  <c r="R221" i="38" s="1"/>
  <c r="J227" i="38"/>
  <c r="P389" i="38"/>
  <c r="R389" i="38" s="1"/>
  <c r="J228" i="38"/>
  <c r="H332" i="38"/>
  <c r="K332" i="38" s="1"/>
  <c r="P304" i="38"/>
  <c r="R304" i="38" s="1"/>
  <c r="G331" i="38"/>
  <c r="J331" i="38" s="1"/>
  <c r="H248" i="38"/>
  <c r="K248" i="38" s="1"/>
  <c r="J312" i="38"/>
  <c r="P312" i="38"/>
  <c r="R312" i="38" s="1"/>
  <c r="J395" i="38"/>
  <c r="P395" i="38"/>
  <c r="R395" i="38" s="1"/>
  <c r="G247" i="38"/>
  <c r="J247" i="38" s="1"/>
  <c r="L331" i="38"/>
  <c r="J311" i="38"/>
  <c r="P311" i="38"/>
  <c r="R311" i="38" s="1"/>
  <c r="H164" i="38"/>
  <c r="K164" i="38" s="1"/>
  <c r="G415" i="38"/>
  <c r="J415" i="38" s="1"/>
  <c r="H416" i="38"/>
  <c r="K416" i="38" s="1"/>
  <c r="P143" i="38"/>
  <c r="R143" i="38" s="1"/>
  <c r="J143" i="38"/>
  <c r="G163" i="38"/>
  <c r="J163" i="38" s="1"/>
  <c r="K305" i="38"/>
  <c r="P305" i="38"/>
  <c r="R305" i="38" s="1"/>
  <c r="J396" i="38"/>
  <c r="P396" i="38"/>
  <c r="R396" i="38" s="1"/>
  <c r="K137" i="38"/>
  <c r="P137" i="38"/>
  <c r="R137" i="38" s="1"/>
  <c r="P388" i="38"/>
  <c r="R388" i="38" s="1"/>
  <c r="K388" i="38"/>
  <c r="H72" i="27"/>
  <c r="H73" i="27"/>
  <c r="H69" i="27"/>
  <c r="H76" i="27"/>
  <c r="H71" i="27"/>
  <c r="H75" i="27"/>
  <c r="H70" i="27"/>
  <c r="H78" i="27"/>
  <c r="H74" i="27"/>
  <c r="H77" i="27"/>
  <c r="T78" i="38" l="1"/>
  <c r="V78" i="38" s="1"/>
  <c r="X78" i="38" s="1"/>
  <c r="T246" i="38"/>
  <c r="V246" i="38" s="1"/>
  <c r="X246" i="38" s="1"/>
  <c r="T414" i="38"/>
  <c r="V414" i="38" s="1"/>
  <c r="X414" i="38" s="1"/>
  <c r="T162" i="38"/>
  <c r="V162" i="38" s="1"/>
  <c r="X162" i="38" s="1"/>
  <c r="T330" i="38"/>
  <c r="V330" i="38" s="1"/>
  <c r="X330" i="38" s="1"/>
  <c r="T410" i="38"/>
  <c r="V410" i="38" s="1"/>
  <c r="X410" i="38" s="1"/>
  <c r="T158" i="38"/>
  <c r="V158" i="38" s="1"/>
  <c r="X158" i="38" s="1"/>
  <c r="T326" i="38"/>
  <c r="V326" i="38" s="1"/>
  <c r="X326" i="38" s="1"/>
  <c r="T74" i="38"/>
  <c r="V74" i="38" s="1"/>
  <c r="X74" i="38" s="1"/>
  <c r="T242" i="38"/>
  <c r="V242" i="38" s="1"/>
  <c r="X242" i="38" s="1"/>
  <c r="T239" i="38"/>
  <c r="V239" i="38" s="1"/>
  <c r="X239" i="38" s="1"/>
  <c r="T71" i="38"/>
  <c r="V71" i="38" s="1"/>
  <c r="X71" i="38" s="1"/>
  <c r="T407" i="38"/>
  <c r="V407" i="38" s="1"/>
  <c r="X407" i="38" s="1"/>
  <c r="T155" i="38"/>
  <c r="V155" i="38" s="1"/>
  <c r="X155" i="38" s="1"/>
  <c r="T323" i="38"/>
  <c r="V323" i="38" s="1"/>
  <c r="X323" i="38" s="1"/>
  <c r="T70" i="38"/>
  <c r="V70" i="38" s="1"/>
  <c r="X70" i="38" s="1"/>
  <c r="T238" i="38"/>
  <c r="V238" i="38" s="1"/>
  <c r="X238" i="38" s="1"/>
  <c r="T406" i="38"/>
  <c r="V406" i="38" s="1"/>
  <c r="X406" i="38" s="1"/>
  <c r="T154" i="38"/>
  <c r="V154" i="38" s="1"/>
  <c r="X154" i="38" s="1"/>
  <c r="T322" i="38"/>
  <c r="V322" i="38" s="1"/>
  <c r="X322" i="38" s="1"/>
  <c r="T240" i="38"/>
  <c r="V240" i="38" s="1"/>
  <c r="X240" i="38" s="1"/>
  <c r="T408" i="38"/>
  <c r="V408" i="38" s="1"/>
  <c r="X408" i="38" s="1"/>
  <c r="T156" i="38"/>
  <c r="V156" i="38" s="1"/>
  <c r="X156" i="38" s="1"/>
  <c r="T72" i="38"/>
  <c r="V72" i="38" s="1"/>
  <c r="X72" i="38" s="1"/>
  <c r="T324" i="38"/>
  <c r="V324" i="38" s="1"/>
  <c r="X324" i="38" s="1"/>
  <c r="T159" i="38"/>
  <c r="V159" i="38" s="1"/>
  <c r="X159" i="38" s="1"/>
  <c r="T327" i="38"/>
  <c r="V327" i="38" s="1"/>
  <c r="X327" i="38" s="1"/>
  <c r="T243" i="38"/>
  <c r="V243" i="38" s="1"/>
  <c r="X243" i="38" s="1"/>
  <c r="T75" i="38"/>
  <c r="V75" i="38" s="1"/>
  <c r="X75" i="38" s="1"/>
  <c r="T411" i="38"/>
  <c r="V411" i="38" s="1"/>
  <c r="X411" i="38" s="1"/>
  <c r="T328" i="38"/>
  <c r="V328" i="38" s="1"/>
  <c r="X328" i="38" s="1"/>
  <c r="T244" i="38"/>
  <c r="V244" i="38" s="1"/>
  <c r="X244" i="38" s="1"/>
  <c r="T412" i="38"/>
  <c r="V412" i="38" s="1"/>
  <c r="X412" i="38" s="1"/>
  <c r="T160" i="38"/>
  <c r="V160" i="38" s="1"/>
  <c r="X160" i="38" s="1"/>
  <c r="T76" i="38"/>
  <c r="V76" i="38" s="1"/>
  <c r="X76" i="38" s="1"/>
  <c r="T321" i="38"/>
  <c r="V321" i="38" s="1"/>
  <c r="X321" i="38" s="1"/>
  <c r="T69" i="38"/>
  <c r="V69" i="38" s="1"/>
  <c r="X69" i="38" s="1"/>
  <c r="T237" i="38"/>
  <c r="V237" i="38" s="1"/>
  <c r="X237" i="38" s="1"/>
  <c r="T405" i="38"/>
  <c r="V405" i="38" s="1"/>
  <c r="X405" i="38" s="1"/>
  <c r="T153" i="38"/>
  <c r="V153" i="38" s="1"/>
  <c r="X153" i="38" s="1"/>
  <c r="T329" i="38"/>
  <c r="V329" i="38" s="1"/>
  <c r="X329" i="38" s="1"/>
  <c r="T77" i="38"/>
  <c r="V77" i="38" s="1"/>
  <c r="X77" i="38" s="1"/>
  <c r="T245" i="38"/>
  <c r="V245" i="38" s="1"/>
  <c r="X245" i="38" s="1"/>
  <c r="T413" i="38"/>
  <c r="V413" i="38" s="1"/>
  <c r="X413" i="38" s="1"/>
  <c r="T161" i="38"/>
  <c r="V161" i="38" s="1"/>
  <c r="X161" i="38" s="1"/>
  <c r="T241" i="38"/>
  <c r="V241" i="38" s="1"/>
  <c r="X241" i="38" s="1"/>
  <c r="T409" i="38"/>
  <c r="V409" i="38" s="1"/>
  <c r="X409" i="38" s="1"/>
  <c r="T157" i="38"/>
  <c r="V157" i="38" s="1"/>
  <c r="X157" i="38" s="1"/>
  <c r="T325" i="38"/>
  <c r="V325" i="38" s="1"/>
  <c r="X325" i="38" s="1"/>
  <c r="T73" i="38"/>
  <c r="V73" i="38" s="1"/>
  <c r="X73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tc={832E5BE8-A71F-6342-96F0-D0377B18502B}</author>
    <author>tc={C949C927-2087-474D-B397-104FAD62A562}</author>
  </authors>
  <commentList>
    <comment ref="O1" authorId="0" shapeId="0" xr:uid="{832E5BE8-A71F-6342-96F0-D0377B18502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parameters</t>
      </text>
    </comment>
    <comment ref="P1" authorId="1" shapeId="0" xr:uid="{C949C927-2087-474D-B397-104FAD62A562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parameters</t>
      </text>
    </comment>
  </commentList>
</comments>
</file>

<file path=xl/sharedStrings.xml><?xml version="1.0" encoding="utf-8"?>
<sst xmlns="http://schemas.openxmlformats.org/spreadsheetml/2006/main" count="20124" uniqueCount="1113">
  <si>
    <t>CDU</t>
  </si>
  <si>
    <t>Liquid Loop</t>
  </si>
  <si>
    <t>Rack</t>
  </si>
  <si>
    <t>Floor</t>
  </si>
  <si>
    <t>Room</t>
  </si>
  <si>
    <t>Zone</t>
  </si>
  <si>
    <t>Row</t>
  </si>
  <si>
    <t>Aisle</t>
  </si>
  <si>
    <t>Server</t>
  </si>
  <si>
    <t>Networking Device</t>
  </si>
  <si>
    <t>Storage Device</t>
  </si>
  <si>
    <t>FLOOR-1</t>
  </si>
  <si>
    <t>ROOM-1-3</t>
  </si>
  <si>
    <t>Pod</t>
  </si>
  <si>
    <t>POD-05</t>
  </si>
  <si>
    <t>POD-06</t>
  </si>
  <si>
    <t>RPP (A Feed)</t>
  </si>
  <si>
    <t>RPP (B Feed)</t>
  </si>
  <si>
    <t>UPS (A Feed)</t>
  </si>
  <si>
    <t>UPS (B Feed)</t>
  </si>
  <si>
    <t>Switch Gear (A Feed)</t>
  </si>
  <si>
    <t>Switch Gear (B Feed)</t>
  </si>
  <si>
    <t>BESS</t>
  </si>
  <si>
    <t>Utility (A Feed)</t>
  </si>
  <si>
    <t>Utility (B Feed)</t>
  </si>
  <si>
    <t>Generator (A Feed)</t>
  </si>
  <si>
    <t>Generator (B Feed)</t>
  </si>
  <si>
    <t>RPP-R3-A1</t>
  </si>
  <si>
    <t>RPP-R3-B2</t>
  </si>
  <si>
    <t>RPP-R3-B1</t>
  </si>
  <si>
    <t>RPP-R3-A2</t>
  </si>
  <si>
    <t>RPP-R3-B3</t>
  </si>
  <si>
    <t>RPP-R3-A3</t>
  </si>
  <si>
    <t>RPP-R3-A4</t>
  </si>
  <si>
    <t>RPP-R3-B4</t>
  </si>
  <si>
    <t>Planned Rack Density (kW)</t>
  </si>
  <si>
    <t>ROOM-1-4</t>
  </si>
  <si>
    <t>ZONE-R4-Z1</t>
  </si>
  <si>
    <t>ROW-R4-Z1-R1</t>
  </si>
  <si>
    <t>POD-07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</si>
  <si>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</si>
  <si>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</si>
  <si>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</si>
  <si>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</si>
  <si>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</si>
  <si>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</si>
  <si>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</si>
  <si>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</si>
  <si>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</si>
  <si>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</si>
  <si>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</si>
  <si>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</si>
  <si>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</si>
  <si>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</si>
  <si>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</si>
  <si>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</si>
  <si>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</si>
  <si>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</si>
  <si>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</si>
  <si>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</si>
  <si>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</si>
  <si>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</si>
  <si>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</si>
  <si>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</si>
  <si>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RPP-R4-A5</t>
  </si>
  <si>
    <t>RPP-R4-A6</t>
  </si>
  <si>
    <t>RPP-R4-B5</t>
  </si>
  <si>
    <t>RPP-R4-B6</t>
  </si>
  <si>
    <t>Room PDU (A Feed)</t>
  </si>
  <si>
    <t>Room PDU (B Feed)</t>
  </si>
  <si>
    <t>RPDU-R3-A</t>
  </si>
  <si>
    <t>RPDU-R3-B</t>
  </si>
  <si>
    <t>RPDU-R3R4-B</t>
  </si>
  <si>
    <t>RPDU-R4-A</t>
  </si>
  <si>
    <t>UTIL-01</t>
  </si>
  <si>
    <t>UTIL-02</t>
  </si>
  <si>
    <t>SWGR-01</t>
  </si>
  <si>
    <t>SWGR-02</t>
  </si>
  <si>
    <t>GEN-01</t>
  </si>
  <si>
    <t>GEN-02</t>
  </si>
  <si>
    <t>BESS-01</t>
  </si>
  <si>
    <t>Rack PDU (A Feed)</t>
  </si>
  <si>
    <t>Rack PDU (B Feed)</t>
  </si>
  <si>
    <t>ZONE-R3-Z1W</t>
  </si>
  <si>
    <t>ROW-R3-Z1W-R1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</si>
  <si>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</si>
  <si>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</si>
  <si>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</si>
  <si>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</si>
  <si>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</si>
  <si>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</si>
  <si>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</si>
  <si>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</si>
  <si>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</si>
  <si>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</si>
  <si>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</si>
  <si>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</si>
  <si>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ROW-R3-Z1W-R2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</si>
  <si>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</si>
  <si>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</si>
  <si>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</si>
  <si>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</si>
  <si>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</si>
  <si>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</si>
  <si>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</si>
  <si>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</si>
  <si>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</si>
  <si>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</si>
  <si>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</si>
  <si>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</si>
  <si>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ZONE-R3-Z2W</t>
  </si>
  <si>
    <t>ROW-R3-Z2W-R1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</si>
  <si>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</si>
  <si>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</si>
  <si>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</si>
  <si>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</si>
  <si>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</si>
  <si>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</si>
  <si>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</si>
  <si>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</si>
  <si>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</si>
  <si>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</si>
  <si>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</si>
  <si>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</si>
  <si>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ROW-R3-Z2W-R2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</si>
  <si>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</si>
  <si>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</si>
  <si>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</si>
  <si>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</si>
  <si>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</si>
  <si>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</si>
  <si>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</si>
  <si>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</si>
  <si>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</si>
  <si>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</si>
  <si>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</si>
  <si>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</si>
  <si>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ZONE-R3-Z3W</t>
  </si>
  <si>
    <t>ROW-R3-Z3W-R1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</si>
  <si>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</si>
  <si>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</si>
  <si>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</si>
  <si>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</si>
  <si>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</si>
  <si>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</si>
  <si>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</si>
  <si>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</si>
  <si>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</si>
  <si>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</si>
  <si>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</si>
  <si>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</si>
  <si>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ROW-R3-Z3W-R2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</si>
  <si>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</si>
  <si>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</si>
  <si>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</si>
  <si>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</si>
  <si>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</si>
  <si>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</si>
  <si>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</si>
  <si>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</si>
  <si>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</si>
  <si>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</si>
  <si>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</si>
  <si>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</si>
  <si>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ZONE-R3-Z4E</t>
  </si>
  <si>
    <t>ROW-R3-Z4E-R1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</si>
  <si>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</si>
  <si>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</si>
  <si>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</si>
  <si>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</si>
  <si>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</si>
  <si>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</si>
  <si>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</si>
  <si>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</si>
  <si>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</si>
  <si>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</si>
  <si>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</si>
  <si>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</si>
  <si>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ROW-R3-Z4E-R2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</si>
  <si>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</si>
  <si>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</si>
  <si>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</si>
  <si>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</si>
  <si>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</si>
  <si>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</si>
  <si>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</si>
  <si>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</si>
  <si>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</si>
  <si>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</si>
  <si>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</si>
  <si>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</si>
  <si>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ZONE-R3-Z5E</t>
  </si>
  <si>
    <t>ROW-R3-Z5E-R1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</si>
  <si>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</si>
  <si>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</si>
  <si>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</si>
  <si>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</si>
  <si>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</si>
  <si>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</si>
  <si>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</si>
  <si>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</si>
  <si>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</si>
  <si>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</si>
  <si>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</si>
  <si>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</si>
  <si>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ROW-R3-Z5E-R2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</si>
  <si>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</si>
  <si>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</si>
  <si>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</si>
  <si>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</si>
  <si>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</si>
  <si>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</si>
  <si>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</si>
  <si>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</si>
  <si>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</si>
  <si>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</si>
  <si>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</si>
  <si>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</si>
  <si>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ZONE-R3-Z6E</t>
  </si>
  <si>
    <t>ROW-R3-Z6E-R1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</si>
  <si>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</si>
  <si>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</si>
  <si>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</si>
  <si>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</si>
  <si>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</si>
  <si>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</si>
  <si>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</si>
  <si>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</si>
  <si>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</si>
  <si>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</si>
  <si>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</si>
  <si>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</si>
  <si>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ROW-R3-Z6E-R2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</si>
  <si>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</si>
  <si>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</si>
  <si>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</si>
  <si>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</si>
  <si>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</si>
  <si>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</si>
  <si>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</si>
  <si>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</si>
  <si>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</si>
  <si>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</si>
  <si>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</si>
  <si>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</si>
  <si>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Air Zone</t>
  </si>
  <si>
    <t>LL-R3-W</t>
  </si>
  <si>
    <t>LL-R3-E</t>
  </si>
  <si>
    <t>AIRZONE-R3-W1</t>
  </si>
  <si>
    <t>AIRZONE-R3-W2</t>
  </si>
  <si>
    <t>AIRZONE-R3-E1</t>
  </si>
  <si>
    <t>AIRZONE-R3-E2</t>
  </si>
  <si>
    <t>LL-R4</t>
  </si>
  <si>
    <t>AIRZONE-R4</t>
  </si>
  <si>
    <t>CDU-R3-W</t>
  </si>
  <si>
    <t>CDU-R3-E</t>
  </si>
  <si>
    <t>CDU-R4</t>
  </si>
  <si>
    <t>Air Heat Load</t>
  </si>
  <si>
    <t>CRAH</t>
  </si>
  <si>
    <t>Cooling Distribution</t>
  </si>
  <si>
    <t>CRAH Rating (kW)</t>
  </si>
  <si>
    <t>CRAH-AZ-R3-E1-01</t>
  </si>
  <si>
    <t>CRAH-AZ-R3-E1-02</t>
  </si>
  <si>
    <t>CRAH-AZ-R3-E1-03</t>
  </si>
  <si>
    <t>CRAH-AZ-R3-E1-04</t>
  </si>
  <si>
    <t>CRAH-AZ-R3-E1-05</t>
  </si>
  <si>
    <t>Acitve</t>
  </si>
  <si>
    <t>CRAH-AZ-R3-E2-01</t>
  </si>
  <si>
    <t>CRAH-AZ-R3-E2-02</t>
  </si>
  <si>
    <t>CRAH-AZ-R3-E2-03</t>
  </si>
  <si>
    <t>CRAH-AZ-R3-W1-01</t>
  </si>
  <si>
    <t>CRAH-AZ-R3-W1-02</t>
  </si>
  <si>
    <t>CRAH-AZ-R3-W1-03</t>
  </si>
  <si>
    <t>CRAH-AZ-R3-W1-04</t>
  </si>
  <si>
    <t>CRAH-AZ-R3-W1-05</t>
  </si>
  <si>
    <t>CRAH-AZ-R3-W2-01</t>
  </si>
  <si>
    <t>CRAH-AZ-R3-W2-02</t>
  </si>
  <si>
    <t>CRAH-AZ-R3-W2-03</t>
  </si>
  <si>
    <t>CRAH-AZ-R4-01</t>
  </si>
  <si>
    <t>CRAH-AZ-R4-02</t>
  </si>
  <si>
    <t>CRAH-AZ-R4-03</t>
  </si>
  <si>
    <t>CDIST-A-02</t>
  </si>
  <si>
    <t>Liquid Cooling Load</t>
  </si>
  <si>
    <t>CDIST-L-02</t>
  </si>
  <si>
    <t>Design DetlaT_Device (Celcius)</t>
  </si>
  <si>
    <t>Supply Temp_Device (Celcius)</t>
  </si>
  <si>
    <t>Max CDU branch inlet temp (Celcius)</t>
  </si>
  <si>
    <t>CDU branch inlet temp operational setpoint</t>
  </si>
  <si>
    <t>Cold aisle supply temp</t>
  </si>
  <si>
    <t>Max inlet air temp</t>
  </si>
  <si>
    <t>Design DeltaT_Rack</t>
  </si>
  <si>
    <t>Inlet temp operational setpoint</t>
  </si>
  <si>
    <t>UPS-B</t>
  </si>
  <si>
    <t>UPS-02-A</t>
  </si>
  <si>
    <t>UPS-02-B</t>
  </si>
  <si>
    <t>Capacity Cell</t>
  </si>
  <si>
    <t>RPP-A</t>
  </si>
  <si>
    <t>RPP-B</t>
  </si>
  <si>
    <t>Room PDU-B</t>
  </si>
  <si>
    <t>Room PDU-A</t>
  </si>
  <si>
    <t>UPS-A</t>
  </si>
  <si>
    <t>ROOM-1-5</t>
  </si>
  <si>
    <t>ROW-R4-Z1-R2</t>
  </si>
  <si>
    <t>POD-08</t>
  </si>
  <si>
    <t>POD-09</t>
  </si>
  <si>
    <t>RPP-R5-A1</t>
  </si>
  <si>
    <t>RPP-R5-B1</t>
  </si>
  <si>
    <t>RPP-R5-A2</t>
  </si>
  <si>
    <t>RPP-R5-B2</t>
  </si>
  <si>
    <t>RPP-R5-A3</t>
  </si>
  <si>
    <t>RPP-R5-B3</t>
  </si>
  <si>
    <t>RPP-R5-A4</t>
  </si>
  <si>
    <t>RPP-R5-B4</t>
  </si>
  <si>
    <t>RPDU-R5-A</t>
  </si>
  <si>
    <t>RPDU-R5-B</t>
  </si>
  <si>
    <t>CDU-R5-E</t>
  </si>
  <si>
    <t>CDU-R5-W</t>
  </si>
  <si>
    <t>LL-R5-W</t>
  </si>
  <si>
    <t>LL-R5-E</t>
  </si>
  <si>
    <t>AIRZONE-R5-W</t>
  </si>
  <si>
    <t>AIRZONE-R5-E</t>
  </si>
  <si>
    <t>ZONE-R5-Z1W</t>
  </si>
  <si>
    <t>ZONE-R5-Z2E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</si>
  <si>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</si>
  <si>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</si>
  <si>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</si>
  <si>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</si>
  <si>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</si>
  <si>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</si>
  <si>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</si>
  <si>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</si>
  <si>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</si>
  <si>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</si>
  <si>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</si>
  <si>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</si>
  <si>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</si>
  <si>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</si>
  <si>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</si>
  <si>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</si>
  <si>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</si>
  <si>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</si>
  <si>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</si>
  <si>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</si>
  <si>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</si>
  <si>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</si>
  <si>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</si>
  <si>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</si>
  <si>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</si>
  <si>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</si>
  <si>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</si>
  <si>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</si>
  <si>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</si>
  <si>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</si>
  <si>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</si>
  <si>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</si>
  <si>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</si>
  <si>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</si>
  <si>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</si>
  <si>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</si>
  <si>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</si>
  <si>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</si>
  <si>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</si>
  <si>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</si>
  <si>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</si>
  <si>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</si>
  <si>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</si>
  <si>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</si>
  <si>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</si>
  <si>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</si>
  <si>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</si>
  <si>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</si>
  <si>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CRAH-AZ-R5-W-01</t>
  </si>
  <si>
    <t>CRAH-AZ-R5-W-02</t>
  </si>
  <si>
    <t>CRAH-AZ-R5-W-03</t>
  </si>
  <si>
    <t>CRAH-AZ-R5-W-04</t>
  </si>
  <si>
    <t>CRAH-AZ-R5-E-05</t>
  </si>
  <si>
    <t>CRAH-AZ-R5-E-06</t>
  </si>
  <si>
    <t>CRAH-AZ-R5-E-07</t>
  </si>
  <si>
    <t>CRAH-AZ-R5-E-08</t>
  </si>
  <si>
    <t>ROW-R5-Z1W-R1</t>
  </si>
  <si>
    <t>ROW-R5-Z1W-R2</t>
  </si>
  <si>
    <t>ROW-R5-Z2E-R1</t>
  </si>
  <si>
    <t>ROW-R5-Z2E-R2</t>
  </si>
  <si>
    <t>Room Bundle</t>
  </si>
  <si>
    <t>BDL-R3</t>
  </si>
  <si>
    <t>CC-R3</t>
  </si>
  <si>
    <t>CC-R4</t>
  </si>
  <si>
    <t>CC-R5W</t>
  </si>
  <si>
    <t>CC-R5E</t>
  </si>
  <si>
    <t>BDL-R4</t>
  </si>
  <si>
    <t>BDL-R5</t>
  </si>
  <si>
    <t>Room PDU Bundle</t>
  </si>
  <si>
    <t>BDL-RPDU-R3R4</t>
  </si>
  <si>
    <t>BDL-RPDU-R5</t>
  </si>
  <si>
    <t>UPS Bundle</t>
  </si>
  <si>
    <t>BDL-UPS-02</t>
  </si>
  <si>
    <t>RACK-R1-Z1-R1-01</t>
  </si>
  <si>
    <t>LL-R1</t>
  </si>
  <si>
    <t>RACK-R1-Z1-R1-02</t>
  </si>
  <si>
    <t>RACK-R1-Z1-R1-03</t>
  </si>
  <si>
    <t>RACK-R1-Z1-R1-04</t>
  </si>
  <si>
    <t>RACK-R1-Z1-R1-05</t>
  </si>
  <si>
    <t>RACK-R1-Z1-R1-06</t>
  </si>
  <si>
    <t>RACK-R1-Z1-R2-01</t>
  </si>
  <si>
    <t>RACK-R1-Z1-R2-02</t>
  </si>
  <si>
    <t>RACK-R1-Z1-R2-03</t>
  </si>
  <si>
    <t>RACK-R1-Z1-R2-04</t>
  </si>
  <si>
    <t>RACK-R1-Z1-R2-05</t>
  </si>
  <si>
    <t>RACK-R1-Z1-R2-06</t>
  </si>
  <si>
    <t>RACK-R1-Z2-R1-01</t>
  </si>
  <si>
    <t>RACK-R1-Z2-R1-02</t>
  </si>
  <si>
    <t>RACK-R1-Z2-R1-03</t>
  </si>
  <si>
    <t>RACK-R1-Z2-R1-04</t>
  </si>
  <si>
    <t>RACK-R1-Z2-R1-05</t>
  </si>
  <si>
    <t>RACK-R1-Z2-R1-06</t>
  </si>
  <si>
    <t>RACK-R1-Z2-R2-01</t>
  </si>
  <si>
    <t>RACK-R1-Z2-R2-02</t>
  </si>
  <si>
    <t>RACK-R1-Z2-R2-03</t>
  </si>
  <si>
    <t>RACK-R1-Z2-R2-04</t>
  </si>
  <si>
    <t>RACK-R1-Z2-R2-05</t>
  </si>
  <si>
    <t>RACK-R1-Z2-R2-06</t>
  </si>
  <si>
    <t>RACK-R2-Z1-R1-01</t>
  </si>
  <si>
    <t>LL-R2</t>
  </si>
  <si>
    <t>RACK-R2-Z1-R1-02</t>
  </si>
  <si>
    <t>RACK-R2-Z1-R1-03</t>
  </si>
  <si>
    <t>RACK-R2-Z1-R1-04</t>
  </si>
  <si>
    <t>RACK-R2-Z1-R1-05</t>
  </si>
  <si>
    <t>RACK-R2-Z1-R1-06</t>
  </si>
  <si>
    <t>RACK-R2-Z1-R2-01</t>
  </si>
  <si>
    <t>RACK-R2-Z1-R2-02</t>
  </si>
  <si>
    <t>RACK-R2-Z1-R2-03</t>
  </si>
  <si>
    <t>RACK-R2-Z1-R2-04</t>
  </si>
  <si>
    <t>RACK-R2-Z1-R2-05</t>
  </si>
  <si>
    <t>RACK-R2-Z1-R2-06</t>
  </si>
  <si>
    <t>RACK-R2-Z2-R1-01</t>
  </si>
  <si>
    <t>RACK-R2-Z2-R1-02</t>
  </si>
  <si>
    <t>RACK-R2-Z2-R1-03</t>
  </si>
  <si>
    <t>RACK-R2-Z2-R1-04</t>
  </si>
  <si>
    <t>RACK-R2-Z2-R1-05</t>
  </si>
  <si>
    <t>RACK-R2-Z2-R1-06</t>
  </si>
  <si>
    <t>RACK-R2-Z2-R2-01</t>
  </si>
  <si>
    <t>RACK-R2-Z2-R2-02</t>
  </si>
  <si>
    <t>RACK-R2-Z2-R2-03</t>
  </si>
  <si>
    <t>RACK-R2-Z2-R2-04</t>
  </si>
  <si>
    <t>RACK-R2-Z2-R2-05</t>
  </si>
  <si>
    <t>RACK-R2-Z2-R2-06</t>
  </si>
  <si>
    <t>AIRZONE-R1</t>
  </si>
  <si>
    <t>AIRZONE-R2</t>
  </si>
  <si>
    <t>RPP-R1-1</t>
  </si>
  <si>
    <t>RPP-R1-2</t>
  </si>
  <si>
    <t>RPP-R2-1</t>
  </si>
  <si>
    <t>RPP-R2-2</t>
  </si>
  <si>
    <t>RPDU-R1</t>
  </si>
  <si>
    <t>RPDU-R2</t>
  </si>
  <si>
    <t>UPS-01</t>
  </si>
  <si>
    <t>CC-R1R2</t>
  </si>
  <si>
    <t>BDL-R1R2</t>
  </si>
  <si>
    <t>BDL-RPDU-R1R2</t>
  </si>
  <si>
    <t>BDL-UPS-01</t>
  </si>
  <si>
    <t>Meridian</t>
  </si>
  <si>
    <t>Keystone</t>
  </si>
  <si>
    <t>Pacific</t>
  </si>
  <si>
    <t>Constraint Type</t>
  </si>
  <si>
    <t>Constraint Node</t>
  </si>
  <si>
    <t>CDU-R1</t>
  </si>
  <si>
    <t>CDU-R2</t>
  </si>
  <si>
    <t>ROW-R1-Z1-R1</t>
  </si>
  <si>
    <t>ROW-R1-Z1-R2</t>
  </si>
  <si>
    <t>ROW-R1-Z2-R1</t>
  </si>
  <si>
    <t>ROW-R1-Z2-R2</t>
  </si>
  <si>
    <t>ROW-R2-Z1-R1</t>
  </si>
  <si>
    <t>ROW-R2-Z1-R2</t>
  </si>
  <si>
    <t>ROW-R2-Z2-R1</t>
  </si>
  <si>
    <t>ROW-R2-Z2-R2</t>
  </si>
  <si>
    <t>ZONE-R1-Z1</t>
  </si>
  <si>
    <t>ZONE-R1-Z2</t>
  </si>
  <si>
    <t>ZONE-R2-Z1</t>
  </si>
  <si>
    <t>ZONE-R2-Z2</t>
  </si>
  <si>
    <t>POD-01</t>
  </si>
  <si>
    <t>POD-02</t>
  </si>
  <si>
    <t>POD-03</t>
  </si>
  <si>
    <t>POD-04</t>
  </si>
  <si>
    <t>RACKPDU-RACK-R1-Z1-R1-01</t>
  </si>
  <si>
    <t>RACKPDU-RACK-R1-Z1-R1-02</t>
  </si>
  <si>
    <t>RACKPDU-RACK-R1-Z1-R1-03</t>
  </si>
  <si>
    <t>RACKPDU-RACK-R1-Z1-R1-04</t>
  </si>
  <si>
    <t>RACKPDU-RACK-R1-Z1-R1-05</t>
  </si>
  <si>
    <t>RACKPDU-RACK-R1-Z1-R1-06</t>
  </si>
  <si>
    <t>RACKPDU-RACK-R1-Z1-R2-01</t>
  </si>
  <si>
    <t>RACKPDU-RACK-R1-Z1-R2-02</t>
  </si>
  <si>
    <t>RACKPDU-RACK-R1-Z1-R2-03</t>
  </si>
  <si>
    <t>RACKPDU-RACK-R1-Z1-R2-04</t>
  </si>
  <si>
    <t>RACKPDU-RACK-R1-Z1-R2-05</t>
  </si>
  <si>
    <t>RACKPDU-RACK-R1-Z1-R2-06</t>
  </si>
  <si>
    <t>RACKPDU-RACK-R1-Z2-R1-01</t>
  </si>
  <si>
    <t>RACKPDU-RACK-R1-Z2-R1-02</t>
  </si>
  <si>
    <t>RACKPDU-RACK-R1-Z2-R1-03</t>
  </si>
  <si>
    <t>RACKPDU-RACK-R1-Z2-R1-04</t>
  </si>
  <si>
    <t>RACKPDU-RACK-R1-Z2-R1-05</t>
  </si>
  <si>
    <t>RACKPDU-RACK-R1-Z2-R1-06</t>
  </si>
  <si>
    <t>RACKPDU-RACK-R1-Z2-R2-01</t>
  </si>
  <si>
    <t>RACKPDU-RACK-R1-Z2-R2-02</t>
  </si>
  <si>
    <t>RACKPDU-RACK-R1-Z2-R2-03</t>
  </si>
  <si>
    <t>RACKPDU-RACK-R1-Z2-R2-04</t>
  </si>
  <si>
    <t>RACKPDU-RACK-R1-Z2-R2-05</t>
  </si>
  <si>
    <t>RACKPDU-RACK-R1-Z2-R2-06</t>
  </si>
  <si>
    <t>RACKPDU-RACK-R2-Z1-R1-01</t>
  </si>
  <si>
    <t>RACKPDU-RACK-R2-Z1-R1-02</t>
  </si>
  <si>
    <t>RACKPDU-RACK-R2-Z1-R1-03</t>
  </si>
  <si>
    <t>RACKPDU-RACK-R2-Z1-R1-04</t>
  </si>
  <si>
    <t>RACKPDU-RACK-R2-Z1-R1-05</t>
  </si>
  <si>
    <t>RACKPDU-RACK-R2-Z1-R1-06</t>
  </si>
  <si>
    <t>RACKPDU-RACK-R2-Z1-R2-01</t>
  </si>
  <si>
    <t>RACKPDU-RACK-R2-Z1-R2-02</t>
  </si>
  <si>
    <t>RACKPDU-RACK-R2-Z1-R2-03</t>
  </si>
  <si>
    <t>RACKPDU-RACK-R2-Z1-R2-04</t>
  </si>
  <si>
    <t>RACKPDU-RACK-R2-Z1-R2-05</t>
  </si>
  <si>
    <t>RACKPDU-RACK-R2-Z1-R2-06</t>
  </si>
  <si>
    <t>RACKPDU-RACK-R2-Z2-R1-01</t>
  </si>
  <si>
    <t>RACKPDU-RACK-R2-Z2-R1-02</t>
  </si>
  <si>
    <t>RACKPDU-RACK-R2-Z2-R1-03</t>
  </si>
  <si>
    <t>RACKPDU-RACK-R2-Z2-R1-04</t>
  </si>
  <si>
    <t>RACKPDU-RACK-R2-Z2-R1-05</t>
  </si>
  <si>
    <t>RACKPDU-RACK-R2-Z2-R1-06</t>
  </si>
  <si>
    <t>RACKPDU-RACK-R2-Z2-R2-01</t>
  </si>
  <si>
    <t>RACKPDU-RACK-R2-Z2-R2-02</t>
  </si>
  <si>
    <t>RACKPDU-RACK-R2-Z2-R2-03</t>
  </si>
  <si>
    <t>RACKPDU-RACK-R2-Z2-R2-04</t>
  </si>
  <si>
    <t>RACKPDU-RACK-R2-Z2-R2-05</t>
  </si>
  <si>
    <t>RACKPDU-RACK-R2-Z2-R2-06</t>
  </si>
  <si>
    <t>RPP</t>
  </si>
  <si>
    <t>UPS</t>
  </si>
  <si>
    <t>Deployment</t>
  </si>
  <si>
    <t>Cluster</t>
  </si>
  <si>
    <t>SJ-Meridian-C01</t>
  </si>
  <si>
    <t>SJ-Pacific-C01</t>
  </si>
  <si>
    <t>Placement Plan</t>
  </si>
  <si>
    <t>Placement Draft</t>
  </si>
  <si>
    <t>SJ-Meridian-C01-PP01</t>
  </si>
  <si>
    <t>SJ-Pacific-C01-PD01</t>
  </si>
  <si>
    <t>SJ-Pacific-C01-PD02</t>
  </si>
  <si>
    <t>SJ-Pacific-C01-PD03</t>
  </si>
  <si>
    <t>SJ-Keystone-C01</t>
  </si>
  <si>
    <t>SJ-Keystrone-C02</t>
  </si>
  <si>
    <t>SJ-Keystone-C01-PP01</t>
  </si>
  <si>
    <t>Cold Aisle</t>
  </si>
  <si>
    <t>Hot Aisle</t>
  </si>
  <si>
    <t>AISLE-R3-Z1W-R1H</t>
  </si>
  <si>
    <t>AISLE-R3-Z1W-R1R2C</t>
  </si>
  <si>
    <t>AISLE-R3-Z2W-R1H</t>
  </si>
  <si>
    <t>AISLE-R3-Z3W-R1H</t>
  </si>
  <si>
    <t>AISLE-R3-Z3W-R1R2C</t>
  </si>
  <si>
    <t>AISLE-R3-Z3W-R2H</t>
  </si>
  <si>
    <t>AISLE-R5-Z1W-R1H</t>
  </si>
  <si>
    <t>AISLE-R5-Z1W-R1R2C</t>
  </si>
  <si>
    <t>AISLE-R5-Z1W-R2H</t>
  </si>
  <si>
    <t>AISLE-R5-Z2E-R1H</t>
  </si>
  <si>
    <t>AISLE-R5-Z2E-R1R2C</t>
  </si>
  <si>
    <t>AISLE-R5-Z2E-R2H</t>
  </si>
  <si>
    <t>AISLE-R3-Z2W-R1R2C</t>
  </si>
  <si>
    <t>AISLE-R3-Z4E-R1H</t>
  </si>
  <si>
    <t>AISLE-R3-Z4E-R1R2C</t>
  </si>
  <si>
    <t>AISLE-R3-Z5E-R1R2C</t>
  </si>
  <si>
    <t>AISLE-R3-Z6E-R1R2C</t>
  </si>
  <si>
    <t>AISLE-R3-Z6E-R2H</t>
  </si>
  <si>
    <t>AISLE-R4-Z1-R1H</t>
  </si>
  <si>
    <t>AISLE-R4-Z1-R1R2C</t>
  </si>
  <si>
    <t>AISLE-R4-Z1-R2H</t>
  </si>
  <si>
    <t>AISLE-R3-Z5E-R1H</t>
  </si>
  <si>
    <t>AISLE-R3-Z6E-R1H</t>
  </si>
  <si>
    <t>RPP Breaker / Bus Rating</t>
  </si>
  <si>
    <t>Rated kW (3-phase ~415 V)</t>
  </si>
  <si>
    <t>80% Derated kW</t>
  </si>
  <si>
    <t>225 A</t>
  </si>
  <si>
    <t>~162 kW</t>
  </si>
  <si>
    <t>130 kW</t>
  </si>
  <si>
    <t>400 A</t>
  </si>
  <si>
    <t>~288 kW</t>
  </si>
  <si>
    <t>230 kW</t>
  </si>
  <si>
    <t>600 A</t>
  </si>
  <si>
    <t>~431 kW</t>
  </si>
  <si>
    <t>345 kW</t>
  </si>
  <si>
    <t>800 A</t>
  </si>
  <si>
    <t>~575 kW</t>
  </si>
  <si>
    <t>460 kW</t>
  </si>
  <si>
    <r>
      <t>1200 A</t>
    </r>
    <r>
      <rPr>
        <sz val="12"/>
        <color theme="1"/>
        <rFont val="Aptos Narrow"/>
        <family val="2"/>
        <scheme val="minor"/>
      </rPr>
      <t xml:space="preserve"> (HD RPP)</t>
    </r>
  </si>
  <si>
    <t>~863 kW</t>
  </si>
  <si>
    <t>690 kW</t>
  </si>
  <si>
    <r>
      <t>1600 A</t>
    </r>
    <r>
      <rPr>
        <sz val="12"/>
        <color theme="1"/>
        <rFont val="Aptos Narrow"/>
        <family val="2"/>
        <scheme val="minor"/>
      </rPr>
      <t xml:space="preserve"> (HD RPP)</t>
    </r>
  </si>
  <si>
    <t>~1,150 kW</t>
  </si>
  <si>
    <t>920 kW</t>
  </si>
  <si>
    <r>
      <t>2000 A</t>
    </r>
    <r>
      <rPr>
        <sz val="12"/>
        <color theme="1"/>
        <rFont val="Aptos Narrow"/>
        <family val="2"/>
        <scheme val="minor"/>
      </rPr>
      <t xml:space="preserve"> (HD RPP)</t>
    </r>
  </si>
  <si>
    <t>~1,438 kW</t>
  </si>
  <si>
    <t>1,150 kW</t>
  </si>
  <si>
    <r>
      <t>2400 A</t>
    </r>
    <r>
      <rPr>
        <sz val="12"/>
        <color theme="1"/>
        <rFont val="Aptos Narrow"/>
        <family val="2"/>
        <scheme val="minor"/>
      </rPr>
      <t xml:space="preserve"> (HD RPP)</t>
    </r>
  </si>
  <si>
    <t>~1,725 kW</t>
  </si>
  <si>
    <t>1,380 kW</t>
  </si>
  <si>
    <t>Common RPP Classes</t>
  </si>
  <si>
    <r>
      <t xml:space="preserve">The </t>
    </r>
    <r>
      <rPr>
        <b/>
        <sz val="12"/>
        <color theme="1"/>
        <rFont val="Aptos Narrow"/>
        <family val="2"/>
        <scheme val="minor"/>
      </rPr>
      <t>RPP device capacity is usually intentionally larger than the deployed rack load</t>
    </r>
    <r>
      <rPr>
        <sz val="12"/>
        <color theme="1"/>
        <rFont val="Aptos Narrow"/>
        <family val="2"/>
        <scheme val="minor"/>
      </rPr>
      <t xml:space="preserve"> because:</t>
    </r>
  </si>
  <si>
    <t>circuits must remain flexible</t>
  </si>
  <si>
    <t>loads are uneven across rows</t>
  </si>
  <si>
    <t>some breaker slots remain unused</t>
  </si>
  <si>
    <t>So in practice:</t>
  </si>
  <si>
    <t>RPP device capacity ≈ 1.3–2× the typical rack load it feeds</t>
  </si>
  <si>
    <t>(blank)</t>
  </si>
  <si>
    <t>Grand Total</t>
  </si>
  <si>
    <t>ITL-SJ-Meridian-C01-PP01</t>
  </si>
  <si>
    <t>ITL-SJ-Pacific-C01-PD01</t>
  </si>
  <si>
    <t>ACL-SJ-Meridian-C01-PP01</t>
  </si>
  <si>
    <t>LCL-SJ-Meridian-C01-PP01</t>
  </si>
  <si>
    <t>ACL-SJ-Pacific-C01-PD01</t>
  </si>
  <si>
    <t>LCL-SJ-Pacific-C01-PD01</t>
  </si>
  <si>
    <t>ITL-SJ-Pacific-C01-PD02</t>
  </si>
  <si>
    <t>ACL-SJ-Pacific-C01-PD02</t>
  </si>
  <si>
    <t>LCL-SJ-Pacific-C01-PD02</t>
  </si>
  <si>
    <t>ACL-SJ-Pacific-C01-PD03</t>
  </si>
  <si>
    <t>LCL-SJ-Pacific-C01-PD03</t>
  </si>
  <si>
    <t>ITL-SJ-Keystone-C01-PP01</t>
  </si>
  <si>
    <t>ITL-SJ-Pacific-C01-PD03</t>
  </si>
  <si>
    <t>ACL-SJ-Keystone-C01-PP01</t>
  </si>
  <si>
    <t>LCL-SJ-Keystone-C01-PP01</t>
  </si>
  <si>
    <t>RPP (A)</t>
  </si>
  <si>
    <t>RPP (B)</t>
  </si>
  <si>
    <t>CC LL Capacity</t>
  </si>
  <si>
    <t>CC AZ Capacity</t>
  </si>
  <si>
    <t>CC RPP(A) Capacity</t>
  </si>
  <si>
    <t>CC RPP(B) Capacity</t>
  </si>
  <si>
    <t>RPP(A)</t>
  </si>
  <si>
    <t>RPP(B)</t>
  </si>
  <si>
    <t>SJ-Meridian-C01-PP01 LOAD</t>
  </si>
  <si>
    <t>SJ-Pacific-C01-PD01 LOAD</t>
  </si>
  <si>
    <t>SJ-Pacific-C01-PD04</t>
  </si>
  <si>
    <t>ITL-SJ-Pacific-C01-PD04</t>
  </si>
  <si>
    <t>ACL-SJ-Pacific-C01-PD04</t>
  </si>
  <si>
    <t>LCL-SJ-Pacific-C01-PD04</t>
  </si>
  <si>
    <t>Rack_Count</t>
  </si>
  <si>
    <t>Allocated_ITLoad</t>
  </si>
  <si>
    <t>TheorMax_ITLoad</t>
  </si>
  <si>
    <t>Allocated_AirCool_Load</t>
  </si>
  <si>
    <t>Allocated_LiquidCool_Load</t>
  </si>
  <si>
    <t>TheorMax_AirCool_Load</t>
  </si>
  <si>
    <t>TheorMax_LiquidCool_Load</t>
  </si>
  <si>
    <t>Node ID</t>
  </si>
  <si>
    <t>Private</t>
  </si>
  <si>
    <t>Node Type</t>
  </si>
  <si>
    <t>Room PDU</t>
  </si>
  <si>
    <t>SJ-Pacific-C01-PD02 LOAD</t>
  </si>
  <si>
    <t>SJ-Pacific-C01-PD03 LOAD</t>
  </si>
  <si>
    <t>SJ-Pacific-C01-PD04 LOAD</t>
  </si>
  <si>
    <t>SJ-Keystone-C01-PP01 LOAD</t>
  </si>
  <si>
    <t>SJ-Meridian-C01-PP01 COUNT</t>
  </si>
  <si>
    <t>SJ-Pacific-C01-PD01 COUNT</t>
  </si>
  <si>
    <t>SJ-Pacific-C01-PD02 COUNT</t>
  </si>
  <si>
    <t>SJ-Pacific-C01-PD03 COUNT</t>
  </si>
  <si>
    <t>SJ-Pacific-C01-PD04 COUNT</t>
  </si>
  <si>
    <t>SJ-Keystone-C01-PP01 COUNT</t>
  </si>
  <si>
    <t>Local_Capacity_Margin</t>
  </si>
  <si>
    <t>Local_Capacity_Margin%</t>
  </si>
  <si>
    <t>Operational Capacity</t>
  </si>
  <si>
    <t>Operational Capacity Name</t>
  </si>
  <si>
    <t>Rack_Circuit_Capacity_(design)</t>
  </si>
  <si>
    <t>Device Capacity Name</t>
  </si>
  <si>
    <t>Rated_Cooling_Capacity</t>
  </si>
  <si>
    <t>RPP_Panel_Capacity_(rated)</t>
  </si>
  <si>
    <t>RPP_Panel_Capacity_(design)</t>
  </si>
  <si>
    <t>Device Limit Name (rated)</t>
  </si>
  <si>
    <t>Device Capacity Name (design)</t>
  </si>
  <si>
    <t>AirZone_Cooling_Capacity</t>
  </si>
  <si>
    <t>LL_Cooling_Capacity</t>
  </si>
  <si>
    <t>Air Cooling Unit</t>
  </si>
  <si>
    <t>RPDU_Operational_Cap</t>
  </si>
  <si>
    <t>RPDU_Design_Capacity</t>
  </si>
  <si>
    <t>RPDU_Transformer_Rating</t>
  </si>
  <si>
    <t>UPS_Rated_Capacity</t>
  </si>
  <si>
    <t>UPS_Design_Capacity</t>
  </si>
  <si>
    <t>UPS_Operational_Cap</t>
  </si>
  <si>
    <t>Capacity_Envelope</t>
  </si>
  <si>
    <t>NA</t>
  </si>
  <si>
    <t>Operational Capacity Name (Capacity Used for Capacity Margin)</t>
  </si>
  <si>
    <t>Liquid_Cooling_Capacity</t>
  </si>
  <si>
    <t>Air_Cooling_Capacity</t>
  </si>
  <si>
    <t>Operating Margin Name</t>
  </si>
  <si>
    <t>Device_Capacity_Margin</t>
  </si>
  <si>
    <t>Cell_Margin</t>
  </si>
  <si>
    <t>Bundle_Margin</t>
  </si>
  <si>
    <t>Operating Margin %</t>
  </si>
  <si>
    <t>Operating Margin</t>
  </si>
  <si>
    <t>Operating Margin % Name</t>
  </si>
  <si>
    <t>Device_Capacity_Margin%</t>
  </si>
  <si>
    <t>Cell_Margin%</t>
  </si>
  <si>
    <t>Bundle_Margin%</t>
  </si>
  <si>
    <t>Rack_Max_Liquid_Load</t>
  </si>
  <si>
    <t>Rack_Max_Air_Load</t>
  </si>
  <si>
    <t>Rack_Circuit_Capacity_(rated)</t>
  </si>
  <si>
    <t>Rack_LiquidCool_Fraction</t>
  </si>
  <si>
    <t>Rack_AirCool_Fraction</t>
  </si>
  <si>
    <t>Planned Rack Density (Rack_Circuit_Capacity_(design))</t>
  </si>
  <si>
    <t>LCM-SJ-Meridian-C01-PP01</t>
  </si>
  <si>
    <t>LCM-SJ-Pacific-C01-PD01</t>
  </si>
  <si>
    <t>LCM-SJ-Pacific-C01-PD02</t>
  </si>
  <si>
    <t>LCM-SJ-Pacific-C01-PD03</t>
  </si>
  <si>
    <t>LCM-SJ-Pacific-C01-PD04</t>
  </si>
  <si>
    <t>LCM-SJ-Keystone-C01-PP01</t>
  </si>
  <si>
    <t>LCM-SJ-Meridian-C01-PP01%</t>
  </si>
  <si>
    <t>LCM-SJ-Pacific-C01-PD01%</t>
  </si>
  <si>
    <t>LCM-SJ-Pacific-C01-PD02%</t>
  </si>
  <si>
    <t>LCM-SJ-Pacific-C01-PD03%</t>
  </si>
  <si>
    <t>LCM-SJ-Pacific-C01-PD04%</t>
  </si>
  <si>
    <t>LCM-SJ-Keystone-C01-PP01%</t>
  </si>
  <si>
    <t>Device Capacity</t>
  </si>
  <si>
    <t>Device Capacity (design)</t>
  </si>
  <si>
    <t>Device Rating Name</t>
  </si>
  <si>
    <t>Device Rating</t>
  </si>
  <si>
    <t>Transformer Rating</t>
  </si>
  <si>
    <t>Approx Current (A)</t>
  </si>
  <si>
    <t>Approx kW</t>
  </si>
  <si>
    <t>150 kVA</t>
  </si>
  <si>
    <t>~210 A</t>
  </si>
  <si>
    <t>~120 kW</t>
  </si>
  <si>
    <t>225 kVA</t>
  </si>
  <si>
    <t>~313 A</t>
  </si>
  <si>
    <t>~180 kW</t>
  </si>
  <si>
    <t>300 kVA</t>
  </si>
  <si>
    <t>~417 A</t>
  </si>
  <si>
    <t>~240 kW</t>
  </si>
  <si>
    <t>500 kVA</t>
  </si>
  <si>
    <t>~695 A</t>
  </si>
  <si>
    <t>~400 kW</t>
  </si>
  <si>
    <t>750 kVA</t>
  </si>
  <si>
    <t>~1040 A</t>
  </si>
  <si>
    <t>~600 kW</t>
  </si>
  <si>
    <t>1000 kVA</t>
  </si>
  <si>
    <t>~1390 A</t>
  </si>
  <si>
    <t>~800 kW</t>
  </si>
  <si>
    <t>1500 kVA</t>
  </si>
  <si>
    <t>~2080 A</t>
  </si>
  <si>
    <t>~1200 kW</t>
  </si>
  <si>
    <t>2000 kVA</t>
  </si>
  <si>
    <t>~2780 A</t>
  </si>
  <si>
    <t>~1600 kW</t>
  </si>
  <si>
    <t>Room PDU / PDU Transformer Ratings</t>
  </si>
  <si>
    <t>UPS Rating</t>
  </si>
  <si>
    <t>250 kW</t>
  </si>
  <si>
    <t>~350 A</t>
  </si>
  <si>
    <t>500 kW</t>
  </si>
  <si>
    <t>~700 A</t>
  </si>
  <si>
    <t>750 kW</t>
  </si>
  <si>
    <t>1 MW</t>
  </si>
  <si>
    <t>1000 kW</t>
  </si>
  <si>
    <t>1.5 MW</t>
  </si>
  <si>
    <t>1500 kW</t>
  </si>
  <si>
    <t>2 MW</t>
  </si>
  <si>
    <t>2000 kW</t>
  </si>
  <si>
    <t>3 MW</t>
  </si>
  <si>
    <t>~4170 A</t>
  </si>
  <si>
    <t>3000 kW</t>
  </si>
  <si>
    <t>4 MW</t>
  </si>
  <si>
    <t>~5560 A</t>
  </si>
  <si>
    <t>4000 kW</t>
  </si>
  <si>
    <t>UPS System Ratings (system-level)</t>
  </si>
  <si>
    <t>Loop_Supply_Setpoint</t>
  </si>
  <si>
    <t>Loop_DeltaT_(design)</t>
  </si>
  <si>
    <t>Rack_Inlet_Setpoint</t>
  </si>
  <si>
    <t>Loop_DeltaT_(design) (celcius)</t>
  </si>
  <si>
    <t>CDIST-01</t>
  </si>
  <si>
    <t>ACU-01-A</t>
  </si>
  <si>
    <t>ACU-01-B</t>
  </si>
  <si>
    <t>ACU-02-A</t>
  </si>
  <si>
    <t>ACU-02-B</t>
  </si>
  <si>
    <t>Liquid Loop Capacity (kW)</t>
  </si>
  <si>
    <t>Rack_DeltaT_(design) (celsius)</t>
  </si>
  <si>
    <t>AirZone.Maximum_Air_Flow (m3/s)</t>
  </si>
  <si>
    <t>CDU.Pump_Capacity (L/s)</t>
  </si>
  <si>
    <t>ColdAisle_Supply_Temp</t>
  </si>
  <si>
    <t>LL.Maximum_Flow_Rate</t>
  </si>
  <si>
    <t>RPP_BreakerPole_Capacity</t>
  </si>
  <si>
    <t>Common Rack Circuit Breaker</t>
  </si>
  <si>
    <t>Rack Circuit Capacity (rated)</t>
  </si>
  <si>
    <t>Approx Current</t>
  </si>
  <si>
    <t>Apporx kW</t>
  </si>
  <si>
    <t>derated (raw)</t>
  </si>
  <si>
    <t>derated (actual)</t>
  </si>
  <si>
    <t>Panel Pole Capacity</t>
  </si>
  <si>
    <t>Typical Use</t>
  </si>
  <si>
    <t>42 poles</t>
  </si>
  <si>
    <t>small distribution panels</t>
  </si>
  <si>
    <t>54 poles</t>
  </si>
  <si>
    <t>medium panels</t>
  </si>
  <si>
    <t>72 poles</t>
  </si>
  <si>
    <t>larger RPP panels</t>
  </si>
  <si>
    <t>84 poles</t>
  </si>
  <si>
    <t>very common in data centers</t>
  </si>
  <si>
    <t>120 poles</t>
  </si>
  <si>
    <t>large high-density RPP</t>
  </si>
  <si>
    <t>Typical RPP pole capacities</t>
  </si>
  <si>
    <r>
      <t xml:space="preserve">A </t>
    </r>
    <r>
      <rPr>
        <b/>
        <sz val="12"/>
        <color theme="1"/>
        <rFont val="Aptos Narrow"/>
        <family val="2"/>
        <scheme val="minor"/>
      </rPr>
      <t>pole</t>
    </r>
    <r>
      <rPr>
        <sz val="12"/>
        <color theme="1"/>
        <rFont val="Aptos Narrow"/>
        <family val="2"/>
        <scheme val="minor"/>
      </rPr>
      <t xml:space="preserve"> corresponds to one phase connection.</t>
    </r>
  </si>
  <si>
    <r>
      <t xml:space="preserve">A </t>
    </r>
    <r>
      <rPr>
        <b/>
        <sz val="12"/>
        <color theme="1"/>
        <rFont val="Aptos Narrow"/>
        <family val="2"/>
        <scheme val="minor"/>
      </rPr>
      <t>3-phase rack breaker uses 3 poles</t>
    </r>
    <r>
      <rPr>
        <sz val="12"/>
        <color theme="1"/>
        <rFont val="Aptos Narrow"/>
        <family val="2"/>
        <scheme val="minor"/>
      </rPr>
      <t>.</t>
    </r>
  </si>
  <si>
    <r>
      <t xml:space="preserve">So an </t>
    </r>
    <r>
      <rPr>
        <b/>
        <sz val="12"/>
        <color theme="1"/>
        <rFont val="Aptos Narrow"/>
        <family val="2"/>
        <scheme val="minor"/>
      </rPr>
      <t>84-pole RPP</t>
    </r>
    <r>
      <rPr>
        <sz val="12"/>
        <color theme="1"/>
        <rFont val="Aptos Narrow"/>
        <family val="2"/>
        <scheme val="minor"/>
      </rPr>
      <t xml:space="preserve"> can host up to </t>
    </r>
    <r>
      <rPr>
        <b/>
        <sz val="12"/>
        <color theme="1"/>
        <rFont val="Aptos Narrow"/>
        <family val="2"/>
        <scheme val="minor"/>
      </rPr>
      <t>28 three-phase rack circuits</t>
    </r>
    <r>
      <rPr>
        <sz val="12"/>
        <color theme="1"/>
        <rFont val="Aptos Narrow"/>
        <family val="2"/>
        <scheme val="minor"/>
      </rPr>
      <t>.</t>
    </r>
  </si>
  <si>
    <t>AirCoolUnit.Maximum_Air_Flow (m3/s)</t>
  </si>
  <si>
    <t>RDHx_MaxHeat_Removal</t>
  </si>
  <si>
    <t>DTC_MaxCool_Capacity</t>
  </si>
  <si>
    <t>RDHx</t>
  </si>
  <si>
    <t>DTC</t>
  </si>
  <si>
    <t>RDHX-RACK-R1-Z1-R1-01</t>
  </si>
  <si>
    <t>RDHX-RACK-R1-Z1-R1-02</t>
  </si>
  <si>
    <t>RDHX-RACK-R1-Z1-R1-03</t>
  </si>
  <si>
    <t>RDHX-RACK-R1-Z1-R1-04</t>
  </si>
  <si>
    <t>RDHX-RACK-R1-Z1-R1-05</t>
  </si>
  <si>
    <t>RDHX-RACK-R1-Z1-R1-06</t>
  </si>
  <si>
    <t>RDHX-RACK-R1-Z1-R2-01</t>
  </si>
  <si>
    <t>RDHX-RACK-R1-Z1-R2-02</t>
  </si>
  <si>
    <t>RDHX-RACK-R1-Z1-R2-03</t>
  </si>
  <si>
    <t>RDHX-RACK-R1-Z1-R2-04</t>
  </si>
  <si>
    <t>RDHX-RACK-R1-Z1-R2-05</t>
  </si>
  <si>
    <t>RDHX-RACK-R1-Z1-R2-06</t>
  </si>
  <si>
    <t>RDHX-RACK-R1-Z2-R1-01</t>
  </si>
  <si>
    <t>RDHX-RACK-R1-Z2-R1-02</t>
  </si>
  <si>
    <t>RDHX-RACK-R1-Z2-R1-03</t>
  </si>
  <si>
    <t>RDHX-RACK-R1-Z2-R1-04</t>
  </si>
  <si>
    <t>RDHX-RACK-R1-Z2-R1-05</t>
  </si>
  <si>
    <t>RDHX-RACK-R1-Z2-R1-06</t>
  </si>
  <si>
    <t>RDHX-RACK-R1-Z2-R2-01</t>
  </si>
  <si>
    <t>RDHX-RACK-R1-Z2-R2-02</t>
  </si>
  <si>
    <t>RDHX-RACK-R1-Z2-R2-03</t>
  </si>
  <si>
    <t>RDHX-RACK-R1-Z2-R2-04</t>
  </si>
  <si>
    <t>RDHX-RACK-R1-Z2-R2-05</t>
  </si>
  <si>
    <t>RDHX-RACK-R1-Z2-R2-06</t>
  </si>
  <si>
    <t>DTC-RACK-R2-Z1-R1-01</t>
  </si>
  <si>
    <t>DTC-RACK-R2-Z1-R1-02</t>
  </si>
  <si>
    <t>DTC-RACK-R2-Z1-R1-03</t>
  </si>
  <si>
    <t>DTC-RACK-R2-Z1-R1-04</t>
  </si>
  <si>
    <t>DTC-RACK-R2-Z1-R1-05</t>
  </si>
  <si>
    <t>DTC-RACK-R2-Z1-R1-06</t>
  </si>
  <si>
    <t>DTC-RACK-R2-Z1-R2-01</t>
  </si>
  <si>
    <t>DTC-RACK-R2-Z1-R2-02</t>
  </si>
  <si>
    <t>DTC-RACK-R2-Z1-R2-03</t>
  </si>
  <si>
    <t>DTC-RACK-R2-Z1-R2-04</t>
  </si>
  <si>
    <t>DTC-RACK-R2-Z1-R2-05</t>
  </si>
  <si>
    <t>DTC-RACK-R2-Z1-R2-06</t>
  </si>
  <si>
    <t>DTC-RACK-R2-Z2-R1-01</t>
  </si>
  <si>
    <t>DTC-RACK-R2-Z2-R1-02</t>
  </si>
  <si>
    <t>DTC-RACK-R2-Z2-R1-03</t>
  </si>
  <si>
    <t>DTC-RACK-R2-Z2-R1-04</t>
  </si>
  <si>
    <t>DTC-RACK-R2-Z2-R1-05</t>
  </si>
  <si>
    <t>DTC-RACK-R2-Z2-R1-06</t>
  </si>
  <si>
    <t>DTC-RACK-R2-Z2-R2-01</t>
  </si>
  <si>
    <t>DTC-RACK-R2-Z2-R2-02</t>
  </si>
  <si>
    <t>DTC-RACK-R2-Z2-R2-03</t>
  </si>
  <si>
    <t>DTC-RACK-R2-Z2-R2-04</t>
  </si>
  <si>
    <t>DTC-RACK-R2-Z2-R2-05</t>
  </si>
  <si>
    <t>DTC-RACK-R2-Z2-R2-06</t>
  </si>
  <si>
    <t>DTC-RACK-R3-Z1W-R1-01</t>
  </si>
  <si>
    <t>DTC-RACK-R3-Z1W-R1-02</t>
  </si>
  <si>
    <t>DTC-RACK-R3-Z1W-R1-03</t>
  </si>
  <si>
    <t>DTC-RACK-R3-Z1W-R1-04</t>
  </si>
  <si>
    <t>DTC-RACK-R3-Z1W-R1-05</t>
  </si>
  <si>
    <t>DTC-RACK-R3-Z1W-R1-06</t>
  </si>
  <si>
    <t>DTC-RACK-R3-Z1W-R1-07</t>
  </si>
  <si>
    <t>DTC-RACK-R3-Z1W-R1-08</t>
  </si>
  <si>
    <t>DTC-RACK-R3-Z1W-R1-09</t>
  </si>
  <si>
    <t>DTC-RACK-R3-Z1W-R1-10</t>
  </si>
  <si>
    <t>DTC-RACK-R3-Z1W-R1-11</t>
  </si>
  <si>
    <t>DTC-RACK-R3-Z1W-R1-12</t>
  </si>
  <si>
    <t>DTC-RACK-R3-Z1W-R2-01</t>
  </si>
  <si>
    <t>DTC-RACK-R3-Z1W-R2-02</t>
  </si>
  <si>
    <t>DTC-RACK-R3-Z1W-R2-03</t>
  </si>
  <si>
    <t>DTC-RACK-R3-Z1W-R2-04</t>
  </si>
  <si>
    <t>DTC-RACK-R3-Z1W-R2-05</t>
  </si>
  <si>
    <t>DTC-RACK-R3-Z1W-R2-06</t>
  </si>
  <si>
    <t>DTC-RACK-R3-Z1W-R2-07</t>
  </si>
  <si>
    <t>DTC-RACK-R3-Z1W-R2-08</t>
  </si>
  <si>
    <t>DTC-RACK-R3-Z1W-R2-09</t>
  </si>
  <si>
    <t>DTC-RACK-R3-Z1W-R2-10</t>
  </si>
  <si>
    <t>DTC-RACK-R3-Z1W-R2-11</t>
  </si>
  <si>
    <t>DTC-RACK-R3-Z1W-R2-12</t>
  </si>
  <si>
    <t>DTC-RACK-R3-Z2W-R1-01</t>
  </si>
  <si>
    <t>DTC-RACK-R3-Z2W-R1-02</t>
  </si>
  <si>
    <t>DTC-RACK-R3-Z2W-R1-03</t>
  </si>
  <si>
    <t>DTC-RACK-R3-Z2W-R1-04</t>
  </si>
  <si>
    <t>DTC-RACK-R3-Z2W-R1-05</t>
  </si>
  <si>
    <t>DTC-RACK-R3-Z2W-R1-06</t>
  </si>
  <si>
    <t>DTC-RACK-R3-Z2W-R1-07</t>
  </si>
  <si>
    <t>DTC-RACK-R3-Z2W-R1-08</t>
  </si>
  <si>
    <t>DTC-RACK-R3-Z2W-R1-09</t>
  </si>
  <si>
    <t>DTC-RACK-R3-Z2W-R1-10</t>
  </si>
  <si>
    <t>DTC-RACK-R3-Z2W-R1-11</t>
  </si>
  <si>
    <t>DTC-RACK-R3-Z2W-R1-12</t>
  </si>
  <si>
    <t>DTC-RACK-R3-Z2W-R2-01</t>
  </si>
  <si>
    <t>DTC-RACK-R3-Z2W-R2-02</t>
  </si>
  <si>
    <t>DTC-RACK-R3-Z2W-R2-03</t>
  </si>
  <si>
    <t>DTC-RACK-R3-Z2W-R2-04</t>
  </si>
  <si>
    <t>DTC-RACK-R3-Z2W-R2-05</t>
  </si>
  <si>
    <t>DTC-RACK-R3-Z2W-R2-06</t>
  </si>
  <si>
    <t>DTC-RACK-R3-Z2W-R2-07</t>
  </si>
  <si>
    <t>DTC-RACK-R3-Z2W-R2-08</t>
  </si>
  <si>
    <t>DTC-RACK-R3-Z2W-R2-09</t>
  </si>
  <si>
    <t>DTC-RACK-R3-Z2W-R2-10</t>
  </si>
  <si>
    <t>DTC-RACK-R3-Z2W-R2-11</t>
  </si>
  <si>
    <t>DTC-RACK-R3-Z2W-R2-12</t>
  </si>
  <si>
    <t>DTC-RACK-R3-Z3W-R1-01</t>
  </si>
  <si>
    <t>DTC-RACK-R3-Z3W-R1-02</t>
  </si>
  <si>
    <t>DTC-RACK-R3-Z3W-R1-03</t>
  </si>
  <si>
    <t>DTC-RACK-R3-Z3W-R1-04</t>
  </si>
  <si>
    <t>DTC-RACK-R3-Z3W-R1-05</t>
  </si>
  <si>
    <t>DTC-RACK-R3-Z3W-R1-06</t>
  </si>
  <si>
    <t>DTC-RACK-R3-Z3W-R1-07</t>
  </si>
  <si>
    <t>DTC-RACK-R3-Z3W-R1-08</t>
  </si>
  <si>
    <t>DTC-RACK-R3-Z3W-R1-09</t>
  </si>
  <si>
    <t>DTC-RACK-R3-Z3W-R1-10</t>
  </si>
  <si>
    <t>DTC-RACK-R3-Z3W-R1-11</t>
  </si>
  <si>
    <t>DTC-RACK-R3-Z3W-R1-12</t>
  </si>
  <si>
    <t>DTC-RACK-R3-Z3W-R2-01</t>
  </si>
  <si>
    <t>DTC-RACK-R3-Z3W-R2-02</t>
  </si>
  <si>
    <t>DTC-RACK-R3-Z3W-R2-03</t>
  </si>
  <si>
    <t>DTC-RACK-R3-Z3W-R2-04</t>
  </si>
  <si>
    <t>DTC-RACK-R3-Z3W-R2-05</t>
  </si>
  <si>
    <t>DTC-RACK-R3-Z3W-R2-06</t>
  </si>
  <si>
    <t>DTC-RACK-R3-Z3W-R2-07</t>
  </si>
  <si>
    <t>DTC-RACK-R3-Z3W-R2-08</t>
  </si>
  <si>
    <t>DTC-RACK-R3-Z3W-R2-09</t>
  </si>
  <si>
    <t>DTC-RACK-R3-Z3W-R2-10</t>
  </si>
  <si>
    <t>DTC-RACK-R3-Z3W-R2-11</t>
  </si>
  <si>
    <t>DTC-RACK-R3-Z3W-R2-12</t>
  </si>
  <si>
    <t>DTC-RACK-R3-Z4E-R1-01</t>
  </si>
  <si>
    <t>DTC-RACK-R3-Z4E-R1-02</t>
  </si>
  <si>
    <t>DTC-RACK-R3-Z4E-R1-03</t>
  </si>
  <si>
    <t>DTC-RACK-R3-Z4E-R1-04</t>
  </si>
  <si>
    <t>DTC-RACK-R3-Z4E-R1-05</t>
  </si>
  <si>
    <t>DTC-RACK-R3-Z4E-R1-06</t>
  </si>
  <si>
    <t>DTC-RACK-R3-Z4E-R1-07</t>
  </si>
  <si>
    <t>DTC-RACK-R3-Z4E-R1-08</t>
  </si>
  <si>
    <t>DTC-RACK-R3-Z4E-R1-09</t>
  </si>
  <si>
    <t>DTC-RACK-R3-Z4E-R1-10</t>
  </si>
  <si>
    <t>DTC-RACK-R3-Z4E-R1-11</t>
  </si>
  <si>
    <t>DTC-RACK-R3-Z4E-R1-12</t>
  </si>
  <si>
    <t>DTC-RACK-R3-Z4E-R2-01</t>
  </si>
  <si>
    <t>DTC-RACK-R3-Z4E-R2-02</t>
  </si>
  <si>
    <t>DTC-RACK-R3-Z4E-R2-03</t>
  </si>
  <si>
    <t>DTC-RACK-R3-Z4E-R2-04</t>
  </si>
  <si>
    <t>DTC-RACK-R3-Z4E-R2-05</t>
  </si>
  <si>
    <t>DTC-RACK-R3-Z4E-R2-06</t>
  </si>
  <si>
    <t>DTC-RACK-R3-Z4E-R2-07</t>
  </si>
  <si>
    <t>DTC-RACK-R3-Z4E-R2-08</t>
  </si>
  <si>
    <t>DTC-RACK-R3-Z4E-R2-09</t>
  </si>
  <si>
    <t>DTC-RACK-R3-Z4E-R2-10</t>
  </si>
  <si>
    <t>DTC-RACK-R3-Z4E-R2-11</t>
  </si>
  <si>
    <t>DTC-RACK-R3-Z4E-R2-12</t>
  </si>
  <si>
    <t>DTC-RACK-R3-Z5E-R1-01</t>
  </si>
  <si>
    <t>DTC-RACK-R3-Z5E-R1-02</t>
  </si>
  <si>
    <t>DTC-RACK-R3-Z5E-R1-03</t>
  </si>
  <si>
    <t>DTC-RACK-R3-Z5E-R1-04</t>
  </si>
  <si>
    <t>DTC-RACK-R3-Z5E-R1-05</t>
  </si>
  <si>
    <t>DTC-RACK-R3-Z5E-R1-06</t>
  </si>
  <si>
    <t>DTC-RACK-R3-Z5E-R1-07</t>
  </si>
  <si>
    <t>DTC-RACK-R3-Z5E-R1-08</t>
  </si>
  <si>
    <t>DTC-RACK-R3-Z5E-R1-09</t>
  </si>
  <si>
    <t>DTC-RACK-R3-Z5E-R1-10</t>
  </si>
  <si>
    <t>DTC-RACK-R3-Z5E-R1-11</t>
  </si>
  <si>
    <t>DTC-RACK-R3-Z5E-R1-12</t>
  </si>
  <si>
    <t>DTC-RACK-R3-Z5E-R2-01</t>
  </si>
  <si>
    <t>DTC-RACK-R3-Z5E-R2-02</t>
  </si>
  <si>
    <t>DTC-RACK-R3-Z5E-R2-03</t>
  </si>
  <si>
    <t>DTC-RACK-R3-Z5E-R2-04</t>
  </si>
  <si>
    <t>DTC-RACK-R3-Z5E-R2-05</t>
  </si>
  <si>
    <t>DTC-RACK-R3-Z5E-R2-06</t>
  </si>
  <si>
    <t>DTC-RACK-R3-Z5E-R2-07</t>
  </si>
  <si>
    <t>DTC-RACK-R3-Z5E-R2-08</t>
  </si>
  <si>
    <t>DTC-RACK-R3-Z5E-R2-09</t>
  </si>
  <si>
    <t>DTC-RACK-R3-Z5E-R2-10</t>
  </si>
  <si>
    <t>DTC-RACK-R3-Z5E-R2-11</t>
  </si>
  <si>
    <t>DTC-RACK-R3-Z5E-R2-12</t>
  </si>
  <si>
    <t>DTC-RACK-R3-Z6E-R1-01</t>
  </si>
  <si>
    <t>DTC-RACK-R3-Z6E-R1-02</t>
  </si>
  <si>
    <t>DTC-RACK-R3-Z6E-R1-03</t>
  </si>
  <si>
    <t>DTC-RACK-R3-Z6E-R1-04</t>
  </si>
  <si>
    <t>DTC-RACK-R3-Z6E-R1-05</t>
  </si>
  <si>
    <t>DTC-RACK-R3-Z6E-R1-06</t>
  </si>
  <si>
    <t>DTC-RACK-R3-Z6E-R1-07</t>
  </si>
  <si>
    <t>DTC-RACK-R3-Z6E-R1-08</t>
  </si>
  <si>
    <t>DTC-RACK-R3-Z6E-R1-09</t>
  </si>
  <si>
    <t>DTC-RACK-R3-Z6E-R1-10</t>
  </si>
  <si>
    <t>DTC-RACK-R3-Z6E-R1-11</t>
  </si>
  <si>
    <t>DTC-RACK-R3-Z6E-R1-12</t>
  </si>
  <si>
    <t>DTC-RACK-R3-Z6E-R2-01</t>
  </si>
  <si>
    <t>DTC-RACK-R3-Z6E-R2-02</t>
  </si>
  <si>
    <t>DTC-RACK-R3-Z6E-R2-03</t>
  </si>
  <si>
    <t>DTC-RACK-R3-Z6E-R2-04</t>
  </si>
  <si>
    <t>DTC-RACK-R3-Z6E-R2-05</t>
  </si>
  <si>
    <t>DTC-RACK-R3-Z6E-R2-06</t>
  </si>
  <si>
    <t>DTC-RACK-R3-Z6E-R2-07</t>
  </si>
  <si>
    <t>DTC-RACK-R3-Z6E-R2-08</t>
  </si>
  <si>
    <t>DTC-RACK-R3-Z6E-R2-09</t>
  </si>
  <si>
    <t>DTC-RACK-R3-Z6E-R2-10</t>
  </si>
  <si>
    <t>DTC-RACK-R3-Z6E-R2-11</t>
  </si>
  <si>
    <t>DTC-RACK-R3-Z6E-R2-12</t>
  </si>
  <si>
    <t>DTC-RACK-R4-Z1-R1-01</t>
  </si>
  <si>
    <t>DTC-RACK-R4-Z1-R1-02</t>
  </si>
  <si>
    <t>DTC-RACK-R4-Z1-R1-03</t>
  </si>
  <si>
    <t>DTC-RACK-R4-Z1-R1-04</t>
  </si>
  <si>
    <t>DTC-RACK-R4-Z1-R1-05</t>
  </si>
  <si>
    <t>DTC-RACK-R4-Z1-R1-06</t>
  </si>
  <si>
    <t>DTC-RACK-R4-Z1-R1-07</t>
  </si>
  <si>
    <t>DTC-RACK-R4-Z1-R1-08</t>
  </si>
  <si>
    <t>DTC-RACK-R4-Z1-R1-09</t>
  </si>
  <si>
    <t>DTC-RACK-R4-Z1-R1-10</t>
  </si>
  <si>
    <t>DTC-RACK-R4-Z1-R1-11</t>
  </si>
  <si>
    <t>DTC-RACK-R4-Z1-R1-12</t>
  </si>
  <si>
    <t>DTC-RACK-R4-Z1-R2-01</t>
  </si>
  <si>
    <t>DTC-RACK-R4-Z1-R2-02</t>
  </si>
  <si>
    <t>DTC-RACK-R4-Z1-R2-03</t>
  </si>
  <si>
    <t>DTC-RACK-R4-Z1-R2-04</t>
  </si>
  <si>
    <t>DTC-RACK-R4-Z1-R2-05</t>
  </si>
  <si>
    <t>DTC-RACK-R4-Z1-R2-06</t>
  </si>
  <si>
    <t>DTC-RACK-R4-Z1-R2-07</t>
  </si>
  <si>
    <t>DTC-RACK-R4-Z1-R2-08</t>
  </si>
  <si>
    <t>DTC-RACK-R4-Z1-R2-09</t>
  </si>
  <si>
    <t>DTC-RACK-R4-Z1-R2-10</t>
  </si>
  <si>
    <t>DTC-RACK-R4-Z1-R2-11</t>
  </si>
  <si>
    <t>DTC-RACK-R4-Z1-R2-12</t>
  </si>
  <si>
    <t>DTC-RACK-R5-Z1W-R1-01</t>
  </si>
  <si>
    <t>DTC-RACK-R5-Z1W-R1-02</t>
  </si>
  <si>
    <t>DTC-RACK-R5-Z1W-R1-03</t>
  </si>
  <si>
    <t>DTC-RACK-R5-Z1W-R1-04</t>
  </si>
  <si>
    <t>DTC-RACK-R5-Z1W-R1-05</t>
  </si>
  <si>
    <t>DTC-RACK-R5-Z1W-R1-06</t>
  </si>
  <si>
    <t>DTC-RACK-R5-Z1W-R1-07</t>
  </si>
  <si>
    <t>DTC-RACK-R5-Z1W-R1-08</t>
  </si>
  <si>
    <t>DTC-RACK-R5-Z1W-R1-09</t>
  </si>
  <si>
    <t>DTC-RACK-R5-Z1W-R1-10</t>
  </si>
  <si>
    <t>DTC-RACK-R5-Z1W-R1-11</t>
  </si>
  <si>
    <t>DTC-RACK-R5-Z1W-R1-12</t>
  </si>
  <si>
    <t>DTC-RACK-R5-Z1W-R2-01</t>
  </si>
  <si>
    <t>DTC-RACK-R5-Z1W-R2-02</t>
  </si>
  <si>
    <t>DTC-RACK-R5-Z1W-R2-03</t>
  </si>
  <si>
    <t>DTC-RACK-R5-Z1W-R2-04</t>
  </si>
  <si>
    <t>DTC-RACK-R5-Z1W-R2-05</t>
  </si>
  <si>
    <t>DTC-RACK-R5-Z1W-R2-06</t>
  </si>
  <si>
    <t>DTC-RACK-R5-Z1W-R2-07</t>
  </si>
  <si>
    <t>DTC-RACK-R5-Z1W-R2-08</t>
  </si>
  <si>
    <t>DTC-RACK-R5-Z1W-R2-09</t>
  </si>
  <si>
    <t>DTC-RACK-R5-Z1W-R2-10</t>
  </si>
  <si>
    <t>DTC-RACK-R5-Z1W-R2-11</t>
  </si>
  <si>
    <t>DTC-RACK-R5-Z1W-R2-12</t>
  </si>
  <si>
    <t>DTC-RACK-R5-Z2E-R1-01</t>
  </si>
  <si>
    <t>DTC-RACK-R5-Z2E-R1-02</t>
  </si>
  <si>
    <t>DTC-RACK-R5-Z2E-R1-03</t>
  </si>
  <si>
    <t>DTC-RACK-R5-Z2E-R1-04</t>
  </si>
  <si>
    <t>DTC-RACK-R5-Z2E-R1-05</t>
  </si>
  <si>
    <t>DTC-RACK-R5-Z2E-R1-06</t>
  </si>
  <si>
    <t>DTC-RACK-R5-Z2E-R1-07</t>
  </si>
  <si>
    <t>DTC-RACK-R5-Z2E-R1-08</t>
  </si>
  <si>
    <t>DTC-RACK-R5-Z2E-R1-09</t>
  </si>
  <si>
    <t>DTC-RACK-R5-Z2E-R1-10</t>
  </si>
  <si>
    <t>DTC-RACK-R5-Z2E-R1-11</t>
  </si>
  <si>
    <t>DTC-RACK-R5-Z2E-R1-12</t>
  </si>
  <si>
    <t>DTC-RACK-R5-Z2E-R2-01</t>
  </si>
  <si>
    <t>DTC-RACK-R5-Z2E-R2-02</t>
  </si>
  <si>
    <t>DTC-RACK-R5-Z2E-R2-03</t>
  </si>
  <si>
    <t>DTC-RACK-R5-Z2E-R2-04</t>
  </si>
  <si>
    <t>DTC-RACK-R5-Z2E-R2-05</t>
  </si>
  <si>
    <t>DTC-RACK-R5-Z2E-R2-06</t>
  </si>
  <si>
    <t>DTC-RACK-R5-Z2E-R2-07</t>
  </si>
  <si>
    <t>DTC-RACK-R5-Z2E-R2-08</t>
  </si>
  <si>
    <t>DTC-RACK-R5-Z2E-R2-09</t>
  </si>
  <si>
    <t>DTC-RACK-R5-Z2E-R2-10</t>
  </si>
  <si>
    <t>DTC-RACK-R5-Z2E-R2-11</t>
  </si>
  <si>
    <t>DTC-RACK-R5-Z2E-R2-12</t>
  </si>
  <si>
    <t>Device Capacity Margin</t>
  </si>
  <si>
    <t>Device Capacity Margin%</t>
  </si>
  <si>
    <t>Device Capacity Margin Name</t>
  </si>
  <si>
    <t>Device Capacity Margin% Name</t>
  </si>
  <si>
    <t>Utility Feed</t>
  </si>
  <si>
    <t>Room PDU (B)</t>
  </si>
  <si>
    <t>Room PDU (A)</t>
  </si>
  <si>
    <t>UPS (A)</t>
  </si>
  <si>
    <t>UPS (B)</t>
  </si>
  <si>
    <t>Utility Feed (B)</t>
  </si>
  <si>
    <t>Utility Feed (A)</t>
  </si>
  <si>
    <t>Cooling Distribution (Air)</t>
  </si>
  <si>
    <t>Cooling Distribution (Liquid)</t>
  </si>
  <si>
    <t>Cooling Distribution (Combined)</t>
  </si>
  <si>
    <t>Cooling_Capacity</t>
  </si>
  <si>
    <t>Upstream Capacity Node Type (as in local table)</t>
  </si>
  <si>
    <t>Electrical</t>
  </si>
  <si>
    <t>Cooling</t>
  </si>
  <si>
    <t>Node Type (as in local table)</t>
  </si>
  <si>
    <t>Node Type (as in topology)</t>
  </si>
  <si>
    <t>Upstream Node Type (as in Topology)</t>
  </si>
  <si>
    <t>Subdomain Capacity Node Type (as in local table)</t>
  </si>
  <si>
    <t>Subdomain Node Type (as in Topology)</t>
  </si>
  <si>
    <t>Upstream Contraint Topology</t>
  </si>
  <si>
    <t>Subdomain Contraint Topology</t>
  </si>
  <si>
    <t>Draft ID</t>
  </si>
  <si>
    <t>TOTAL LOAD ALL PP</t>
  </si>
  <si>
    <t>TOTAL LOAD with SJ-PACIFIC-C01-PD01</t>
  </si>
  <si>
    <t>TOTAL LOAD with SJ-PACIFIC-C01-PD02</t>
  </si>
  <si>
    <t>TOTAL LOAD with SJ-PACIFIC-C01-PD03</t>
  </si>
  <si>
    <t>TOTAL LOAD with SJ-PACIFIC-C01-PD04</t>
  </si>
  <si>
    <t>TOTAL COUNT ALL PP</t>
  </si>
  <si>
    <t>TOTAL COUNT with SJ-PACIFIC-C01-PD01</t>
  </si>
  <si>
    <t>TOTAL COUNT with SJ-PACIFIC-C01-PD02</t>
  </si>
  <si>
    <t>TOTAL COUNT with SJ-PACIFIC-C01-PD03</t>
  </si>
  <si>
    <t>TOTAL COUNT with SJ-PACIFIC-C01-PD04</t>
  </si>
  <si>
    <t>CC Power Capacity</t>
  </si>
  <si>
    <t>CC Thermal Capacity</t>
  </si>
  <si>
    <t>COUNT-SJ-Meridian-C01-PP01</t>
  </si>
  <si>
    <t>COUNT-SJ-Pacific-C01-PD01</t>
  </si>
  <si>
    <t>COUNT-SJ-Pacific-C01-PD02</t>
  </si>
  <si>
    <t>COUNT-SJ-Pacific-C01-PD03</t>
  </si>
  <si>
    <t>COUNT-SJ-Pacific-C01-PD04</t>
  </si>
  <si>
    <t>COUNT-SJ-Keystone-C01-PP01</t>
  </si>
  <si>
    <t>Count of Rack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</si>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</sst>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3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6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color theme="8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C00000"/>
      <name val="Aptos Narrow"/>
      <scheme val="minor"/>
    </font>
    <font>
      <b/>
      <sz val="12"/>
      <color theme="1" tint="0.34998626667073579"/>
      <name val="Aptos Narrow"/>
      <scheme val="minor"/>
    </font>
    <font>
      <sz val="12"/>
      <color theme="1" tint="0.34998626667073579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4"/>
      <name val="Aptos Narrow"/>
      <scheme val="minor"/>
    </font>
    <font>
      <sz val="12"/>
      <color theme="1"/>
      <name val="Aptos Narrow"/>
      <scheme val="minor"/>
    </font>
    <font>
      <b/>
      <sz val="12"/>
      <color theme="3"/>
      <name val="Aptos Narrow"/>
      <scheme val="minor"/>
    </font>
    <font>
      <b/>
      <sz val="12"/>
      <color rgb="FFC00000"/>
      <name val="Aptos Narrow"/>
      <family val="2"/>
      <scheme val="minor"/>
    </font>
    <font>
      <b/>
      <sz val="12"/>
      <color theme="4"/>
      <name val="Aptos Narrow"/>
      <scheme val="minor"/>
    </font>
    <font>
      <b/>
      <sz val="14"/>
      <color theme="4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scheme val="minor"/>
    </font>
    <font>
      <b/>
      <sz val="12"/>
      <color theme="6"/>
      <name val="Aptos Narrow"/>
      <scheme val="minor"/>
    </font>
    <font>
      <b/>
      <sz val="12"/>
      <color theme="8"/>
      <name val="Aptos Narrow"/>
      <scheme val="minor"/>
    </font>
    <font>
      <sz val="12"/>
      <color theme="5"/>
      <name val="Aptos Narrow"/>
      <family val="2"/>
      <scheme val="minor"/>
    </font>
    <font>
      <b/>
      <sz val="12"/>
      <color theme="5"/>
      <name val="Aptos Narrow"/>
      <scheme val="minor"/>
    </font>
    <font>
      <sz val="10"/>
      <color theme="1"/>
      <name val="Arial"/>
      <family val="2"/>
    </font>
    <font>
      <b/>
      <sz val="12"/>
      <color rgb="FF000000"/>
      <name val="Aptos Narrow"/>
      <scheme val="minor"/>
    </font>
    <font>
      <sz val="10"/>
      <color theme="4"/>
      <name val="Arial"/>
      <family val="2"/>
    </font>
    <font>
      <b/>
      <sz val="12"/>
      <color theme="4"/>
      <name val="Aptos Narrow"/>
      <family val="2"/>
      <scheme val="minor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C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33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3" borderId="0" xfId="0" applyFont="1" applyFill="1"/>
    <xf numFmtId="0" fontId="4" fillId="5" borderId="0" xfId="0" applyFont="1" applyFill="1"/>
    <xf numFmtId="0" fontId="5" fillId="3" borderId="0" xfId="0" applyFont="1" applyFill="1"/>
    <xf numFmtId="0" fontId="5" fillId="5" borderId="0" xfId="0" applyFont="1" applyFill="1"/>
    <xf numFmtId="0" fontId="4" fillId="6" borderId="0" xfId="0" applyFont="1" applyFill="1"/>
    <xf numFmtId="0" fontId="5" fillId="7" borderId="0" xfId="0" applyFont="1" applyFill="1"/>
    <xf numFmtId="0" fontId="5" fillId="6" borderId="0" xfId="0" applyFont="1" applyFill="1"/>
    <xf numFmtId="0" fontId="6" fillId="7" borderId="0" xfId="0" applyFont="1" applyFill="1"/>
    <xf numFmtId="0" fontId="6" fillId="6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8" borderId="0" xfId="0" applyFill="1"/>
    <xf numFmtId="0" fontId="7" fillId="4" borderId="0" xfId="0" applyFont="1" applyFill="1"/>
    <xf numFmtId="0" fontId="7" fillId="8" borderId="0" xfId="0" applyFont="1" applyFill="1"/>
    <xf numFmtId="0" fontId="8" fillId="4" borderId="0" xfId="0" applyFont="1" applyFill="1"/>
    <xf numFmtId="0" fontId="8" fillId="8" borderId="0" xfId="0" applyFont="1" applyFill="1"/>
    <xf numFmtId="0" fontId="9" fillId="3" borderId="0" xfId="0" applyFont="1" applyFill="1"/>
    <xf numFmtId="0" fontId="9" fillId="5" borderId="0" xfId="0" applyFont="1" applyFill="1"/>
    <xf numFmtId="9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1" fillId="6" borderId="0" xfId="0" applyFont="1" applyFill="1" applyAlignment="1">
      <alignment wrapText="1"/>
    </xf>
    <xf numFmtId="0" fontId="0" fillId="0" borderId="0" xfId="0" quotePrefix="1"/>
    <xf numFmtId="0" fontId="11" fillId="6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2" borderId="0" xfId="0" applyFont="1" applyFill="1"/>
    <xf numFmtId="0" fontId="13" fillId="0" borderId="0" xfId="0" applyFont="1"/>
    <xf numFmtId="0" fontId="15" fillId="0" borderId="0" xfId="0" applyFont="1"/>
    <xf numFmtId="0" fontId="15" fillId="0" borderId="1" xfId="0" applyFont="1" applyBorder="1"/>
    <xf numFmtId="0" fontId="1" fillId="0" borderId="0" xfId="0" applyFont="1"/>
    <xf numFmtId="0" fontId="1" fillId="3" borderId="0" xfId="0" applyFont="1" applyFill="1"/>
    <xf numFmtId="0" fontId="14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4" fillId="0" borderId="0" xfId="0" applyFont="1"/>
    <xf numFmtId="0" fontId="17" fillId="0" borderId="0" xfId="0" applyFont="1"/>
    <xf numFmtId="0" fontId="1" fillId="9" borderId="0" xfId="0" applyFont="1" applyFill="1"/>
    <xf numFmtId="0" fontId="9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wrapText="1"/>
    </xf>
    <xf numFmtId="0" fontId="1" fillId="9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20" fillId="0" borderId="0" xfId="0" applyFont="1"/>
    <xf numFmtId="0" fontId="21" fillId="0" borderId="0" xfId="0" applyFont="1"/>
    <xf numFmtId="0" fontId="1" fillId="0" borderId="0" xfId="0" applyFont="1" applyAlignment="1">
      <alignment wrapText="1"/>
    </xf>
    <xf numFmtId="0" fontId="0" fillId="0" borderId="0" xfId="0" pivotButton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9" fillId="4" borderId="0" xfId="0" applyFont="1" applyFill="1"/>
    <xf numFmtId="0" fontId="22" fillId="0" borderId="0" xfId="0" applyFont="1" applyAlignment="1">
      <alignment wrapText="1"/>
    </xf>
    <xf numFmtId="0" fontId="0" fillId="10" borderId="0" xfId="0" applyFill="1" applyAlignment="1">
      <alignment horizontal="left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0" fillId="9" borderId="0" xfId="0" applyFill="1"/>
    <xf numFmtId="0" fontId="28" fillId="0" borderId="0" xfId="0" applyFont="1"/>
    <xf numFmtId="0" fontId="1" fillId="1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5" borderId="0" xfId="0" applyFont="1" applyFill="1"/>
    <xf numFmtId="0" fontId="0" fillId="5" borderId="0" xfId="0" applyFill="1" applyAlignment="1">
      <alignment horizontal="left"/>
    </xf>
    <xf numFmtId="0" fontId="15" fillId="5" borderId="0" xfId="0" applyFont="1" applyFill="1"/>
    <xf numFmtId="0" fontId="1" fillId="12" borderId="0" xfId="0" applyFont="1" applyFill="1"/>
    <xf numFmtId="0" fontId="0" fillId="12" borderId="0" xfId="0" applyFill="1" applyAlignment="1">
      <alignment horizontal="left"/>
    </xf>
    <xf numFmtId="0" fontId="0" fillId="12" borderId="0" xfId="0" applyFill="1"/>
    <xf numFmtId="0" fontId="15" fillId="12" borderId="0" xfId="0" applyFont="1" applyFill="1"/>
    <xf numFmtId="0" fontId="0" fillId="3" borderId="0" xfId="0" applyFill="1" applyAlignment="1">
      <alignment horizontal="left"/>
    </xf>
    <xf numFmtId="0" fontId="15" fillId="3" borderId="0" xfId="0" applyFont="1" applyFill="1"/>
    <xf numFmtId="0" fontId="1" fillId="13" borderId="0" xfId="0" applyFont="1" applyFill="1"/>
    <xf numFmtId="0" fontId="0" fillId="13" borderId="0" xfId="0" applyFill="1" applyAlignment="1">
      <alignment horizontal="left"/>
    </xf>
    <xf numFmtId="0" fontId="0" fillId="13" borderId="0" xfId="0" applyFill="1"/>
    <xf numFmtId="0" fontId="15" fillId="13" borderId="0" xfId="0" applyFont="1" applyFill="1"/>
    <xf numFmtId="0" fontId="1" fillId="4" borderId="0" xfId="0" applyFont="1" applyFill="1"/>
    <xf numFmtId="0" fontId="15" fillId="4" borderId="0" xfId="0" applyFont="1" applyFill="1"/>
    <xf numFmtId="0" fontId="0" fillId="5" borderId="0" xfId="0" applyFill="1" applyAlignment="1">
      <alignment wrapText="1"/>
    </xf>
    <xf numFmtId="0" fontId="5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22" fillId="5" borderId="0" xfId="0" applyFont="1" applyFill="1" applyAlignment="1">
      <alignment wrapText="1"/>
    </xf>
    <xf numFmtId="0" fontId="26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4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0" fillId="5" borderId="0" xfId="0" applyFont="1" applyFill="1" applyAlignment="1">
      <alignment wrapText="1"/>
    </xf>
    <xf numFmtId="0" fontId="27" fillId="5" borderId="0" xfId="0" applyFont="1" applyFill="1" applyAlignment="1">
      <alignment wrapText="1"/>
    </xf>
    <xf numFmtId="0" fontId="28" fillId="0" borderId="0" xfId="0" applyFont="1" applyAlignment="1">
      <alignment wrapText="1"/>
    </xf>
    <xf numFmtId="9" fontId="0" fillId="0" borderId="0" xfId="2" applyFont="1"/>
    <xf numFmtId="0" fontId="29" fillId="14" borderId="0" xfId="0" applyFont="1" applyFill="1" applyAlignment="1">
      <alignment wrapText="1"/>
    </xf>
    <xf numFmtId="9" fontId="0" fillId="3" borderId="0" xfId="2" applyFont="1" applyFill="1"/>
    <xf numFmtId="9" fontId="0" fillId="5" borderId="0" xfId="2" applyFont="1" applyFill="1"/>
    <xf numFmtId="9" fontId="0" fillId="7" borderId="0" xfId="2" applyFont="1" applyFill="1"/>
    <xf numFmtId="9" fontId="0" fillId="6" borderId="0" xfId="2" applyFont="1" applyFill="1"/>
    <xf numFmtId="9" fontId="0" fillId="4" borderId="0" xfId="2" applyFont="1" applyFill="1"/>
    <xf numFmtId="9" fontId="0" fillId="8" borderId="0" xfId="2" applyFont="1" applyFill="1"/>
    <xf numFmtId="0" fontId="4" fillId="0" borderId="0" xfId="0" applyFont="1" applyAlignment="1">
      <alignment wrapText="1"/>
    </xf>
    <xf numFmtId="0" fontId="24" fillId="4" borderId="0" xfId="0" applyFont="1" applyFill="1" applyAlignment="1">
      <alignment wrapText="1"/>
    </xf>
    <xf numFmtId="0" fontId="25" fillId="4" borderId="0" xfId="0" applyFont="1" applyFill="1" applyAlignment="1">
      <alignment wrapText="1"/>
    </xf>
    <xf numFmtId="0" fontId="20" fillId="4" borderId="0" xfId="0" applyFont="1" applyFill="1" applyAlignment="1">
      <alignment wrapText="1"/>
    </xf>
    <xf numFmtId="0" fontId="27" fillId="4" borderId="0" xfId="0" applyFont="1" applyFill="1" applyAlignment="1">
      <alignment wrapText="1"/>
    </xf>
    <xf numFmtId="0" fontId="30" fillId="0" borderId="0" xfId="0" applyFont="1"/>
    <xf numFmtId="0" fontId="31" fillId="0" borderId="0" xfId="0" applyFont="1"/>
    <xf numFmtId="0" fontId="4" fillId="0" borderId="0" xfId="0" applyFont="1" applyAlignment="1">
      <alignment horizontal="left"/>
    </xf>
    <xf numFmtId="0" fontId="31" fillId="0" borderId="1" xfId="0" applyFont="1" applyBorder="1"/>
    <xf numFmtId="0" fontId="19" fillId="0" borderId="0" xfId="0" applyFont="1"/>
    <xf numFmtId="0" fontId="23" fillId="0" borderId="0" xfId="0" applyFont="1"/>
    <xf numFmtId="0" fontId="32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165" fontId="0" fillId="0" borderId="0" xfId="0" applyNumberFormat="1"/>
    <xf numFmtId="165" fontId="0" fillId="9" borderId="0" xfId="0" applyNumberForma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7" borderId="0" xfId="1" applyNumberFormat="1" applyFont="1" applyFill="1"/>
    <xf numFmtId="164" fontId="0" fillId="6" borderId="0" xfId="1" applyNumberFormat="1" applyFont="1" applyFill="1"/>
    <xf numFmtId="164" fontId="0" fillId="4" borderId="0" xfId="1" applyNumberFormat="1" applyFont="1" applyFill="1"/>
    <xf numFmtId="164" fontId="0" fillId="8" borderId="0" xfId="1" applyNumberFormat="1" applyFont="1" applyFill="1"/>
    <xf numFmtId="0" fontId="14" fillId="9" borderId="0" xfId="0" applyFont="1" applyFill="1"/>
    <xf numFmtId="0" fontId="1" fillId="15" borderId="0" xfId="0" applyFont="1" applyFill="1" applyAlignment="1">
      <alignment wrapText="1"/>
    </xf>
    <xf numFmtId="0" fontId="17" fillId="4" borderId="0" xfId="0" applyFont="1" applyFill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AC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tomiton" id="{F1DE269E-0B60-F44F-A91B-C0D0D8A838D3}" userId="Atomito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omiton" refreshedDate="46098.923415625002" createdVersion="8" refreshedVersion="8" minRefreshableVersion="3" recordCount="265" xr:uid="{9E24D376-1089-E247-8E22-56CF3C9AEADE}">
  <cacheSource type="worksheet">
    <worksheetSource ref="A1:BV1048576" sheet="Master_Rack"/>
  </cacheSource>
  <cacheFields count="74">
    <cacheField name="Zone" numFmtId="0">
      <sharedItems containsBlank="1" count="14">
        <s v="ZONE-R3-Z1W"/>
        <s v="ZONE-R3-Z2W"/>
        <s v="ZONE-R3-Z3W"/>
        <s v="ZONE-R3-Z4E"/>
        <s v="ZONE-R3-Z5E"/>
        <s v="ZONE-R3-Z6E"/>
        <s v="ZONE-R4-Z1"/>
        <s v="ZONE-R5-Z1W"/>
        <s v="ZONE-R5-Z2E"/>
        <s v="ZONE-R1-Z1"/>
        <s v="ZONE-R1-Z2"/>
        <s v="ZONE-R2-Z1"/>
        <s v="ZONE-R2-Z2"/>
        <m/>
      </sharedItems>
    </cacheField>
    <cacheField name="Row" numFmtId="0">
      <sharedItems containsBlank="1" count="27">
        <s v="ROW-R3-Z1W-R1"/>
        <s v="ROW-R3-Z1W-R2"/>
        <s v="ROW-R3-Z2W-R1"/>
        <s v="ROW-R3-Z2W-R2"/>
        <s v="ROW-R3-Z3W-R1"/>
        <s v="ROW-R3-Z3W-R2"/>
        <s v="ROW-R3-Z4E-R1"/>
        <s v="ROW-R3-Z4E-R2"/>
        <s v="ROW-R3-Z5E-R1"/>
        <s v="ROW-R3-Z5E-R2"/>
        <s v="ROW-R3-Z6E-R1"/>
        <s v="ROW-R3-Z6E-R2"/>
        <s v="ROW-R4-Z1-R1"/>
        <s v="ROW-R4-Z1-R2"/>
        <s v="ROW-R5-Z1W-R1"/>
        <s v="ROW-R5-Z1W-R2"/>
        <s v="ROW-R5-Z2E-R1"/>
        <s v="ROW-R5-Z2E-R2"/>
        <s v="ROW-R1-Z1-R1"/>
        <s v="ROW-R1-Z1-R2"/>
        <s v="ROW-R1-Z2-R1"/>
        <s v="ROW-R1-Z2-R2"/>
        <s v="ROW-R2-Z1-R1"/>
        <s v="ROW-R2-Z1-R2"/>
        <s v="ROW-R2-Z2-R1"/>
        <s v="ROW-R2-Z2-R2"/>
        <m/>
      </sharedItems>
    </cacheField>
    <cacheField name="Planned Rack Density (kW)" numFmtId="0">
      <sharedItems containsString="0" containsBlank="1" containsNumber="1" containsInteger="1" minValue="15" maxValue="60"/>
    </cacheField>
    <cacheField name="Cold Aisle" numFmtId="0">
      <sharedItems containsNonDate="0" containsString="0" containsBlank="1"/>
    </cacheField>
    <cacheField name="Hot Aisle" numFmtId="0">
      <sharedItems containsNonDate="0" containsString="0" containsBlank="1"/>
    </cacheField>
    <cacheField name="Liquid Loop" numFmtId="0">
      <sharedItems containsBlank="1" count="8">
        <s v="LL-R3-W"/>
        <s v="LL-R3-E"/>
        <s v="LL-R4"/>
        <s v="LL-R5-W"/>
        <s v="LL-R5-E"/>
        <s v="LL-R1"/>
        <s v="LL-R2"/>
        <m/>
      </sharedItems>
    </cacheField>
    <cacheField name="Air Zone" numFmtId="0">
      <sharedItems containsBlank="1" count="10">
        <s v="AIRZONE-R3-W1"/>
        <s v="AIRZONE-R3-W2"/>
        <s v="AIRZONE-R3-E1"/>
        <s v="AIRZONE-R3-E2"/>
        <s v="AIRZONE-R4"/>
        <s v="AIRZONE-R5-W"/>
        <s v="AIRZONE-R5-E"/>
        <s v="AIRZONE-R1"/>
        <s v="AIRZONE-R2"/>
        <m/>
      </sharedItems>
    </cacheField>
    <cacheField name="Rack" numFmtId="0">
      <sharedItems containsBlank="1" count="265">
        <s v="RACK-R3-Z1W-R1-01"/>
        <s v="RACK-R3-Z1W-R1-02"/>
        <s v="RACK-R3-Z1W-R1-03"/>
        <s v="RACK-R3-Z1W-R1-04"/>
        <s v="RACK-R3-Z1W-R1-05"/>
        <s v="RACK-R3-Z1W-R1-06"/>
        <s v="RACK-R3-Z1W-R1-07"/>
        <s v="RACK-R3-Z1W-R1-08"/>
        <s v="RACK-R3-Z1W-R1-09"/>
        <s v="RACK-R3-Z1W-R1-10"/>
        <s v="RACK-R3-Z1W-R1-11"/>
        <s v="RACK-R3-Z1W-R1-12"/>
        <s v="RACK-R3-Z1W-R2-01"/>
        <s v="RACK-R3-Z1W-R2-02"/>
        <s v="RACK-R3-Z1W-R2-03"/>
        <s v="RACK-R3-Z1W-R2-04"/>
        <s v="RACK-R3-Z1W-R2-05"/>
        <s v="RACK-R3-Z1W-R2-06"/>
        <s v="RACK-R3-Z1W-R2-07"/>
        <s v="RACK-R3-Z1W-R2-08"/>
        <s v="RACK-R3-Z1W-R2-09"/>
        <s v="RACK-R3-Z1W-R2-10"/>
        <s v="RACK-R3-Z1W-R2-11"/>
        <s v="RACK-R3-Z1W-R2-12"/>
        <s v="RACK-R3-Z2W-R1-01"/>
        <s v="RACK-R3-Z2W-R1-02"/>
        <s v="RACK-R3-Z2W-R1-03"/>
        <s v="RACK-R3-Z2W-R1-04"/>
        <s v="RACK-R3-Z2W-R1-05"/>
        <s v="RACK-R3-Z2W-R1-06"/>
        <s v="RACK-R3-Z2W-R1-07"/>
        <s v="RACK-R3-Z2W-R1-08"/>
        <s v="RACK-R3-Z2W-R1-09"/>
        <s v="RACK-R3-Z2W-R1-10"/>
        <s v="RACK-R3-Z2W-R1-11"/>
        <s v="RACK-R3-Z2W-R1-12"/>
        <s v="RACK-R3-Z2W-R2-01"/>
        <s v="RACK-R3-Z2W-R2-02"/>
        <s v="RACK-R3-Z2W-R2-03"/>
        <s v="RACK-R3-Z2W-R2-04"/>
        <s v="RACK-R3-Z2W-R2-05"/>
        <s v="RACK-R3-Z2W-R2-06"/>
        <s v="RACK-R3-Z2W-R2-07"/>
        <s v="RACK-R3-Z2W-R2-08"/>
        <s v="RACK-R3-Z2W-R2-09"/>
        <s v="RACK-R3-Z2W-R2-10"/>
        <s v="RACK-R3-Z2W-R2-11"/>
        <s v="RACK-R3-Z2W-R2-12"/>
        <s v="RACK-R3-Z3W-R1-01"/>
        <s v="RACK-R3-Z3W-R1-02"/>
        <s v="RACK-R3-Z3W-R1-03"/>
        <s v="RACK-R3-Z3W-R1-04"/>
        <s v="RACK-R3-Z3W-R1-05"/>
        <s v="RACK-R3-Z3W-R1-06"/>
        <s v="RACK-R3-Z3W-R1-07"/>
        <s v="RACK-R3-Z3W-R1-08"/>
        <s v="RACK-R3-Z3W-R1-09"/>
        <s v="RACK-R3-Z3W-R1-10"/>
        <s v="RACK-R3-Z3W-R1-11"/>
        <s v="RACK-R3-Z3W-R1-12"/>
        <s v="RACK-R3-Z3W-R2-01"/>
        <s v="RACK-R3-Z3W-R2-02"/>
        <s v="RACK-R3-Z3W-R2-03"/>
        <s v="RACK-R3-Z3W-R2-04"/>
        <s v="RACK-R3-Z3W-R2-05"/>
        <s v="RACK-R3-Z3W-R2-06"/>
        <s v="RACK-R3-Z3W-R2-07"/>
        <s v="RACK-R3-Z3W-R2-08"/>
        <s v="RACK-R3-Z3W-R2-09"/>
        <s v="RACK-R3-Z3W-R2-10"/>
        <s v="RACK-R3-Z3W-R2-11"/>
        <s v="RACK-R3-Z3W-R2-12"/>
        <s v="RACK-R3-Z4E-R1-01"/>
        <s v="RACK-R3-Z4E-R1-02"/>
        <s v="RACK-R3-Z4E-R1-03"/>
        <s v="RACK-R3-Z4E-R1-04"/>
        <s v="RACK-R3-Z4E-R1-05"/>
        <s v="RACK-R3-Z4E-R1-06"/>
        <s v="RACK-R3-Z4E-R1-07"/>
        <s v="RACK-R3-Z4E-R1-08"/>
        <s v="RACK-R3-Z4E-R1-09"/>
        <s v="RACK-R3-Z4E-R1-10"/>
        <s v="RACK-R3-Z4E-R1-11"/>
        <s v="RACK-R3-Z4E-R1-12"/>
        <s v="RACK-R3-Z4E-R2-01"/>
        <s v="RACK-R3-Z4E-R2-02"/>
        <s v="RACK-R3-Z4E-R2-03"/>
        <s v="RACK-R3-Z4E-R2-04"/>
        <s v="RACK-R3-Z4E-R2-05"/>
        <s v="RACK-R3-Z4E-R2-06"/>
        <s v="RACK-R3-Z4E-R2-07"/>
        <s v="RACK-R3-Z4E-R2-08"/>
        <s v="RACK-R3-Z4E-R2-09"/>
        <s v="RACK-R3-Z4E-R2-10"/>
        <s v="RACK-R3-Z4E-R2-11"/>
        <s v="RACK-R3-Z4E-R2-12"/>
        <s v="RACK-R3-Z5E-R1-01"/>
        <s v="RACK-R3-Z5E-R1-02"/>
        <s v="RACK-R3-Z5E-R1-03"/>
        <s v="RACK-R3-Z5E-R1-04"/>
        <s v="RACK-R3-Z5E-R1-05"/>
        <s v="RACK-R3-Z5E-R1-06"/>
        <s v="RACK-R3-Z5E-R1-07"/>
        <s v="RACK-R3-Z5E-R1-08"/>
        <s v="RACK-R3-Z5E-R1-09"/>
        <s v="RACK-R3-Z5E-R1-10"/>
        <s v="RACK-R3-Z5E-R1-11"/>
        <s v="RACK-R3-Z5E-R1-12"/>
        <s v="RACK-R3-Z5E-R2-01"/>
        <s v="RACK-R3-Z5E-R2-02"/>
        <s v="RACK-R3-Z5E-R2-03"/>
        <s v="RACK-R3-Z5E-R2-04"/>
        <s v="RACK-R3-Z5E-R2-05"/>
        <s v="RACK-R3-Z5E-R2-06"/>
        <s v="RACK-R3-Z5E-R2-07"/>
        <s v="RACK-R3-Z5E-R2-08"/>
        <s v="RACK-R3-Z5E-R2-09"/>
        <s v="RACK-R3-Z5E-R2-10"/>
        <s v="RACK-R3-Z5E-R2-11"/>
        <s v="RACK-R3-Z5E-R2-12"/>
        <s v="RACK-R3-Z6E-R1-01"/>
        <s v="RACK-R3-Z6E-R1-02"/>
        <s v="RACK-R3-Z6E-R1-03"/>
        <s v="RACK-R3-Z6E-R1-04"/>
        <s v="RACK-R3-Z6E-R1-05"/>
        <s v="RACK-R3-Z6E-R1-06"/>
        <s v="RACK-R3-Z6E-R1-07"/>
        <s v="RACK-R3-Z6E-R1-08"/>
        <s v="RACK-R3-Z6E-R1-09"/>
        <s v="RACK-R3-Z6E-R1-10"/>
        <s v="RACK-R3-Z6E-R1-11"/>
        <s v="RACK-R3-Z6E-R1-12"/>
        <s v="RACK-R3-Z6E-R2-01"/>
        <s v="RACK-R3-Z6E-R2-02"/>
        <s v="RACK-R3-Z6E-R2-03"/>
        <s v="RACK-R3-Z6E-R2-04"/>
        <s v="RACK-R3-Z6E-R2-05"/>
        <s v="RACK-R3-Z6E-R2-06"/>
        <s v="RACK-R3-Z6E-R2-07"/>
        <s v="RACK-R3-Z6E-R2-08"/>
        <s v="RACK-R3-Z6E-R2-09"/>
        <s v="RACK-R3-Z6E-R2-10"/>
        <s v="RACK-R3-Z6E-R2-11"/>
        <s v="RACK-R3-Z6E-R2-12"/>
        <s v="RACK-R4-Z1-R1-01"/>
        <s v="RACK-R4-Z1-R1-02"/>
        <s v="RACK-R4-Z1-R1-03"/>
        <s v="RACK-R4-Z1-R1-04"/>
        <s v="RACK-R4-Z1-R1-05"/>
        <s v="RACK-R4-Z1-R1-06"/>
        <s v="RACK-R4-Z1-R1-07"/>
        <s v="RACK-R4-Z1-R1-08"/>
        <s v="RACK-R4-Z1-R1-09"/>
        <s v="RACK-R4-Z1-R1-10"/>
        <s v="RACK-R4-Z1-R1-11"/>
        <s v="RACK-R4-Z1-R1-12"/>
        <s v="RACK-R4-Z1-R2-01"/>
        <s v="RACK-R4-Z1-R2-02"/>
        <s v="RACK-R4-Z1-R2-03"/>
        <s v="RACK-R4-Z1-R2-04"/>
        <s v="RACK-R4-Z1-R2-05"/>
        <s v="RACK-R4-Z1-R2-06"/>
        <s v="RACK-R4-Z1-R2-07"/>
        <s v="RACK-R4-Z1-R2-08"/>
        <s v="RACK-R4-Z1-R2-09"/>
        <s v="RACK-R4-Z1-R2-10"/>
        <s v="RACK-R4-Z1-R2-11"/>
        <s v="RACK-R4-Z1-R2-12"/>
        <s v="RACK-R5-Z1W-R1-01"/>
        <s v="RACK-R5-Z1W-R1-02"/>
        <s v="RACK-R5-Z1W-R1-03"/>
        <s v="RACK-R5-Z1W-R1-04"/>
        <s v="RACK-R5-Z1W-R1-05"/>
        <s v="RACK-R5-Z1W-R1-06"/>
        <s v="RACK-R5-Z1W-R1-07"/>
        <s v="RACK-R5-Z1W-R1-08"/>
        <s v="RACK-R5-Z1W-R1-09"/>
        <s v="RACK-R5-Z1W-R1-10"/>
        <s v="RACK-R5-Z1W-R1-11"/>
        <s v="RACK-R5-Z1W-R1-12"/>
        <s v="RACK-R5-Z1W-R2-01"/>
        <s v="RACK-R5-Z1W-R2-02"/>
        <s v="RACK-R5-Z1W-R2-03"/>
        <s v="RACK-R5-Z1W-R2-04"/>
        <s v="RACK-R5-Z1W-R2-05"/>
        <s v="RACK-R5-Z1W-R2-06"/>
        <s v="RACK-R5-Z1W-R2-07"/>
        <s v="RACK-R5-Z1W-R2-08"/>
        <s v="RACK-R5-Z1W-R2-09"/>
        <s v="RACK-R5-Z1W-R2-10"/>
        <s v="RACK-R5-Z1W-R2-11"/>
        <s v="RACK-R5-Z1W-R2-12"/>
        <s v="RACK-R5-Z2E-R1-01"/>
        <s v="RACK-R5-Z2E-R1-02"/>
        <s v="RACK-R5-Z2E-R1-03"/>
        <s v="RACK-R5-Z2E-R1-04"/>
        <s v="RACK-R5-Z2E-R1-05"/>
        <s v="RACK-R5-Z2E-R1-06"/>
        <s v="RACK-R5-Z2E-R1-07"/>
        <s v="RACK-R5-Z2E-R1-08"/>
        <s v="RACK-R5-Z2E-R1-09"/>
        <s v="RACK-R5-Z2E-R1-10"/>
        <s v="RACK-R5-Z2E-R1-11"/>
        <s v="RACK-R5-Z2E-R1-12"/>
        <s v="RACK-R5-Z2E-R2-01"/>
        <s v="RACK-R5-Z2E-R2-02"/>
        <s v="RACK-R5-Z2E-R2-03"/>
        <s v="RACK-R5-Z2E-R2-04"/>
        <s v="RACK-R5-Z2E-R2-05"/>
        <s v="RACK-R5-Z2E-R2-06"/>
        <s v="RACK-R5-Z2E-R2-07"/>
        <s v="RACK-R5-Z2E-R2-08"/>
        <s v="RACK-R5-Z2E-R2-09"/>
        <s v="RACK-R5-Z2E-R2-10"/>
        <s v="RACK-R5-Z2E-R2-11"/>
        <s v="RACK-R5-Z2E-R2-12"/>
        <s v="RACK-R1-Z1-R1-01"/>
        <s v="RACK-R1-Z1-R1-02"/>
        <s v="RACK-R1-Z1-R1-03"/>
        <s v="RACK-R1-Z1-R1-04"/>
        <s v="RACK-R1-Z1-R1-05"/>
        <s v="RACK-R1-Z1-R1-06"/>
        <s v="RACK-R1-Z1-R2-01"/>
        <s v="RACK-R1-Z1-R2-02"/>
        <s v="RACK-R1-Z1-R2-03"/>
        <s v="RACK-R1-Z1-R2-04"/>
        <s v="RACK-R1-Z1-R2-05"/>
        <s v="RACK-R1-Z1-R2-06"/>
        <s v="RACK-R1-Z2-R1-01"/>
        <s v="RACK-R1-Z2-R1-02"/>
        <s v="RACK-R1-Z2-R1-03"/>
        <s v="RACK-R1-Z2-R1-04"/>
        <s v="RACK-R1-Z2-R1-05"/>
        <s v="RACK-R1-Z2-R1-06"/>
        <s v="RACK-R1-Z2-R2-01"/>
        <s v="RACK-R1-Z2-R2-02"/>
        <s v="RACK-R1-Z2-R2-03"/>
        <s v="RACK-R1-Z2-R2-04"/>
        <s v="RACK-R1-Z2-R2-05"/>
        <s v="RACK-R1-Z2-R2-06"/>
        <s v="RACK-R2-Z1-R1-01"/>
        <s v="RACK-R2-Z1-R1-02"/>
        <s v="RACK-R2-Z1-R1-03"/>
        <s v="RACK-R2-Z1-R1-04"/>
        <s v="RACK-R2-Z1-R1-05"/>
        <s v="RACK-R2-Z1-R1-06"/>
        <s v="RACK-R2-Z1-R2-01"/>
        <s v="RACK-R2-Z1-R2-02"/>
        <s v="RACK-R2-Z1-R2-03"/>
        <s v="RACK-R2-Z1-R2-04"/>
        <s v="RACK-R2-Z1-R2-05"/>
        <s v="RACK-R2-Z1-R2-06"/>
        <s v="RACK-R2-Z2-R1-01"/>
        <s v="RACK-R2-Z2-R1-02"/>
        <s v="RACK-R2-Z2-R1-03"/>
        <s v="RACK-R2-Z2-R1-04"/>
        <s v="RACK-R2-Z2-R1-05"/>
        <s v="RACK-R2-Z2-R1-06"/>
        <s v="RACK-R2-Z2-R2-01"/>
        <s v="RACK-R2-Z2-R2-02"/>
        <s v="RACK-R2-Z2-R2-03"/>
        <s v="RACK-R2-Z2-R2-04"/>
        <s v="RACK-R2-Z2-R2-05"/>
        <s v="RACK-R2-Z2-R2-06"/>
        <m/>
      </sharedItems>
    </cacheField>
    <cacheField name="Pod" numFmtId="0">
      <sharedItems containsBlank="1"/>
    </cacheField>
    <cacheField name="Rack PDU (A Feed)" numFmtId="0">
      <sharedItems containsBlank="1" count="265">
        <s v="RACKPDU-RACK-R3-Z1W-R1-01-A"/>
        <s v="RACKPDU-RACK-R3-Z1W-R1-02-A"/>
        <s v="RACKPDU-RACK-R3-Z1W-R1-03-A"/>
        <s v="RACKPDU-RACK-R3-Z1W-R1-04-A"/>
        <s v="RACKPDU-RACK-R3-Z1W-R1-05-A"/>
        <s v="RACKPDU-RACK-R3-Z1W-R1-06-A"/>
        <s v="RACKPDU-RACK-R3-Z1W-R1-07-A"/>
        <s v="RACKPDU-RACK-R3-Z1W-R1-08-A"/>
        <s v="RACKPDU-RACK-R3-Z1W-R1-09-A"/>
        <s v="RACKPDU-RACK-R3-Z1W-R1-10-A"/>
        <s v="RACKPDU-RACK-R3-Z1W-R1-11-A"/>
        <s v="RACKPDU-RACK-R3-Z1W-R1-12-A"/>
        <s v="RACKPDU-RACK-R3-Z1W-R2-01-A"/>
        <s v="RACKPDU-RACK-R3-Z1W-R2-02-A"/>
        <s v="RACKPDU-RACK-R3-Z1W-R2-03-A"/>
        <s v="RACKPDU-RACK-R3-Z1W-R2-04-A"/>
        <s v="RACKPDU-RACK-R3-Z1W-R2-05-A"/>
        <s v="RACKPDU-RACK-R3-Z1W-R2-06-A"/>
        <s v="RACKPDU-RACK-R3-Z1W-R2-07-A"/>
        <s v="RACKPDU-RACK-R3-Z1W-R2-08-A"/>
        <s v="RACKPDU-RACK-R3-Z1W-R2-09-A"/>
        <s v="RACKPDU-RACK-R3-Z1W-R2-10-A"/>
        <s v="RACKPDU-RACK-R3-Z1W-R2-11-A"/>
        <s v="RACKPDU-RACK-R3-Z1W-R2-12-A"/>
        <s v="RACKPDU-RACK-R3-Z2W-R1-01-A"/>
        <s v="RACKPDU-RACK-R3-Z2W-R1-02-A"/>
        <s v="RACKPDU-RACK-R3-Z2W-R1-03-A"/>
        <s v="RACKPDU-RACK-R3-Z2W-R1-04-A"/>
        <s v="RACKPDU-RACK-R3-Z2W-R1-05-A"/>
        <s v="RACKPDU-RACK-R3-Z2W-R1-06-A"/>
        <s v="RACKPDU-RACK-R3-Z2W-R1-07-A"/>
        <s v="RACKPDU-RACK-R3-Z2W-R1-08-A"/>
        <s v="RACKPDU-RACK-R3-Z2W-R1-09-A"/>
        <s v="RACKPDU-RACK-R3-Z2W-R1-10-A"/>
        <s v="RACKPDU-RACK-R3-Z2W-R1-11-A"/>
        <s v="RACKPDU-RACK-R3-Z2W-R1-12-A"/>
        <s v="RACKPDU-RACK-R3-Z2W-R2-01-A"/>
        <s v="RACKPDU-RACK-R3-Z2W-R2-02-A"/>
        <s v="RACKPDU-RACK-R3-Z2W-R2-03-A"/>
        <s v="RACKPDU-RACK-R3-Z2W-R2-04-A"/>
        <s v="RACKPDU-RACK-R3-Z2W-R2-05-A"/>
        <s v="RACKPDU-RACK-R3-Z2W-R2-06-A"/>
        <s v="RACKPDU-RACK-R3-Z2W-R2-07-A"/>
        <s v="RACKPDU-RACK-R3-Z2W-R2-08-A"/>
        <s v="RACKPDU-RACK-R3-Z2W-R2-09-A"/>
        <s v="RACKPDU-RACK-R3-Z2W-R2-10-A"/>
        <s v="RACKPDU-RACK-R3-Z2W-R2-11-A"/>
        <s v="RACKPDU-RACK-R3-Z2W-R2-12-A"/>
        <s v="RACKPDU-RACK-R3-Z3W-R1-01-A"/>
        <s v="RACKPDU-RACK-R3-Z3W-R1-02-A"/>
        <s v="RACKPDU-RACK-R3-Z3W-R1-03-A"/>
        <s v="RACKPDU-RACK-R3-Z3W-R1-04-A"/>
        <s v="RACKPDU-RACK-R3-Z3W-R1-05-A"/>
        <s v="RACKPDU-RACK-R3-Z3W-R1-06-A"/>
        <s v="RACKPDU-RACK-R3-Z3W-R1-07-A"/>
        <s v="RACKPDU-RACK-R3-Z3W-R1-08-A"/>
        <s v="RACKPDU-RACK-R3-Z3W-R1-09-A"/>
        <s v="RACKPDU-RACK-R3-Z3W-R1-10-A"/>
        <s v="RACKPDU-RACK-R3-Z3W-R1-11-A"/>
        <s v="RACKPDU-RACK-R3-Z3W-R1-12-A"/>
        <s v="RACKPDU-RACK-R3-Z3W-R2-01-A"/>
        <s v="RACKPDU-RACK-R3-Z3W-R2-02-A"/>
        <s v="RACKPDU-RACK-R3-Z3W-R2-03-A"/>
        <s v="RACKPDU-RACK-R3-Z3W-R2-04-A"/>
        <s v="RACKPDU-RACK-R3-Z3W-R2-05-A"/>
        <s v="RACKPDU-RACK-R3-Z3W-R2-06-A"/>
        <s v="RACKPDU-RACK-R3-Z3W-R2-07-A"/>
        <s v="RACKPDU-RACK-R3-Z3W-R2-08-A"/>
        <s v="RACKPDU-RACK-R3-Z3W-R2-09-A"/>
        <s v="RACKPDU-RACK-R3-Z3W-R2-10-A"/>
        <s v="RACKPDU-RACK-R3-Z3W-R2-11-A"/>
        <s v="RACKPDU-RACK-R3-Z3W-R2-12-A"/>
        <s v="RACKPDU-RACK-R3-Z4E-R1-01-A"/>
        <s v="RACKPDU-RACK-R3-Z4E-R1-02-A"/>
        <s v="RACKPDU-RACK-R3-Z4E-R1-03-A"/>
        <s v="RACKPDU-RACK-R3-Z4E-R1-04-A"/>
        <s v="RACKPDU-RACK-R3-Z4E-R1-05-A"/>
        <s v="RACKPDU-RACK-R3-Z4E-R1-06-A"/>
        <s v="RACKPDU-RACK-R3-Z4E-R1-07-A"/>
        <s v="RACKPDU-RACK-R3-Z4E-R1-08-A"/>
        <s v="RACKPDU-RACK-R3-Z4E-R1-09-A"/>
        <s v="RACKPDU-RACK-R3-Z4E-R1-10-A"/>
        <s v="RACKPDU-RACK-R3-Z4E-R1-11-A"/>
        <s v="RACKPDU-RACK-R3-Z4E-R1-12-A"/>
        <s v="RACKPDU-RACK-R3-Z4E-R2-01-A"/>
        <s v="RACKPDU-RACK-R3-Z4E-R2-02-A"/>
        <s v="RACKPDU-RACK-R3-Z4E-R2-03-A"/>
        <s v="RACKPDU-RACK-R3-Z4E-R2-04-A"/>
        <s v="RACKPDU-RACK-R3-Z4E-R2-05-A"/>
        <s v="RACKPDU-RACK-R3-Z4E-R2-06-A"/>
        <s v="RACKPDU-RACK-R3-Z4E-R2-07-A"/>
        <s v="RACKPDU-RACK-R3-Z4E-R2-08-A"/>
        <s v="RACKPDU-RACK-R3-Z4E-R2-09-A"/>
        <s v="RACKPDU-RACK-R3-Z4E-R2-10-A"/>
        <s v="RACKPDU-RACK-R3-Z4E-R2-11-A"/>
        <s v="RACKPDU-RACK-R3-Z4E-R2-12-A"/>
        <s v="RACKPDU-RACK-R3-Z5E-R1-01-A"/>
        <s v="RACKPDU-RACK-R3-Z5E-R1-02-A"/>
        <s v="RACKPDU-RACK-R3-Z5E-R1-03-A"/>
        <s v="RACKPDU-RACK-R3-Z5E-R1-04-A"/>
        <s v="RACKPDU-RACK-R3-Z5E-R1-05-A"/>
        <s v="RACKPDU-RACK-R3-Z5E-R1-06-A"/>
        <s v="RACKPDU-RACK-R3-Z5E-R1-07-A"/>
        <s v="RACKPDU-RACK-R3-Z5E-R1-08-A"/>
        <s v="RACKPDU-RACK-R3-Z5E-R1-09-A"/>
        <s v="RACKPDU-RACK-R3-Z5E-R1-10-A"/>
        <s v="RACKPDU-RACK-R3-Z5E-R1-11-A"/>
        <s v="RACKPDU-RACK-R3-Z5E-R1-12-A"/>
        <s v="RACKPDU-RACK-R3-Z5E-R2-01-A"/>
        <s v="RACKPDU-RACK-R3-Z5E-R2-02-A"/>
        <s v="RACKPDU-RACK-R3-Z5E-R2-03-A"/>
        <s v="RACKPDU-RACK-R3-Z5E-R2-04-A"/>
        <s v="RACKPDU-RACK-R3-Z5E-R2-05-A"/>
        <s v="RACKPDU-RACK-R3-Z5E-R2-06-A"/>
        <s v="RACKPDU-RACK-R3-Z5E-R2-07-A"/>
        <s v="RACKPDU-RACK-R3-Z5E-R2-08-A"/>
        <s v="RACKPDU-RACK-R3-Z5E-R2-09-A"/>
        <s v="RACKPDU-RACK-R3-Z5E-R2-10-A"/>
        <s v="RACKPDU-RACK-R3-Z5E-R2-11-A"/>
        <s v="RACKPDU-RACK-R3-Z5E-R2-12-A"/>
        <s v="RACKPDU-RACK-R3-Z6E-R1-01-A"/>
        <s v="RACKPDU-RACK-R3-Z6E-R1-02-A"/>
        <s v="RACKPDU-RACK-R3-Z6E-R1-03-A"/>
        <s v="RACKPDU-RACK-R3-Z6E-R1-04-A"/>
        <s v="RACKPDU-RACK-R3-Z6E-R1-05-A"/>
        <s v="RACKPDU-RACK-R3-Z6E-R1-06-A"/>
        <s v="RACKPDU-RACK-R3-Z6E-R1-07-A"/>
        <s v="RACKPDU-RACK-R3-Z6E-R1-08-A"/>
        <s v="RACKPDU-RACK-R3-Z6E-R1-09-A"/>
        <s v="RACKPDU-RACK-R3-Z6E-R1-10-A"/>
        <s v="RACKPDU-RACK-R3-Z6E-R1-11-A"/>
        <s v="RACKPDU-RACK-R3-Z6E-R1-12-A"/>
        <s v="RACKPDU-RACK-R3-Z6E-R2-01-A"/>
        <s v="RACKPDU-RACK-R3-Z6E-R2-02-A"/>
        <s v="RACKPDU-RACK-R3-Z6E-R2-03-A"/>
        <s v="RACKPDU-RACK-R3-Z6E-R2-04-A"/>
        <s v="RACKPDU-RACK-R3-Z6E-R2-05-A"/>
        <s v="RACKPDU-RACK-R3-Z6E-R2-06-A"/>
        <s v="RACKPDU-RACK-R3-Z6E-R2-07-A"/>
        <s v="RACKPDU-RACK-R3-Z6E-R2-08-A"/>
        <s v="RACKPDU-RACK-R3-Z6E-R2-09-A"/>
        <s v="RACKPDU-RACK-R3-Z6E-R2-10-A"/>
        <s v="RACKPDU-RACK-R3-Z6E-R2-11-A"/>
        <s v="RACKPDU-RACK-R3-Z6E-R2-12-A"/>
        <s v="RACKPDU-RACK-R4-Z1-R1-01-A"/>
        <s v="RACKPDU-RACK-R4-Z1-R1-02-A"/>
        <s v="RACKPDU-RACK-R4-Z1-R1-03-A"/>
        <s v="RACKPDU-RACK-R4-Z1-R1-04-A"/>
        <s v="RACKPDU-RACK-R4-Z1-R1-05-A"/>
        <s v="RACKPDU-RACK-R4-Z1-R1-06-A"/>
        <s v="RACKPDU-RACK-R4-Z1-R1-07-A"/>
        <s v="RACKPDU-RACK-R4-Z1-R1-08-A"/>
        <s v="RACKPDU-RACK-R4-Z1-R1-09-A"/>
        <s v="RACKPDU-RACK-R4-Z1-R1-10-A"/>
        <s v="RACKPDU-RACK-R4-Z1-R1-11-A"/>
        <s v="RACKPDU-RACK-R4-Z1-R1-12-A"/>
        <s v="RACKPDU-RACK-R4-Z1-R2-01-A"/>
        <s v="RACKPDU-RACK-R4-Z1-R2-02-A"/>
        <s v="RACKPDU-RACK-R4-Z1-R2-03-A"/>
        <s v="RACKPDU-RACK-R4-Z1-R2-04-A"/>
        <s v="RACKPDU-RACK-R4-Z1-R2-05-A"/>
        <s v="RACKPDU-RACK-R4-Z1-R2-06-A"/>
        <s v="RACKPDU-RACK-R4-Z1-R2-07-A"/>
        <s v="RACKPDU-RACK-R4-Z1-R2-08-A"/>
        <s v="RACKPDU-RACK-R4-Z1-R2-09-A"/>
        <s v="RACKPDU-RACK-R4-Z1-R2-10-A"/>
        <s v="RACKPDU-RACK-R4-Z1-R2-11-A"/>
        <s v="RACKPDU-RACK-R4-Z1-R2-12-A"/>
        <s v="RACKPDU-RACK-R5-Z1W-R1-01-A"/>
        <s v="RACKPDU-RACK-R5-Z1W-R1-02-A"/>
        <s v="RACKPDU-RACK-R5-Z1W-R1-03-A"/>
        <s v="RACKPDU-RACK-R5-Z1W-R1-04-A"/>
        <s v="RACKPDU-RACK-R5-Z1W-R1-05-A"/>
        <s v="RACKPDU-RACK-R5-Z1W-R1-06-A"/>
        <s v="RACKPDU-RACK-R5-Z1W-R1-07-A"/>
        <s v="RACKPDU-RACK-R5-Z1W-R1-08-A"/>
        <s v="RACKPDU-RACK-R5-Z1W-R1-09-A"/>
        <s v="RACKPDU-RACK-R5-Z1W-R1-10-A"/>
        <s v="RACKPDU-RACK-R5-Z1W-R1-11-A"/>
        <s v="RACKPDU-RACK-R5-Z1W-R1-12-A"/>
        <s v="RACKPDU-RACK-R5-Z1W-R2-01-A"/>
        <s v="RACKPDU-RACK-R5-Z1W-R2-02-A"/>
        <s v="RACKPDU-RACK-R5-Z1W-R2-03-A"/>
        <s v="RACKPDU-RACK-R5-Z1W-R2-04-A"/>
        <s v="RACKPDU-RACK-R5-Z1W-R2-05-A"/>
        <s v="RACKPDU-RACK-R5-Z1W-R2-06-A"/>
        <s v="RACKPDU-RACK-R5-Z1W-R2-07-A"/>
        <s v="RACKPDU-RACK-R5-Z1W-R2-08-A"/>
        <s v="RACKPDU-RACK-R5-Z1W-R2-09-A"/>
        <s v="RACKPDU-RACK-R5-Z1W-R2-10-A"/>
        <s v="RACKPDU-RACK-R5-Z1W-R2-11-A"/>
        <s v="RACKPDU-RACK-R5-Z1W-R2-12-A"/>
        <s v="RACKPDU-RACK-R5-Z2E-R1-01-A"/>
        <s v="RACKPDU-RACK-R5-Z2E-R1-02-A"/>
        <s v="RACKPDU-RACK-R5-Z2E-R1-03-A"/>
        <s v="RACKPDU-RACK-R5-Z2E-R1-04-A"/>
        <s v="RACKPDU-RACK-R5-Z2E-R1-05-A"/>
        <s v="RACKPDU-RACK-R5-Z2E-R1-06-A"/>
        <s v="RACKPDU-RACK-R5-Z2E-R1-07-A"/>
        <s v="RACKPDU-RACK-R5-Z2E-R1-08-A"/>
        <s v="RACKPDU-RACK-R5-Z2E-R1-09-A"/>
        <s v="RACKPDU-RACK-R5-Z2E-R1-10-A"/>
        <s v="RACKPDU-RACK-R5-Z2E-R1-11-A"/>
        <s v="RACKPDU-RACK-R5-Z2E-R1-12-A"/>
        <s v="RACKPDU-RACK-R5-Z2E-R2-01-A"/>
        <s v="RACKPDU-RACK-R5-Z2E-R2-02-A"/>
        <s v="RACKPDU-RACK-R5-Z2E-R2-03-A"/>
        <s v="RACKPDU-RACK-R5-Z2E-R2-04-A"/>
        <s v="RACKPDU-RACK-R5-Z2E-R2-05-A"/>
        <s v="RACKPDU-RACK-R5-Z2E-R2-06-A"/>
        <s v="RACKPDU-RACK-R5-Z2E-R2-07-A"/>
        <s v="RACKPDU-RACK-R5-Z2E-R2-08-A"/>
        <s v="RACKPDU-RACK-R5-Z2E-R2-09-A"/>
        <s v="RACKPDU-RACK-R5-Z2E-R2-10-A"/>
        <s v="RACKPDU-RACK-R5-Z2E-R2-11-A"/>
        <s v="RACKPDU-RACK-R5-Z2E-R2-12-A"/>
        <s v="RACKPDU-RACK-R1-Z1-R1-01"/>
        <s v="RACKPDU-RACK-R1-Z1-R1-02"/>
        <s v="RACKPDU-RACK-R1-Z1-R1-03"/>
        <s v="RACKPDU-RACK-R1-Z1-R1-04"/>
        <s v="RACKPDU-RACK-R1-Z1-R1-05"/>
        <s v="RACKPDU-RACK-R1-Z1-R1-06"/>
        <s v="RACKPDU-RACK-R1-Z1-R2-01"/>
        <s v="RACKPDU-RACK-R1-Z1-R2-02"/>
        <s v="RACKPDU-RACK-R1-Z1-R2-03"/>
        <s v="RACKPDU-RACK-R1-Z1-R2-04"/>
        <s v="RACKPDU-RACK-R1-Z1-R2-05"/>
        <s v="RACKPDU-RACK-R1-Z1-R2-06"/>
        <s v="RACKPDU-RACK-R1-Z2-R1-01"/>
        <s v="RACKPDU-RACK-R1-Z2-R1-02"/>
        <s v="RACKPDU-RACK-R1-Z2-R1-03"/>
        <s v="RACKPDU-RACK-R1-Z2-R1-04"/>
        <s v="RACKPDU-RACK-R1-Z2-R1-05"/>
        <s v="RACKPDU-RACK-R1-Z2-R1-06"/>
        <s v="RACKPDU-RACK-R1-Z2-R2-01"/>
        <s v="RACKPDU-RACK-R1-Z2-R2-02"/>
        <s v="RACKPDU-RACK-R1-Z2-R2-03"/>
        <s v="RACKPDU-RACK-R1-Z2-R2-04"/>
        <s v="RACKPDU-RACK-R1-Z2-R2-05"/>
        <s v="RACKPDU-RACK-R1-Z2-R2-06"/>
        <s v="RACKPDU-RACK-R2-Z1-R1-01"/>
        <s v="RACKPDU-RACK-R2-Z1-R1-02"/>
        <s v="RACKPDU-RACK-R2-Z1-R1-03"/>
        <s v="RACKPDU-RACK-R2-Z1-R1-04"/>
        <s v="RACKPDU-RACK-R2-Z1-R1-05"/>
        <s v="RACKPDU-RACK-R2-Z1-R1-06"/>
        <s v="RACKPDU-RACK-R2-Z1-R2-01"/>
        <s v="RACKPDU-RACK-R2-Z1-R2-02"/>
        <s v="RACKPDU-RACK-R2-Z1-R2-03"/>
        <s v="RACKPDU-RACK-R2-Z1-R2-04"/>
        <s v="RACKPDU-RACK-R2-Z1-R2-05"/>
        <s v="RACKPDU-RACK-R2-Z1-R2-06"/>
        <s v="RACKPDU-RACK-R2-Z2-R1-01"/>
        <s v="RACKPDU-RACK-R2-Z2-R1-02"/>
        <s v="RACKPDU-RACK-R2-Z2-R1-03"/>
        <s v="RACKPDU-RACK-R2-Z2-R1-04"/>
        <s v="RACKPDU-RACK-R2-Z2-R1-05"/>
        <s v="RACKPDU-RACK-R2-Z2-R1-06"/>
        <s v="RACKPDU-RACK-R2-Z2-R2-01"/>
        <s v="RACKPDU-RACK-R2-Z2-R2-02"/>
        <s v="RACKPDU-RACK-R2-Z2-R2-03"/>
        <s v="RACKPDU-RACK-R2-Z2-R2-04"/>
        <s v="RACKPDU-RACK-R2-Z2-R2-05"/>
        <s v="RACKPDU-RACK-R2-Z2-R2-06"/>
        <m/>
      </sharedItems>
    </cacheField>
    <cacheField name="Rack PDU (B Feed)" numFmtId="0">
      <sharedItems containsBlank="1" count="217">
        <s v="RACKPDU-RACK-R3-Z1W-R1-01-B"/>
        <s v="RACKPDU-RACK-R3-Z1W-R1-02-B"/>
        <s v="RACKPDU-RACK-R3-Z1W-R1-03-B"/>
        <s v="RACKPDU-RACK-R3-Z1W-R1-04-B"/>
        <s v="RACKPDU-RACK-R3-Z1W-R1-05-B"/>
        <s v="RACKPDU-RACK-R3-Z1W-R1-06-B"/>
        <s v="RACKPDU-RACK-R3-Z1W-R1-07-B"/>
        <s v="RACKPDU-RACK-R3-Z1W-R1-08-B"/>
        <s v="RACKPDU-RACK-R3-Z1W-R1-09-B"/>
        <s v="RACKPDU-RACK-R3-Z1W-R1-10-B"/>
        <s v="RACKPDU-RACK-R3-Z1W-R1-11-B"/>
        <s v="RACKPDU-RACK-R3-Z1W-R1-12-B"/>
        <s v="RACKPDU-RACK-R3-Z1W-R2-01-B"/>
        <s v="RACKPDU-RACK-R3-Z1W-R2-02-B"/>
        <s v="RACKPDU-RACK-R3-Z1W-R2-03-B"/>
        <s v="RACKPDU-RACK-R3-Z1W-R2-04-B"/>
        <s v="RACKPDU-RACK-R3-Z1W-R2-05-B"/>
        <s v="RACKPDU-RACK-R3-Z1W-R2-06-B"/>
        <s v="RACKPDU-RACK-R3-Z1W-R2-07-B"/>
        <s v="RACKPDU-RACK-R3-Z1W-R2-08-B"/>
        <s v="RACKPDU-RACK-R3-Z1W-R2-09-B"/>
        <s v="RACKPDU-RACK-R3-Z1W-R2-10-B"/>
        <s v="RACKPDU-RACK-R3-Z1W-R2-11-B"/>
        <s v="RACKPDU-RACK-R3-Z1W-R2-12-B"/>
        <s v="RACKPDU-RACK-R3-Z2W-R1-01-B"/>
        <s v="RACKPDU-RACK-R3-Z2W-R1-02-B"/>
        <s v="RACKPDU-RACK-R3-Z2W-R1-03-B"/>
        <s v="RACKPDU-RACK-R3-Z2W-R1-04-B"/>
        <s v="RACKPDU-RACK-R3-Z2W-R1-05-B"/>
        <s v="RACKPDU-RACK-R3-Z2W-R1-06-B"/>
        <s v="RACKPDU-RACK-R3-Z2W-R1-07-B"/>
        <s v="RACKPDU-RACK-R3-Z2W-R1-08-B"/>
        <s v="RACKPDU-RACK-R3-Z2W-R1-09-B"/>
        <s v="RACKPDU-RACK-R3-Z2W-R1-10-B"/>
        <s v="RACKPDU-RACK-R3-Z2W-R1-11-B"/>
        <s v="RACKPDU-RACK-R3-Z2W-R1-12-B"/>
        <s v="RACKPDU-RACK-R3-Z2W-R2-01-B"/>
        <s v="RACKPDU-RACK-R3-Z2W-R2-02-B"/>
        <s v="RACKPDU-RACK-R3-Z2W-R2-03-B"/>
        <s v="RACKPDU-RACK-R3-Z2W-R2-04-B"/>
        <s v="RACKPDU-RACK-R3-Z2W-R2-05-B"/>
        <s v="RACKPDU-RACK-R3-Z2W-R2-06-B"/>
        <s v="RACKPDU-RACK-R3-Z2W-R2-07-B"/>
        <s v="RACKPDU-RACK-R3-Z2W-R2-08-B"/>
        <s v="RACKPDU-RACK-R3-Z2W-R2-09-B"/>
        <s v="RACKPDU-RACK-R3-Z2W-R2-10-B"/>
        <s v="RACKPDU-RACK-R3-Z2W-R2-11-B"/>
        <s v="RACKPDU-RACK-R3-Z2W-R2-12-B"/>
        <s v="RACKPDU-RACK-R3-Z3W-R1-01-B"/>
        <s v="RACKPDU-RACK-R3-Z3W-R1-02-B"/>
        <s v="RACKPDU-RACK-R3-Z3W-R1-03-B"/>
        <s v="RACKPDU-RACK-R3-Z3W-R1-04-B"/>
        <s v="RACKPDU-RACK-R3-Z3W-R1-05-B"/>
        <s v="RACKPDU-RACK-R3-Z3W-R1-06-B"/>
        <s v="RACKPDU-RACK-R3-Z3W-R1-07-B"/>
        <s v="RACKPDU-RACK-R3-Z3W-R1-08-B"/>
        <s v="RACKPDU-RACK-R3-Z3W-R1-09-B"/>
        <s v="RACKPDU-RACK-R3-Z3W-R1-10-B"/>
        <s v="RACKPDU-RACK-R3-Z3W-R1-11-B"/>
        <s v="RACKPDU-RACK-R3-Z3W-R1-12-B"/>
        <s v="RACKPDU-RACK-R3-Z3W-R2-01-B"/>
        <s v="RACKPDU-RACK-R3-Z3W-R2-02-B"/>
        <s v="RACKPDU-RACK-R3-Z3W-R2-03-B"/>
        <s v="RACKPDU-RACK-R3-Z3W-R2-04-B"/>
        <s v="RACKPDU-RACK-R3-Z3W-R2-05-B"/>
        <s v="RACKPDU-RACK-R3-Z3W-R2-06-B"/>
        <s v="RACKPDU-RACK-R3-Z3W-R2-07-B"/>
        <s v="RACKPDU-RACK-R3-Z3W-R2-08-B"/>
        <s v="RACKPDU-RACK-R3-Z3W-R2-09-B"/>
        <s v="RACKPDU-RACK-R3-Z3W-R2-10-B"/>
        <s v="RACKPDU-RACK-R3-Z3W-R2-11-B"/>
        <s v="RACKPDU-RACK-R3-Z3W-R2-12-B"/>
        <s v="RACKPDU-RACK-R3-Z4E-R1-01-B"/>
        <s v="RACKPDU-RACK-R3-Z4E-R1-02-B"/>
        <s v="RACKPDU-RACK-R3-Z4E-R1-03-B"/>
        <s v="RACKPDU-RACK-R3-Z4E-R1-04-B"/>
        <s v="RACKPDU-RACK-R3-Z4E-R1-05-B"/>
        <s v="RACKPDU-RACK-R3-Z4E-R1-06-B"/>
        <s v="RACKPDU-RACK-R3-Z4E-R1-07-B"/>
        <s v="RACKPDU-RACK-R3-Z4E-R1-08-B"/>
        <s v="RACKPDU-RACK-R3-Z4E-R1-09-B"/>
        <s v="RACKPDU-RACK-R3-Z4E-R1-10-B"/>
        <s v="RACKPDU-RACK-R3-Z4E-R1-11-B"/>
        <s v="RACKPDU-RACK-R3-Z4E-R1-12-B"/>
        <s v="RACKPDU-RACK-R3-Z4E-R2-01-B"/>
        <s v="RACKPDU-RACK-R3-Z4E-R2-02-B"/>
        <s v="RACKPDU-RACK-R3-Z4E-R2-03-B"/>
        <s v="RACKPDU-RACK-R3-Z4E-R2-04-B"/>
        <s v="RACKPDU-RACK-R3-Z4E-R2-05-B"/>
        <s v="RACKPDU-RACK-R3-Z4E-R2-06-B"/>
        <s v="RACKPDU-RACK-R3-Z4E-R2-07-B"/>
        <s v="RACKPDU-RACK-R3-Z4E-R2-08-B"/>
        <s v="RACKPDU-RACK-R3-Z4E-R2-09-B"/>
        <s v="RACKPDU-RACK-R3-Z4E-R2-10-B"/>
        <s v="RACKPDU-RACK-R3-Z4E-R2-11-B"/>
        <s v="RACKPDU-RACK-R3-Z4E-R2-12-B"/>
        <s v="RACKPDU-RACK-R3-Z5E-R1-01-B"/>
        <s v="RACKPDU-RACK-R3-Z5E-R1-02-B"/>
        <s v="RACKPDU-RACK-R3-Z5E-R1-03-B"/>
        <s v="RACKPDU-RACK-R3-Z5E-R1-04-B"/>
        <s v="RACKPDU-RACK-R3-Z5E-R1-05-B"/>
        <s v="RACKPDU-RACK-R3-Z5E-R1-06-B"/>
        <s v="RACKPDU-RACK-R3-Z5E-R1-07-B"/>
        <s v="RACKPDU-RACK-R3-Z5E-R1-08-B"/>
        <s v="RACKPDU-RACK-R3-Z5E-R1-09-B"/>
        <s v="RACKPDU-RACK-R3-Z5E-R1-10-B"/>
        <s v="RACKPDU-RACK-R3-Z5E-R1-11-B"/>
        <s v="RACKPDU-RACK-R3-Z5E-R1-12-B"/>
        <s v="RACKPDU-RACK-R3-Z5E-R2-01-B"/>
        <s v="RACKPDU-RACK-R3-Z5E-R2-02-B"/>
        <s v="RACKPDU-RACK-R3-Z5E-R2-03-B"/>
        <s v="RACKPDU-RACK-R3-Z5E-R2-04-B"/>
        <s v="RACKPDU-RACK-R3-Z5E-R2-05-B"/>
        <s v="RACKPDU-RACK-R3-Z5E-R2-06-B"/>
        <s v="RACKPDU-RACK-R3-Z5E-R2-07-B"/>
        <s v="RACKPDU-RACK-R3-Z5E-R2-08-B"/>
        <s v="RACKPDU-RACK-R3-Z5E-R2-09-B"/>
        <s v="RACKPDU-RACK-R3-Z5E-R2-10-B"/>
        <s v="RACKPDU-RACK-R3-Z5E-R2-11-B"/>
        <s v="RACKPDU-RACK-R3-Z5E-R2-12-B"/>
        <s v="RACKPDU-RACK-R3-Z6E-R1-01-B"/>
        <s v="RACKPDU-RACK-R3-Z6E-R1-02-B"/>
        <s v="RACKPDU-RACK-R3-Z6E-R1-03-B"/>
        <s v="RACKPDU-RACK-R3-Z6E-R1-04-B"/>
        <s v="RACKPDU-RACK-R3-Z6E-R1-05-B"/>
        <s v="RACKPDU-RACK-R3-Z6E-R1-06-B"/>
        <s v="RACKPDU-RACK-R3-Z6E-R1-07-B"/>
        <s v="RACKPDU-RACK-R3-Z6E-R1-08-B"/>
        <s v="RACKPDU-RACK-R3-Z6E-R1-09-B"/>
        <s v="RACKPDU-RACK-R3-Z6E-R1-10-B"/>
        <s v="RACKPDU-RACK-R3-Z6E-R1-11-B"/>
        <s v="RACKPDU-RACK-R3-Z6E-R1-12-B"/>
        <s v="RACKPDU-RACK-R3-Z6E-R2-01-B"/>
        <s v="RACKPDU-RACK-R3-Z6E-R2-02-B"/>
        <s v="RACKPDU-RACK-R3-Z6E-R2-03-B"/>
        <s v="RACKPDU-RACK-R3-Z6E-R2-04-B"/>
        <s v="RACKPDU-RACK-R3-Z6E-R2-05-B"/>
        <s v="RACKPDU-RACK-R3-Z6E-R2-06-B"/>
        <s v="RACKPDU-RACK-R3-Z6E-R2-07-B"/>
        <s v="RACKPDU-RACK-R3-Z6E-R2-08-B"/>
        <s v="RACKPDU-RACK-R3-Z6E-R2-09-B"/>
        <s v="RACKPDU-RACK-R3-Z6E-R2-10-B"/>
        <s v="RACKPDU-RACK-R3-Z6E-R2-11-B"/>
        <s v="RACKPDU-RACK-R3-Z6E-R2-12-B"/>
        <s v="RACKPDU-RACK-R4-Z1-R1-01-B"/>
        <s v="RACKPDU-RACK-R4-Z1-R1-02-B"/>
        <s v="RACKPDU-RACK-R4-Z1-R1-03-B"/>
        <s v="RACKPDU-RACK-R4-Z1-R1-04-B"/>
        <s v="RACKPDU-RACK-R4-Z1-R1-05-B"/>
        <s v="RACKPDU-RACK-R4-Z1-R1-06-B"/>
        <s v="RACKPDU-RACK-R4-Z1-R1-07-B"/>
        <s v="RACKPDU-RACK-R4-Z1-R1-08-B"/>
        <s v="RACKPDU-RACK-R4-Z1-R1-09-B"/>
        <s v="RACKPDU-RACK-R4-Z1-R1-10-B"/>
        <s v="RACKPDU-RACK-R4-Z1-R1-11-B"/>
        <s v="RACKPDU-RACK-R4-Z1-R1-12-B"/>
        <s v="RACKPDU-RACK-R4-Z1-R2-01-B"/>
        <s v="RACKPDU-RACK-R4-Z1-R2-02-B"/>
        <s v="RACKPDU-RACK-R4-Z1-R2-03-B"/>
        <s v="RACKPDU-RACK-R4-Z1-R2-04-B"/>
        <s v="RACKPDU-RACK-R4-Z1-R2-05-B"/>
        <s v="RACKPDU-RACK-R4-Z1-R2-06-B"/>
        <s v="RACKPDU-RACK-R4-Z1-R2-07-B"/>
        <s v="RACKPDU-RACK-R4-Z1-R2-08-B"/>
        <s v="RACKPDU-RACK-R4-Z1-R2-09-B"/>
        <s v="RACKPDU-RACK-R4-Z1-R2-10-B"/>
        <s v="RACKPDU-RACK-R4-Z1-R2-11-B"/>
        <s v="RACKPDU-RACK-R4-Z1-R2-12-B"/>
        <s v="RACKPDU-RACK-R5-Z1W-R1-01-B"/>
        <s v="RACKPDU-RACK-R5-Z1W-R1-02-B"/>
        <s v="RACKPDU-RACK-R5-Z1W-R1-03-B"/>
        <s v="RACKPDU-RACK-R5-Z1W-R1-04-B"/>
        <s v="RACKPDU-RACK-R5-Z1W-R1-05-B"/>
        <s v="RACKPDU-RACK-R5-Z1W-R1-06-B"/>
        <s v="RACKPDU-RACK-R5-Z1W-R1-07-B"/>
        <s v="RACKPDU-RACK-R5-Z1W-R1-08-B"/>
        <s v="RACKPDU-RACK-R5-Z1W-R1-09-B"/>
        <s v="RACKPDU-RACK-R5-Z1W-R1-10-B"/>
        <s v="RACKPDU-RACK-R5-Z1W-R1-11-B"/>
        <s v="RACKPDU-RACK-R5-Z1W-R1-12-B"/>
        <s v="RACKPDU-RACK-R5-Z1W-R2-01-B"/>
        <s v="RACKPDU-RACK-R5-Z1W-R2-02-B"/>
        <s v="RACKPDU-RACK-R5-Z1W-R2-03-B"/>
        <s v="RACKPDU-RACK-R5-Z1W-R2-04-B"/>
        <s v="RACKPDU-RACK-R5-Z1W-R2-05-B"/>
        <s v="RACKPDU-RACK-R5-Z1W-R2-06-B"/>
        <s v="RACKPDU-RACK-R5-Z1W-R2-07-B"/>
        <s v="RACKPDU-RACK-R5-Z1W-R2-08-B"/>
        <s v="RACKPDU-RACK-R5-Z1W-R2-09-B"/>
        <s v="RACKPDU-RACK-R5-Z1W-R2-10-B"/>
        <s v="RACKPDU-RACK-R5-Z1W-R2-11-B"/>
        <s v="RACKPDU-RACK-R5-Z1W-R2-12-B"/>
        <s v="RACKPDU-RACK-R5-Z2E-R1-01-B"/>
        <s v="RACKPDU-RACK-R5-Z2E-R1-02-B"/>
        <s v="RACKPDU-RACK-R5-Z2E-R1-03-B"/>
        <s v="RACKPDU-RACK-R5-Z2E-R1-04-B"/>
        <s v="RACKPDU-RACK-R5-Z2E-R1-05-B"/>
        <s v="RACKPDU-RACK-R5-Z2E-R1-06-B"/>
        <s v="RACKPDU-RACK-R5-Z2E-R1-07-B"/>
        <s v="RACKPDU-RACK-R5-Z2E-R1-08-B"/>
        <s v="RACKPDU-RACK-R5-Z2E-R1-09-B"/>
        <s v="RACKPDU-RACK-R5-Z2E-R1-10-B"/>
        <s v="RACKPDU-RACK-R5-Z2E-R1-11-B"/>
        <s v="RACKPDU-RACK-R5-Z2E-R1-12-B"/>
        <s v="RACKPDU-RACK-R5-Z2E-R2-01-B"/>
        <s v="RACKPDU-RACK-R5-Z2E-R2-02-B"/>
        <s v="RACKPDU-RACK-R5-Z2E-R2-03-B"/>
        <s v="RACKPDU-RACK-R5-Z2E-R2-04-B"/>
        <s v="RACKPDU-RACK-R5-Z2E-R2-05-B"/>
        <s v="RACKPDU-RACK-R5-Z2E-R2-06-B"/>
        <s v="RACKPDU-RACK-R5-Z2E-R2-07-B"/>
        <s v="RACKPDU-RACK-R5-Z2E-R2-08-B"/>
        <s v="RACKPDU-RACK-R5-Z2E-R2-09-B"/>
        <s v="RACKPDU-RACK-R5-Z2E-R2-10-B"/>
        <s v="RACKPDU-RACK-R5-Z2E-R2-11-B"/>
        <s v="RACKPDU-RACK-R5-Z2E-R2-12-B"/>
        <m/>
      </sharedItems>
    </cacheField>
    <cacheField name="Rack_Circuit_Capacity_(design)" numFmtId="0">
      <sharedItems containsString="0" containsBlank="1" containsNumber="1" containsInteger="1" minValue="15" maxValue="60"/>
    </cacheField>
    <cacheField name="Rack_Max_Liquid_Load" numFmtId="0">
      <sharedItems containsString="0" containsBlank="1" containsNumber="1" minValue="7.5" maxValue="51"/>
    </cacheField>
    <cacheField name="Rack_Max_Air_Load" numFmtId="0">
      <sharedItems containsString="0" containsBlank="1" containsNumber="1" minValue="6.0000000000000009" maxValue="9.0000000000000018"/>
    </cacheField>
    <cacheField name="Rack_Circuit_Capacity_(rated)" numFmtId="0">
      <sharedItems containsString="0" containsBlank="1" containsNumber="1" containsInteger="1" minValue="18" maxValue="72"/>
    </cacheField>
    <cacheField name="Rack_LiquidCool_Fraction" numFmtId="0">
      <sharedItems containsString="0" containsBlank="1" containsNumber="1" minValue="0.5" maxValue="0.85"/>
    </cacheField>
    <cacheField name="Rack_AirCool_Fraction" numFmtId="0">
      <sharedItems containsString="0" containsBlank="1" containsNumber="1" minValue="0.15000000000000002" maxValue="0.5"/>
    </cacheField>
    <cacheField name="RPP (A Feed)" numFmtId="0">
      <sharedItems containsBlank="1" count="15">
        <s v="RPP-R3-A1"/>
        <s v="RPP-R3-A2"/>
        <s v="RPP-R3-A3"/>
        <s v="RPP-R3-A4"/>
        <s v="RPP-R4-A5"/>
        <s v="RPP-R4-A6"/>
        <s v="RPP-R5-A1"/>
        <s v="RPP-R5-A2"/>
        <s v="RPP-R5-A3"/>
        <s v="RPP-R5-A4"/>
        <s v="RPP-R1-1"/>
        <s v="RPP-R1-2"/>
        <s v="RPP-R2-1"/>
        <s v="RPP-R2-2"/>
        <m/>
      </sharedItems>
    </cacheField>
    <cacheField name="RPP (B Feed)" numFmtId="0">
      <sharedItems containsBlank="1" count="11">
        <s v="RPP-R3-B1"/>
        <s v="RPP-R3-B2"/>
        <s v="RPP-R3-B3"/>
        <s v="RPP-R3-B4"/>
        <s v="RPP-R4-B5"/>
        <s v="RPP-R4-B6"/>
        <s v="RPP-R5-B1"/>
        <s v="RPP-R5-B2"/>
        <s v="RPP-R5-B3"/>
        <s v="RPP-R5-B4"/>
        <m/>
      </sharedItems>
    </cacheField>
    <cacheField name="Room PDU (A Feed)" numFmtId="0">
      <sharedItems containsBlank="1"/>
    </cacheField>
    <cacheField name="Room PDU (B Feed)" numFmtId="0">
      <sharedItems containsBlank="1"/>
    </cacheField>
    <cacheField name="UPS (A Feed)" numFmtId="0">
      <sharedItems containsBlank="1"/>
    </cacheField>
    <cacheField name="UPS (B Feed)" numFmtId="0">
      <sharedItems containsBlank="1"/>
    </cacheField>
    <cacheField name="BESS" numFmtId="0">
      <sharedItems containsBlank="1"/>
    </cacheField>
    <cacheField name="Switch Gear (A Feed)" numFmtId="0">
      <sharedItems containsBlank="1"/>
    </cacheField>
    <cacheField name="Switch Gear (B Feed)" numFmtId="0">
      <sharedItems containsBlank="1"/>
    </cacheField>
    <cacheField name="Utility (A Feed)" numFmtId="0">
      <sharedItems containsBlank="1"/>
    </cacheField>
    <cacheField name="Utility (B Feed)" numFmtId="0">
      <sharedItems containsBlank="1"/>
    </cacheField>
    <cacheField name="Generator (A Feed)" numFmtId="0">
      <sharedItems containsBlank="1"/>
    </cacheField>
    <cacheField name="Generator (B Feed)" numFmtId="0">
      <sharedItems containsBlank="1"/>
    </cacheField>
    <cacheField name="Capacity Cell" numFmtId="0">
      <sharedItems containsBlank="1" count="6">
        <s v="CC-R3"/>
        <s v="CC-R4"/>
        <s v="CC-R5W"/>
        <s v="CC-R5E"/>
        <s v="CC-R1R2"/>
        <m/>
      </sharedItems>
    </cacheField>
    <cacheField name="Room Bundle" numFmtId="0">
      <sharedItems containsBlank="1"/>
    </cacheField>
    <cacheField name="Room PDU Bundle" numFmtId="0">
      <sharedItems containsBlank="1"/>
    </cacheField>
    <cacheField name="UPS Bundle" numFmtId="0">
      <sharedItems containsBlank="1"/>
    </cacheField>
    <cacheField name="ITL-SJ-Meridian-C01-PP01" numFmtId="0">
      <sharedItems containsString="0" containsBlank="1" containsNumber="1" containsInteger="1" minValue="10" maxValue="15"/>
    </cacheField>
    <cacheField name="LCL-SJ-Meridian-C01-PP01" numFmtId="0">
      <sharedItems containsString="0" containsBlank="1" containsNumber="1" minValue="5" maxValue="7.5"/>
    </cacheField>
    <cacheField name="ACL-SJ-Meridian-C01-PP01" numFmtId="0">
      <sharedItems containsString="0" containsBlank="1" containsNumber="1" minValue="5" maxValue="7.5"/>
    </cacheField>
    <cacheField name="ITL-SJ-Pacific-C01-PD01" numFmtId="0">
      <sharedItems containsString="0" containsBlank="1" containsNumber="1" containsInteger="1" minValue="0" maxValue="30"/>
    </cacheField>
    <cacheField name="LCL-SJ-Pacific-C01-PD01" numFmtId="0">
      <sharedItems containsString="0" containsBlank="1" containsNumber="1" minValue="0" maxValue="22.5"/>
    </cacheField>
    <cacheField name="ACL-SJ-Pacific-C01-PD01" numFmtId="0">
      <sharedItems containsString="0" containsBlank="1" containsNumber="1" minValue="0" maxValue="7.5"/>
    </cacheField>
    <cacheField name="ITL-SJ-Pacific-C01-PD02" numFmtId="0">
      <sharedItems containsString="0" containsBlank="1" containsNumber="1" containsInteger="1" minValue="0" maxValue="30"/>
    </cacheField>
    <cacheField name="ACL-SJ-Pacific-C01-PD02" numFmtId="0">
      <sharedItems containsString="0" containsBlank="1" containsNumber="1" minValue="0" maxValue="22.5"/>
    </cacheField>
    <cacheField name="LCL-SJ-Pacific-C01-PD02" numFmtId="0">
      <sharedItems containsString="0" containsBlank="1" containsNumber="1" minValue="0" maxValue="7.5"/>
    </cacheField>
    <cacheField name="ITL-SJ-Pacific-C01-PD03" numFmtId="0">
      <sharedItems containsString="0" containsBlank="1" containsNumber="1" containsInteger="1" minValue="30" maxValue="30"/>
    </cacheField>
    <cacheField name="ACL-SJ-Pacific-C01-PD03" numFmtId="0">
      <sharedItems containsString="0" containsBlank="1" containsNumber="1" minValue="0" maxValue="25.5"/>
    </cacheField>
    <cacheField name="LCL-SJ-Pacific-C01-PD03" numFmtId="0">
      <sharedItems containsString="0" containsBlank="1" containsNumber="1" minValue="0" maxValue="4.5"/>
    </cacheField>
    <cacheField name="ITL-SJ-Pacific-C01-PD04" numFmtId="0">
      <sharedItems containsString="0" containsBlank="1" containsNumber="1" containsInteger="1" minValue="30" maxValue="30"/>
    </cacheField>
    <cacheField name="ACL-SJ-Pacific-C01-PD04" numFmtId="0">
      <sharedItems containsString="0" containsBlank="1" containsNumber="1" minValue="0" maxValue="25.5"/>
    </cacheField>
    <cacheField name="LCL-SJ-Pacific-C01-PD04" numFmtId="0">
      <sharedItems containsString="0" containsBlank="1" containsNumber="1" minValue="0" maxValue="4.5"/>
    </cacheField>
    <cacheField name="ITL-SJ-Keystone-C01-PP01" numFmtId="0">
      <sharedItems containsString="0" containsBlank="1" containsNumber="1" containsInteger="1" minValue="15" maxValue="60"/>
    </cacheField>
    <cacheField name="ACL-SJ-Keystone-C01-PP01" numFmtId="0">
      <sharedItems containsString="0" containsBlank="1" containsNumber="1" minValue="12.75" maxValue="51"/>
    </cacheField>
    <cacheField name="LCL-SJ-Keystone-C01-PP01" numFmtId="0">
      <sharedItems containsString="0" containsBlank="1" containsNumber="1" minValue="2.2500000000000004" maxValue="9.0000000000000018"/>
    </cacheField>
    <cacheField name="LCM-SJ-Meridian-C01-PP01" numFmtId="0">
      <sharedItems containsString="0" containsBlank="1" containsNumber="1" containsInteger="1" minValue="20" maxValue="60"/>
    </cacheField>
    <cacheField name="LCM-SJ-Pacific-C01-PD01" numFmtId="0">
      <sharedItems containsString="0" containsBlank="1" containsNumber="1" containsInteger="1" minValue="0" maxValue="60"/>
    </cacheField>
    <cacheField name="LCM-SJ-Pacific-C01-PD02" numFmtId="0">
      <sharedItems containsString="0" containsBlank="1" containsNumber="1" containsInteger="1" minValue="0" maxValue="60"/>
    </cacheField>
    <cacheField name="LCM-SJ-Pacific-C01-PD03" numFmtId="0">
      <sharedItems containsString="0" containsBlank="1" containsNumber="1" containsInteger="1" minValue="15" maxValue="60"/>
    </cacheField>
    <cacheField name="LCM-SJ-Pacific-C01-PD04" numFmtId="0">
      <sharedItems containsString="0" containsBlank="1" containsNumber="1" containsInteger="1" minValue="15" maxValue="60"/>
    </cacheField>
    <cacheField name="LCM-SJ-Keystone-C01-PP01" numFmtId="0">
      <sharedItems containsString="0" containsBlank="1" containsNumber="1" containsInteger="1" minValue="0" maxValue="60"/>
    </cacheField>
    <cacheField name="LCM-SJ-Meridian-C01-PP01%" numFmtId="0">
      <sharedItems containsString="0" containsBlank="1" containsNumber="1" containsInteger="1" minValue="1" maxValue="1"/>
    </cacheField>
    <cacheField name="LCM-SJ-Pacific-C01-PD01%" numFmtId="0">
      <sharedItems containsString="0" containsBlank="1" containsNumber="1" containsInteger="1" minValue="0" maxValue="1"/>
    </cacheField>
    <cacheField name="LCM-SJ-Pacific-C01-PD02%" numFmtId="0">
      <sharedItems containsString="0" containsBlank="1" containsNumber="1" containsInteger="1" minValue="0" maxValue="1"/>
    </cacheField>
    <cacheField name="LCM-SJ-Pacific-C01-PD03%" numFmtId="0">
      <sharedItems containsString="0" containsBlank="1" containsNumber="1" minValue="0.33333333333333331" maxValue="1"/>
    </cacheField>
    <cacheField name="LCM-SJ-Pacific-C01-PD04%" numFmtId="0">
      <sharedItems containsString="0" containsBlank="1" containsNumber="1" minValue="0.33333333333333331" maxValue="1"/>
    </cacheField>
    <cacheField name="LCM-SJ-Keystone-C01-PP01%" numFmtId="0">
      <sharedItems containsString="0" containsBlank="1" containsNumber="1" minValue="0" maxValue="1"/>
    </cacheField>
    <cacheField name="RDHx" numFmtId="0">
      <sharedItems containsBlank="1"/>
    </cacheField>
    <cacheField name="RDHx_MaxHeat_Removal" numFmtId="0">
      <sharedItems containsString="0" containsBlank="1" containsNumber="1" minValue="8.3333333333333339" maxValue="8.3333333333333339"/>
    </cacheField>
    <cacheField name="DTC" numFmtId="0">
      <sharedItems containsBlank="1"/>
    </cacheField>
    <cacheField name="DTC_MaxCool_Capacity" numFmtId="0">
      <sharedItems containsString="0" containsBlank="1" containsNumber="1" minValue="8.3333333333333339" maxValue="56.666666666666664"/>
    </cacheField>
    <cacheField name="COUNT-SJ-Meridian-C01-PP01" numFmtId="0">
      <sharedItems containsString="0" containsBlank="1" containsNumber="1" containsInteger="1" minValue="0" maxValue="1"/>
    </cacheField>
    <cacheField name="COUNT-SJ-Pacific-C01-PD01" numFmtId="0">
      <sharedItems containsString="0" containsBlank="1" containsNumber="1" containsInteger="1" minValue="0" maxValue="1"/>
    </cacheField>
    <cacheField name="COUNT-SJ-Pacific-C01-PD02" numFmtId="0">
      <sharedItems containsString="0" containsBlank="1" containsNumber="1" containsInteger="1" minValue="0" maxValue="1"/>
    </cacheField>
    <cacheField name="COUNT-SJ-Pacific-C01-PD03" numFmtId="0">
      <sharedItems containsString="0" containsBlank="1" containsNumber="1" containsInteger="1" minValue="0" maxValue="1"/>
    </cacheField>
    <cacheField name="COUNT-SJ-Pacific-C01-PD04" numFmtId="0">
      <sharedItems containsString="0" containsBlank="1" containsNumber="1" containsInteger="1" minValue="0" maxValue="1"/>
    </cacheField>
    <cacheField name="COUNT-SJ-Keystone-C01-PP01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x v="0"/>
    <n v="30"/>
    <m/>
    <m/>
    <x v="0"/>
    <x v="0"/>
    <x v="0"/>
    <s v="POD-05"/>
    <x v="0"/>
    <x v="0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1"/>
    <n v="25"/>
    <n v="0"/>
    <n v="1"/>
    <n v="1"/>
    <n v="0"/>
    <n v="0"/>
    <n v="0"/>
  </r>
  <r>
    <x v="0"/>
    <x v="0"/>
    <n v="30"/>
    <m/>
    <m/>
    <x v="0"/>
    <x v="0"/>
    <x v="1"/>
    <s v="POD-05"/>
    <x v="1"/>
    <x v="1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2"/>
    <n v="25"/>
    <n v="0"/>
    <n v="1"/>
    <n v="1"/>
    <n v="0"/>
    <n v="0"/>
    <n v="0"/>
  </r>
  <r>
    <x v="0"/>
    <x v="0"/>
    <n v="30"/>
    <m/>
    <m/>
    <x v="0"/>
    <x v="0"/>
    <x v="2"/>
    <s v="POD-05"/>
    <x v="2"/>
    <x v="2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3"/>
    <n v="25"/>
    <n v="0"/>
    <n v="1"/>
    <n v="1"/>
    <n v="0"/>
    <n v="0"/>
    <n v="0"/>
  </r>
  <r>
    <x v="0"/>
    <x v="0"/>
    <n v="30"/>
    <m/>
    <m/>
    <x v="0"/>
    <x v="0"/>
    <x v="3"/>
    <s v="POD-05"/>
    <x v="3"/>
    <x v="3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4"/>
    <n v="25"/>
    <n v="0"/>
    <n v="1"/>
    <n v="1"/>
    <n v="0"/>
    <n v="0"/>
    <n v="0"/>
  </r>
  <r>
    <x v="0"/>
    <x v="0"/>
    <n v="30"/>
    <m/>
    <m/>
    <x v="0"/>
    <x v="0"/>
    <x v="4"/>
    <s v="POD-05"/>
    <x v="4"/>
    <x v="4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5"/>
    <n v="25"/>
    <n v="0"/>
    <n v="1"/>
    <n v="1"/>
    <n v="0"/>
    <n v="0"/>
    <n v="0"/>
  </r>
  <r>
    <x v="0"/>
    <x v="0"/>
    <n v="30"/>
    <m/>
    <m/>
    <x v="0"/>
    <x v="0"/>
    <x v="5"/>
    <s v="POD-05"/>
    <x v="5"/>
    <x v="5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6"/>
    <n v="25"/>
    <n v="0"/>
    <n v="1"/>
    <n v="1"/>
    <n v="0"/>
    <n v="0"/>
    <n v="0"/>
  </r>
  <r>
    <x v="0"/>
    <x v="0"/>
    <n v="30"/>
    <m/>
    <m/>
    <x v="0"/>
    <x v="0"/>
    <x v="6"/>
    <s v="POD-05"/>
    <x v="6"/>
    <x v="6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7"/>
    <n v="25"/>
    <n v="0"/>
    <n v="1"/>
    <n v="1"/>
    <n v="0"/>
    <n v="0"/>
    <n v="0"/>
  </r>
  <r>
    <x v="0"/>
    <x v="0"/>
    <n v="30"/>
    <m/>
    <m/>
    <x v="0"/>
    <x v="0"/>
    <x v="7"/>
    <s v="POD-05"/>
    <x v="7"/>
    <x v="7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1-08"/>
    <n v="25"/>
    <n v="0"/>
    <n v="1"/>
    <n v="1"/>
    <n v="0"/>
    <n v="0"/>
    <n v="0"/>
  </r>
  <r>
    <x v="0"/>
    <x v="0"/>
    <n v="30"/>
    <m/>
    <m/>
    <x v="0"/>
    <x v="0"/>
    <x v="8"/>
    <s v="POD-05"/>
    <x v="8"/>
    <x v="8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1-09"/>
    <n v="25"/>
    <n v="0"/>
    <n v="1"/>
    <n v="0"/>
    <n v="0"/>
    <n v="0"/>
    <n v="0"/>
  </r>
  <r>
    <x v="0"/>
    <x v="0"/>
    <n v="30"/>
    <m/>
    <m/>
    <x v="0"/>
    <x v="0"/>
    <x v="9"/>
    <s v="POD-05"/>
    <x v="9"/>
    <x v="9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1-10"/>
    <n v="25"/>
    <n v="0"/>
    <n v="1"/>
    <n v="0"/>
    <n v="0"/>
    <n v="0"/>
    <n v="0"/>
  </r>
  <r>
    <x v="0"/>
    <x v="0"/>
    <n v="30"/>
    <m/>
    <m/>
    <x v="0"/>
    <x v="0"/>
    <x v="10"/>
    <s v="POD-05"/>
    <x v="10"/>
    <x v="10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1-11"/>
    <n v="25"/>
    <n v="0"/>
    <n v="1"/>
    <n v="0"/>
    <n v="0"/>
    <n v="0"/>
    <n v="0"/>
  </r>
  <r>
    <x v="0"/>
    <x v="0"/>
    <n v="30"/>
    <m/>
    <m/>
    <x v="0"/>
    <x v="0"/>
    <x v="11"/>
    <s v="POD-05"/>
    <x v="11"/>
    <x v="11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1-12"/>
    <n v="25"/>
    <n v="0"/>
    <n v="1"/>
    <n v="0"/>
    <n v="0"/>
    <n v="0"/>
    <n v="0"/>
  </r>
  <r>
    <x v="0"/>
    <x v="1"/>
    <n v="30"/>
    <m/>
    <m/>
    <x v="0"/>
    <x v="0"/>
    <x v="12"/>
    <s v="POD-05"/>
    <x v="12"/>
    <x v="12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01"/>
    <n v="25"/>
    <n v="0"/>
    <n v="0"/>
    <n v="1"/>
    <n v="0"/>
    <n v="0"/>
    <n v="0"/>
  </r>
  <r>
    <x v="0"/>
    <x v="1"/>
    <n v="30"/>
    <m/>
    <m/>
    <x v="0"/>
    <x v="0"/>
    <x v="13"/>
    <s v="POD-05"/>
    <x v="13"/>
    <x v="13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02"/>
    <n v="25"/>
    <n v="0"/>
    <n v="0"/>
    <n v="1"/>
    <n v="0"/>
    <n v="0"/>
    <n v="0"/>
  </r>
  <r>
    <x v="0"/>
    <x v="1"/>
    <n v="30"/>
    <m/>
    <m/>
    <x v="0"/>
    <x v="0"/>
    <x v="14"/>
    <s v="POD-05"/>
    <x v="14"/>
    <x v="14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03"/>
    <n v="25"/>
    <n v="0"/>
    <n v="0"/>
    <n v="1"/>
    <n v="0"/>
    <n v="0"/>
    <n v="0"/>
  </r>
  <r>
    <x v="0"/>
    <x v="1"/>
    <n v="30"/>
    <m/>
    <m/>
    <x v="0"/>
    <x v="0"/>
    <x v="15"/>
    <s v="POD-05"/>
    <x v="15"/>
    <x v="15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04"/>
    <n v="25"/>
    <n v="0"/>
    <n v="0"/>
    <n v="1"/>
    <n v="0"/>
    <n v="0"/>
    <n v="0"/>
  </r>
  <r>
    <x v="0"/>
    <x v="1"/>
    <n v="30"/>
    <m/>
    <m/>
    <x v="0"/>
    <x v="0"/>
    <x v="16"/>
    <s v="POD-05"/>
    <x v="16"/>
    <x v="16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2-05"/>
    <n v="25"/>
    <n v="0"/>
    <n v="1"/>
    <n v="1"/>
    <n v="0"/>
    <n v="0"/>
    <n v="0"/>
  </r>
  <r>
    <x v="0"/>
    <x v="1"/>
    <n v="30"/>
    <m/>
    <m/>
    <x v="0"/>
    <x v="0"/>
    <x v="17"/>
    <s v="POD-05"/>
    <x v="17"/>
    <x v="17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1W-R2-06"/>
    <n v="25"/>
    <n v="0"/>
    <n v="1"/>
    <n v="1"/>
    <n v="0"/>
    <n v="0"/>
    <n v="0"/>
  </r>
  <r>
    <x v="0"/>
    <x v="1"/>
    <n v="30"/>
    <m/>
    <m/>
    <x v="0"/>
    <x v="0"/>
    <x v="18"/>
    <s v="POD-05"/>
    <x v="18"/>
    <x v="18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2-07"/>
    <n v="25"/>
    <n v="0"/>
    <n v="1"/>
    <n v="0"/>
    <n v="0"/>
    <n v="0"/>
    <n v="0"/>
  </r>
  <r>
    <x v="0"/>
    <x v="1"/>
    <n v="30"/>
    <m/>
    <m/>
    <x v="0"/>
    <x v="0"/>
    <x v="19"/>
    <s v="POD-05"/>
    <x v="19"/>
    <x v="19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1W-R2-08"/>
    <n v="25"/>
    <n v="0"/>
    <n v="1"/>
    <n v="0"/>
    <n v="0"/>
    <n v="0"/>
    <n v="0"/>
  </r>
  <r>
    <x v="0"/>
    <x v="1"/>
    <n v="30"/>
    <m/>
    <m/>
    <x v="0"/>
    <x v="0"/>
    <x v="20"/>
    <s v="POD-05"/>
    <x v="20"/>
    <x v="20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09"/>
    <n v="25"/>
    <n v="0"/>
    <n v="0"/>
    <n v="1"/>
    <n v="0"/>
    <n v="0"/>
    <n v="0"/>
  </r>
  <r>
    <x v="0"/>
    <x v="1"/>
    <n v="30"/>
    <m/>
    <m/>
    <x v="0"/>
    <x v="0"/>
    <x v="21"/>
    <s v="POD-05"/>
    <x v="21"/>
    <x v="21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10"/>
    <n v="25"/>
    <n v="0"/>
    <n v="0"/>
    <n v="1"/>
    <n v="0"/>
    <n v="0"/>
    <n v="0"/>
  </r>
  <r>
    <x v="0"/>
    <x v="1"/>
    <n v="30"/>
    <m/>
    <m/>
    <x v="0"/>
    <x v="0"/>
    <x v="22"/>
    <s v="POD-05"/>
    <x v="22"/>
    <x v="22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11"/>
    <n v="25"/>
    <n v="0"/>
    <n v="0"/>
    <n v="1"/>
    <n v="0"/>
    <n v="0"/>
    <n v="0"/>
  </r>
  <r>
    <x v="0"/>
    <x v="1"/>
    <n v="30"/>
    <m/>
    <m/>
    <x v="0"/>
    <x v="0"/>
    <x v="23"/>
    <s v="POD-05"/>
    <x v="23"/>
    <x v="23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1W-R2-12"/>
    <n v="25"/>
    <n v="0"/>
    <n v="0"/>
    <n v="1"/>
    <n v="0"/>
    <n v="0"/>
    <n v="0"/>
  </r>
  <r>
    <x v="1"/>
    <x v="2"/>
    <n v="30"/>
    <m/>
    <m/>
    <x v="0"/>
    <x v="0"/>
    <x v="24"/>
    <s v="POD-05"/>
    <x v="24"/>
    <x v="24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1-01"/>
    <n v="25"/>
    <n v="0"/>
    <n v="1"/>
    <n v="0"/>
    <n v="0"/>
    <n v="0"/>
    <n v="0"/>
  </r>
  <r>
    <x v="1"/>
    <x v="2"/>
    <n v="30"/>
    <m/>
    <m/>
    <x v="0"/>
    <x v="0"/>
    <x v="25"/>
    <s v="POD-05"/>
    <x v="25"/>
    <x v="25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1-02"/>
    <n v="25"/>
    <n v="0"/>
    <n v="1"/>
    <n v="0"/>
    <n v="0"/>
    <n v="0"/>
    <n v="0"/>
  </r>
  <r>
    <x v="1"/>
    <x v="2"/>
    <n v="30"/>
    <m/>
    <m/>
    <x v="0"/>
    <x v="0"/>
    <x v="26"/>
    <s v="POD-05"/>
    <x v="26"/>
    <x v="26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1-03"/>
    <n v="25"/>
    <n v="0"/>
    <n v="1"/>
    <n v="0"/>
    <n v="0"/>
    <n v="0"/>
    <n v="0"/>
  </r>
  <r>
    <x v="1"/>
    <x v="2"/>
    <n v="30"/>
    <m/>
    <m/>
    <x v="0"/>
    <x v="0"/>
    <x v="27"/>
    <s v="POD-05"/>
    <x v="27"/>
    <x v="27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1-04"/>
    <n v="25"/>
    <n v="0"/>
    <n v="1"/>
    <n v="0"/>
    <n v="0"/>
    <n v="0"/>
    <n v="0"/>
  </r>
  <r>
    <x v="1"/>
    <x v="2"/>
    <n v="30"/>
    <m/>
    <m/>
    <x v="0"/>
    <x v="0"/>
    <x v="28"/>
    <s v="POD-05"/>
    <x v="28"/>
    <x v="28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05"/>
    <n v="25"/>
    <n v="0"/>
    <n v="1"/>
    <n v="1"/>
    <n v="0"/>
    <n v="0"/>
    <n v="0"/>
  </r>
  <r>
    <x v="1"/>
    <x v="2"/>
    <n v="30"/>
    <m/>
    <m/>
    <x v="0"/>
    <x v="0"/>
    <x v="29"/>
    <s v="POD-05"/>
    <x v="29"/>
    <x v="29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06"/>
    <n v="25"/>
    <n v="0"/>
    <n v="1"/>
    <n v="1"/>
    <n v="0"/>
    <n v="0"/>
    <n v="0"/>
  </r>
  <r>
    <x v="1"/>
    <x v="2"/>
    <n v="30"/>
    <m/>
    <m/>
    <x v="0"/>
    <x v="0"/>
    <x v="30"/>
    <s v="POD-05"/>
    <x v="30"/>
    <x v="30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07"/>
    <n v="25"/>
    <n v="0"/>
    <n v="1"/>
    <n v="1"/>
    <n v="0"/>
    <n v="0"/>
    <n v="0"/>
  </r>
  <r>
    <x v="1"/>
    <x v="2"/>
    <n v="30"/>
    <m/>
    <m/>
    <x v="0"/>
    <x v="0"/>
    <x v="31"/>
    <s v="POD-05"/>
    <x v="31"/>
    <x v="31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08"/>
    <n v="25"/>
    <n v="0"/>
    <n v="1"/>
    <n v="1"/>
    <n v="0"/>
    <n v="0"/>
    <n v="0"/>
  </r>
  <r>
    <x v="1"/>
    <x v="2"/>
    <n v="30"/>
    <m/>
    <m/>
    <x v="0"/>
    <x v="0"/>
    <x v="32"/>
    <s v="POD-05"/>
    <x v="32"/>
    <x v="32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09"/>
    <n v="25"/>
    <n v="0"/>
    <n v="1"/>
    <n v="1"/>
    <n v="0"/>
    <n v="0"/>
    <n v="0"/>
  </r>
  <r>
    <x v="1"/>
    <x v="2"/>
    <n v="30"/>
    <m/>
    <m/>
    <x v="0"/>
    <x v="0"/>
    <x v="33"/>
    <s v="POD-05"/>
    <x v="33"/>
    <x v="33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10"/>
    <n v="25"/>
    <n v="0"/>
    <n v="1"/>
    <n v="1"/>
    <n v="0"/>
    <n v="0"/>
    <n v="0"/>
  </r>
  <r>
    <x v="1"/>
    <x v="2"/>
    <n v="30"/>
    <m/>
    <m/>
    <x v="0"/>
    <x v="0"/>
    <x v="34"/>
    <s v="POD-05"/>
    <x v="34"/>
    <x v="34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11"/>
    <n v="25"/>
    <n v="0"/>
    <n v="1"/>
    <n v="1"/>
    <n v="0"/>
    <n v="0"/>
    <n v="0"/>
  </r>
  <r>
    <x v="1"/>
    <x v="2"/>
    <n v="30"/>
    <m/>
    <m/>
    <x v="0"/>
    <x v="0"/>
    <x v="35"/>
    <s v="POD-05"/>
    <x v="35"/>
    <x v="35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1-12"/>
    <n v="25"/>
    <n v="0"/>
    <n v="1"/>
    <n v="1"/>
    <n v="0"/>
    <n v="0"/>
    <n v="0"/>
  </r>
  <r>
    <x v="1"/>
    <x v="3"/>
    <n v="30"/>
    <m/>
    <m/>
    <x v="0"/>
    <x v="0"/>
    <x v="36"/>
    <s v="POD-05"/>
    <x v="36"/>
    <x v="36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2-01"/>
    <n v="25"/>
    <n v="0"/>
    <n v="1"/>
    <n v="1"/>
    <n v="0"/>
    <n v="0"/>
    <n v="0"/>
  </r>
  <r>
    <x v="1"/>
    <x v="3"/>
    <n v="30"/>
    <m/>
    <m/>
    <x v="0"/>
    <x v="0"/>
    <x v="37"/>
    <s v="POD-05"/>
    <x v="37"/>
    <x v="37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2-02"/>
    <n v="25"/>
    <n v="0"/>
    <n v="1"/>
    <n v="1"/>
    <n v="0"/>
    <n v="0"/>
    <n v="0"/>
  </r>
  <r>
    <x v="1"/>
    <x v="3"/>
    <n v="30"/>
    <m/>
    <m/>
    <x v="0"/>
    <x v="0"/>
    <x v="38"/>
    <s v="POD-05"/>
    <x v="38"/>
    <x v="38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2-03"/>
    <n v="25"/>
    <n v="0"/>
    <n v="1"/>
    <n v="1"/>
    <n v="0"/>
    <n v="0"/>
    <n v="0"/>
  </r>
  <r>
    <x v="1"/>
    <x v="3"/>
    <n v="30"/>
    <m/>
    <m/>
    <x v="0"/>
    <x v="0"/>
    <x v="39"/>
    <s v="POD-05"/>
    <x v="39"/>
    <x v="39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2W-R2-04"/>
    <n v="25"/>
    <n v="0"/>
    <n v="1"/>
    <n v="1"/>
    <n v="0"/>
    <n v="0"/>
    <n v="0"/>
  </r>
  <r>
    <x v="1"/>
    <x v="3"/>
    <n v="30"/>
    <m/>
    <m/>
    <x v="0"/>
    <x v="0"/>
    <x v="40"/>
    <s v="POD-05"/>
    <x v="40"/>
    <x v="40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05"/>
    <n v="25"/>
    <n v="0"/>
    <n v="1"/>
    <n v="0"/>
    <n v="0"/>
    <n v="0"/>
    <n v="0"/>
  </r>
  <r>
    <x v="1"/>
    <x v="3"/>
    <n v="30"/>
    <m/>
    <m/>
    <x v="0"/>
    <x v="0"/>
    <x v="41"/>
    <s v="POD-05"/>
    <x v="41"/>
    <x v="41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06"/>
    <n v="25"/>
    <n v="0"/>
    <n v="1"/>
    <n v="0"/>
    <n v="0"/>
    <n v="0"/>
    <n v="0"/>
  </r>
  <r>
    <x v="1"/>
    <x v="3"/>
    <n v="30"/>
    <m/>
    <m/>
    <x v="0"/>
    <x v="0"/>
    <x v="42"/>
    <s v="POD-05"/>
    <x v="42"/>
    <x v="42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07"/>
    <n v="25"/>
    <n v="0"/>
    <n v="1"/>
    <n v="0"/>
    <n v="0"/>
    <n v="0"/>
    <n v="0"/>
  </r>
  <r>
    <x v="1"/>
    <x v="3"/>
    <n v="30"/>
    <m/>
    <m/>
    <x v="0"/>
    <x v="0"/>
    <x v="43"/>
    <s v="POD-05"/>
    <x v="43"/>
    <x v="43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08"/>
    <n v="25"/>
    <n v="0"/>
    <n v="1"/>
    <n v="0"/>
    <n v="0"/>
    <n v="0"/>
    <n v="0"/>
  </r>
  <r>
    <x v="1"/>
    <x v="3"/>
    <n v="30"/>
    <m/>
    <m/>
    <x v="0"/>
    <x v="0"/>
    <x v="44"/>
    <s v="POD-05"/>
    <x v="44"/>
    <x v="44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09"/>
    <n v="25"/>
    <n v="0"/>
    <n v="1"/>
    <n v="0"/>
    <n v="0"/>
    <n v="0"/>
    <n v="0"/>
  </r>
  <r>
    <x v="1"/>
    <x v="3"/>
    <n v="30"/>
    <m/>
    <m/>
    <x v="0"/>
    <x v="0"/>
    <x v="45"/>
    <s v="POD-05"/>
    <x v="45"/>
    <x v="45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10"/>
    <n v="25"/>
    <n v="0"/>
    <n v="1"/>
    <n v="0"/>
    <n v="0"/>
    <n v="0"/>
    <n v="0"/>
  </r>
  <r>
    <x v="1"/>
    <x v="3"/>
    <n v="30"/>
    <m/>
    <m/>
    <x v="0"/>
    <x v="0"/>
    <x v="46"/>
    <s v="POD-05"/>
    <x v="46"/>
    <x v="46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11"/>
    <n v="25"/>
    <n v="0"/>
    <n v="1"/>
    <n v="0"/>
    <n v="0"/>
    <n v="0"/>
    <n v="0"/>
  </r>
  <r>
    <x v="1"/>
    <x v="3"/>
    <n v="30"/>
    <m/>
    <m/>
    <x v="0"/>
    <x v="0"/>
    <x v="47"/>
    <s v="POD-05"/>
    <x v="47"/>
    <x v="47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0"/>
    <n v="0"/>
    <n v="0"/>
    <m/>
    <m/>
    <m/>
    <m/>
    <m/>
    <m/>
    <m/>
    <m/>
    <m/>
    <n v="30"/>
    <n v="0"/>
    <n v="30"/>
    <n v="30"/>
    <n v="30"/>
    <n v="30"/>
    <n v="1"/>
    <n v="0"/>
    <n v="1"/>
    <n v="1"/>
    <n v="1"/>
    <n v="1"/>
    <m/>
    <m/>
    <s v="DTC-RACK-R3-Z2W-R2-12"/>
    <n v="25"/>
    <n v="0"/>
    <n v="1"/>
    <n v="0"/>
    <n v="0"/>
    <n v="0"/>
    <n v="0"/>
  </r>
  <r>
    <x v="2"/>
    <x v="4"/>
    <n v="30"/>
    <m/>
    <m/>
    <x v="0"/>
    <x v="1"/>
    <x v="48"/>
    <s v="POD-05"/>
    <x v="48"/>
    <x v="48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1"/>
    <n v="25"/>
    <n v="0"/>
    <n v="1"/>
    <n v="1"/>
    <n v="0"/>
    <n v="0"/>
    <n v="0"/>
  </r>
  <r>
    <x v="2"/>
    <x v="4"/>
    <n v="30"/>
    <m/>
    <m/>
    <x v="0"/>
    <x v="1"/>
    <x v="49"/>
    <s v="POD-05"/>
    <x v="49"/>
    <x v="49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2"/>
    <n v="25"/>
    <n v="0"/>
    <n v="1"/>
    <n v="1"/>
    <n v="0"/>
    <n v="0"/>
    <n v="0"/>
  </r>
  <r>
    <x v="2"/>
    <x v="4"/>
    <n v="30"/>
    <m/>
    <m/>
    <x v="0"/>
    <x v="1"/>
    <x v="50"/>
    <s v="POD-05"/>
    <x v="50"/>
    <x v="50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3"/>
    <n v="25"/>
    <n v="0"/>
    <n v="1"/>
    <n v="1"/>
    <n v="0"/>
    <n v="0"/>
    <n v="0"/>
  </r>
  <r>
    <x v="2"/>
    <x v="4"/>
    <n v="30"/>
    <m/>
    <m/>
    <x v="0"/>
    <x v="1"/>
    <x v="51"/>
    <s v="POD-05"/>
    <x v="51"/>
    <x v="51"/>
    <n v="30"/>
    <n v="22.5"/>
    <n v="7.5"/>
    <n v="36"/>
    <n v="0.75"/>
    <n v="0.25"/>
    <x v="0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4"/>
    <n v="25"/>
    <n v="0"/>
    <n v="1"/>
    <n v="1"/>
    <n v="0"/>
    <n v="0"/>
    <n v="0"/>
  </r>
  <r>
    <x v="2"/>
    <x v="4"/>
    <n v="30"/>
    <m/>
    <m/>
    <x v="0"/>
    <x v="1"/>
    <x v="52"/>
    <s v="POD-05"/>
    <x v="52"/>
    <x v="52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5"/>
    <n v="25"/>
    <n v="0"/>
    <n v="1"/>
    <n v="1"/>
    <n v="0"/>
    <n v="0"/>
    <n v="0"/>
  </r>
  <r>
    <x v="2"/>
    <x v="4"/>
    <n v="30"/>
    <m/>
    <m/>
    <x v="0"/>
    <x v="1"/>
    <x v="53"/>
    <s v="POD-05"/>
    <x v="53"/>
    <x v="53"/>
    <n v="30"/>
    <n v="22.5"/>
    <n v="7.5"/>
    <n v="36"/>
    <n v="0.75"/>
    <n v="0.25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6"/>
    <n v="25"/>
    <n v="0"/>
    <n v="1"/>
    <n v="1"/>
    <n v="0"/>
    <n v="0"/>
    <n v="0"/>
  </r>
  <r>
    <x v="2"/>
    <x v="4"/>
    <n v="30"/>
    <m/>
    <m/>
    <x v="0"/>
    <x v="1"/>
    <x v="54"/>
    <s v="POD-05"/>
    <x v="54"/>
    <x v="54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7"/>
    <n v="25"/>
    <n v="0"/>
    <n v="1"/>
    <n v="1"/>
    <n v="0"/>
    <n v="0"/>
    <n v="0"/>
  </r>
  <r>
    <x v="2"/>
    <x v="4"/>
    <n v="30"/>
    <m/>
    <m/>
    <x v="0"/>
    <x v="1"/>
    <x v="55"/>
    <s v="POD-05"/>
    <x v="55"/>
    <x v="55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8"/>
    <n v="25"/>
    <n v="0"/>
    <n v="1"/>
    <n v="1"/>
    <n v="0"/>
    <n v="0"/>
    <n v="0"/>
  </r>
  <r>
    <x v="2"/>
    <x v="4"/>
    <n v="30"/>
    <m/>
    <m/>
    <x v="0"/>
    <x v="1"/>
    <x v="56"/>
    <s v="POD-05"/>
    <x v="56"/>
    <x v="56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09"/>
    <n v="25"/>
    <n v="0"/>
    <n v="1"/>
    <n v="1"/>
    <n v="0"/>
    <n v="0"/>
    <n v="0"/>
  </r>
  <r>
    <x v="2"/>
    <x v="4"/>
    <n v="30"/>
    <m/>
    <m/>
    <x v="0"/>
    <x v="1"/>
    <x v="57"/>
    <s v="POD-05"/>
    <x v="57"/>
    <x v="57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10"/>
    <n v="25"/>
    <n v="0"/>
    <n v="1"/>
    <n v="1"/>
    <n v="0"/>
    <n v="0"/>
    <n v="0"/>
  </r>
  <r>
    <x v="2"/>
    <x v="4"/>
    <n v="30"/>
    <m/>
    <m/>
    <x v="0"/>
    <x v="1"/>
    <x v="58"/>
    <s v="POD-05"/>
    <x v="58"/>
    <x v="58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11"/>
    <n v="25"/>
    <n v="0"/>
    <n v="1"/>
    <n v="1"/>
    <n v="0"/>
    <n v="0"/>
    <n v="0"/>
  </r>
  <r>
    <x v="2"/>
    <x v="4"/>
    <n v="30"/>
    <m/>
    <m/>
    <x v="0"/>
    <x v="1"/>
    <x v="59"/>
    <s v="POD-05"/>
    <x v="59"/>
    <x v="59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30"/>
    <n v="22.5"/>
    <n v="7.5"/>
    <n v="30"/>
    <n v="22.5"/>
    <n v="7.5"/>
    <m/>
    <m/>
    <m/>
    <m/>
    <m/>
    <m/>
    <m/>
    <m/>
    <m/>
    <n v="30"/>
    <n v="0"/>
    <n v="0"/>
    <n v="30"/>
    <n v="30"/>
    <n v="30"/>
    <n v="1"/>
    <n v="0"/>
    <n v="0"/>
    <n v="1"/>
    <n v="1"/>
    <n v="1"/>
    <m/>
    <m/>
    <s v="DTC-RACK-R3-Z3W-R1-12"/>
    <n v="25"/>
    <n v="0"/>
    <n v="1"/>
    <n v="1"/>
    <n v="0"/>
    <n v="0"/>
    <n v="0"/>
  </r>
  <r>
    <x v="2"/>
    <x v="5"/>
    <n v="30"/>
    <m/>
    <m/>
    <x v="0"/>
    <x v="1"/>
    <x v="60"/>
    <s v="POD-05"/>
    <x v="60"/>
    <x v="60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1"/>
    <n v="25"/>
    <n v="0"/>
    <n v="0"/>
    <n v="1"/>
    <n v="0"/>
    <n v="0"/>
    <n v="0"/>
  </r>
  <r>
    <x v="2"/>
    <x v="5"/>
    <n v="30"/>
    <m/>
    <m/>
    <x v="0"/>
    <x v="1"/>
    <x v="61"/>
    <s v="POD-05"/>
    <x v="61"/>
    <x v="61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2"/>
    <n v="25"/>
    <n v="0"/>
    <n v="0"/>
    <n v="1"/>
    <n v="0"/>
    <n v="0"/>
    <n v="0"/>
  </r>
  <r>
    <x v="2"/>
    <x v="5"/>
    <n v="30"/>
    <m/>
    <m/>
    <x v="0"/>
    <x v="1"/>
    <x v="62"/>
    <s v="POD-05"/>
    <x v="62"/>
    <x v="62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3"/>
    <n v="25"/>
    <n v="0"/>
    <n v="0"/>
    <n v="1"/>
    <n v="0"/>
    <n v="0"/>
    <n v="0"/>
  </r>
  <r>
    <x v="2"/>
    <x v="5"/>
    <n v="30"/>
    <m/>
    <m/>
    <x v="0"/>
    <x v="1"/>
    <x v="63"/>
    <s v="POD-05"/>
    <x v="63"/>
    <x v="63"/>
    <n v="30"/>
    <n v="22.5"/>
    <n v="7.5"/>
    <n v="36"/>
    <n v="0.75"/>
    <n v="0.25"/>
    <x v="1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4"/>
    <n v="25"/>
    <n v="0"/>
    <n v="0"/>
    <n v="1"/>
    <n v="0"/>
    <n v="0"/>
    <n v="0"/>
  </r>
  <r>
    <x v="2"/>
    <x v="5"/>
    <n v="30"/>
    <m/>
    <m/>
    <x v="0"/>
    <x v="1"/>
    <x v="64"/>
    <s v="POD-05"/>
    <x v="64"/>
    <x v="64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5"/>
    <n v="25"/>
    <n v="0"/>
    <n v="0"/>
    <n v="1"/>
    <n v="0"/>
    <n v="0"/>
    <n v="0"/>
  </r>
  <r>
    <x v="2"/>
    <x v="5"/>
    <n v="30"/>
    <m/>
    <m/>
    <x v="0"/>
    <x v="1"/>
    <x v="65"/>
    <s v="POD-05"/>
    <x v="65"/>
    <x v="65"/>
    <n v="30"/>
    <n v="22.5"/>
    <n v="7.5"/>
    <n v="36"/>
    <n v="0.75"/>
    <n v="0.25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6"/>
    <n v="25"/>
    <n v="0"/>
    <n v="0"/>
    <n v="1"/>
    <n v="0"/>
    <n v="0"/>
    <n v="0"/>
  </r>
  <r>
    <x v="2"/>
    <x v="5"/>
    <n v="30"/>
    <m/>
    <m/>
    <x v="0"/>
    <x v="1"/>
    <x v="66"/>
    <s v="POD-05"/>
    <x v="66"/>
    <x v="66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7"/>
    <n v="25"/>
    <n v="0"/>
    <n v="0"/>
    <n v="1"/>
    <n v="0"/>
    <n v="0"/>
    <n v="0"/>
  </r>
  <r>
    <x v="2"/>
    <x v="5"/>
    <n v="30"/>
    <m/>
    <m/>
    <x v="0"/>
    <x v="1"/>
    <x v="67"/>
    <s v="POD-05"/>
    <x v="67"/>
    <x v="67"/>
    <n v="30"/>
    <n v="22.5"/>
    <n v="7.5"/>
    <n v="36"/>
    <n v="0.75"/>
    <n v="0.25"/>
    <x v="0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8"/>
    <n v="25"/>
    <n v="0"/>
    <n v="0"/>
    <n v="1"/>
    <n v="0"/>
    <n v="0"/>
    <n v="0"/>
  </r>
  <r>
    <x v="2"/>
    <x v="5"/>
    <n v="30"/>
    <m/>
    <m/>
    <x v="0"/>
    <x v="1"/>
    <x v="68"/>
    <s v="POD-05"/>
    <x v="68"/>
    <x v="68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09"/>
    <n v="25"/>
    <n v="0"/>
    <n v="0"/>
    <n v="1"/>
    <n v="0"/>
    <n v="0"/>
    <n v="0"/>
  </r>
  <r>
    <x v="2"/>
    <x v="5"/>
    <n v="30"/>
    <m/>
    <m/>
    <x v="0"/>
    <x v="1"/>
    <x v="69"/>
    <s v="POD-05"/>
    <x v="69"/>
    <x v="69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30"/>
    <n v="22.5"/>
    <n v="7.5"/>
    <m/>
    <m/>
    <m/>
    <m/>
    <m/>
    <m/>
    <m/>
    <m/>
    <m/>
    <n v="30"/>
    <n v="30"/>
    <n v="0"/>
    <n v="30"/>
    <n v="30"/>
    <n v="30"/>
    <n v="1"/>
    <n v="1"/>
    <n v="0"/>
    <n v="1"/>
    <n v="1"/>
    <n v="1"/>
    <m/>
    <m/>
    <s v="DTC-RACK-R3-Z3W-R2-10"/>
    <n v="25"/>
    <n v="0"/>
    <n v="0"/>
    <n v="1"/>
    <n v="0"/>
    <n v="0"/>
    <n v="0"/>
  </r>
  <r>
    <x v="2"/>
    <x v="5"/>
    <n v="30"/>
    <m/>
    <m/>
    <x v="0"/>
    <x v="1"/>
    <x v="70"/>
    <s v="POD-05"/>
    <x v="70"/>
    <x v="70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m/>
    <m/>
    <m/>
    <m/>
    <m/>
    <m/>
    <m/>
    <m/>
    <n v="30"/>
    <n v="30"/>
    <n v="30"/>
    <n v="30"/>
    <n v="30"/>
    <n v="30"/>
    <n v="1"/>
    <n v="1"/>
    <n v="1"/>
    <n v="1"/>
    <n v="1"/>
    <n v="1"/>
    <m/>
    <m/>
    <s v="DTC-RACK-R3-Z3W-R2-11"/>
    <n v="25"/>
    <n v="0"/>
    <n v="0"/>
    <n v="0"/>
    <n v="0"/>
    <n v="0"/>
    <n v="0"/>
  </r>
  <r>
    <x v="2"/>
    <x v="5"/>
    <n v="30"/>
    <m/>
    <m/>
    <x v="0"/>
    <x v="1"/>
    <x v="71"/>
    <s v="POD-05"/>
    <x v="71"/>
    <x v="71"/>
    <n v="30"/>
    <n v="22.5"/>
    <n v="7.5"/>
    <n v="36"/>
    <n v="0.75"/>
    <n v="0.25"/>
    <x v="1"/>
    <x v="2"/>
    <s v="RPDU-R3-A"/>
    <s v="RPDU-R3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m/>
    <m/>
    <m/>
    <m/>
    <m/>
    <m/>
    <m/>
    <m/>
    <n v="30"/>
    <n v="30"/>
    <n v="30"/>
    <n v="30"/>
    <n v="30"/>
    <n v="30"/>
    <n v="1"/>
    <n v="1"/>
    <n v="1"/>
    <n v="1"/>
    <n v="1"/>
    <n v="1"/>
    <m/>
    <m/>
    <s v="DTC-RACK-R3-Z3W-R2-12"/>
    <n v="25"/>
    <n v="0"/>
    <n v="0"/>
    <n v="0"/>
    <n v="0"/>
    <n v="0"/>
    <n v="0"/>
  </r>
  <r>
    <x v="3"/>
    <x v="6"/>
    <n v="45"/>
    <m/>
    <m/>
    <x v="1"/>
    <x v="2"/>
    <x v="72"/>
    <s v="POD-06"/>
    <x v="72"/>
    <x v="72"/>
    <n v="45"/>
    <n v="38.25"/>
    <n v="6.7500000000000009"/>
    <n v="54"/>
    <n v="0.85"/>
    <n v="0.15000000000000002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1-01"/>
    <n v="42.5"/>
    <n v="0"/>
    <n v="0"/>
    <n v="0"/>
    <n v="0"/>
    <n v="1"/>
    <n v="0"/>
  </r>
  <r>
    <x v="3"/>
    <x v="6"/>
    <n v="45"/>
    <m/>
    <m/>
    <x v="1"/>
    <x v="2"/>
    <x v="73"/>
    <s v="POD-06"/>
    <x v="73"/>
    <x v="73"/>
    <n v="45"/>
    <n v="38.25"/>
    <n v="6.7500000000000009"/>
    <n v="54"/>
    <n v="0.85"/>
    <n v="0.15000000000000002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1-02"/>
    <n v="42.5"/>
    <n v="0"/>
    <n v="0"/>
    <n v="0"/>
    <n v="0"/>
    <n v="1"/>
    <n v="0"/>
  </r>
  <r>
    <x v="3"/>
    <x v="6"/>
    <n v="45"/>
    <m/>
    <m/>
    <x v="1"/>
    <x v="2"/>
    <x v="74"/>
    <s v="POD-06"/>
    <x v="74"/>
    <x v="74"/>
    <n v="45"/>
    <n v="38.25"/>
    <n v="6.7500000000000009"/>
    <n v="54"/>
    <n v="0.85"/>
    <n v="0.15000000000000002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1-03"/>
    <n v="42.5"/>
    <n v="0"/>
    <n v="0"/>
    <n v="0"/>
    <n v="0"/>
    <n v="1"/>
    <n v="0"/>
  </r>
  <r>
    <x v="3"/>
    <x v="6"/>
    <n v="45"/>
    <m/>
    <m/>
    <x v="1"/>
    <x v="2"/>
    <x v="75"/>
    <s v="POD-06"/>
    <x v="75"/>
    <x v="75"/>
    <n v="45"/>
    <n v="38.25"/>
    <n v="6.7500000000000009"/>
    <n v="54"/>
    <n v="0.85"/>
    <n v="0.15000000000000002"/>
    <x v="0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1-04"/>
    <n v="42.5"/>
    <n v="0"/>
    <n v="0"/>
    <n v="0"/>
    <n v="0"/>
    <n v="1"/>
    <n v="0"/>
  </r>
  <r>
    <x v="3"/>
    <x v="6"/>
    <n v="45"/>
    <m/>
    <m/>
    <x v="1"/>
    <x v="2"/>
    <x v="76"/>
    <s v="POD-06"/>
    <x v="76"/>
    <x v="76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05"/>
    <n v="42.5"/>
    <n v="0"/>
    <n v="0"/>
    <n v="0"/>
    <n v="1"/>
    <n v="1"/>
    <n v="0"/>
  </r>
  <r>
    <x v="3"/>
    <x v="6"/>
    <n v="45"/>
    <m/>
    <m/>
    <x v="1"/>
    <x v="2"/>
    <x v="77"/>
    <s v="POD-06"/>
    <x v="77"/>
    <x v="77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06"/>
    <n v="42.5"/>
    <n v="0"/>
    <n v="0"/>
    <n v="0"/>
    <n v="1"/>
    <n v="1"/>
    <n v="0"/>
  </r>
  <r>
    <x v="3"/>
    <x v="6"/>
    <n v="45"/>
    <m/>
    <m/>
    <x v="1"/>
    <x v="2"/>
    <x v="78"/>
    <s v="POD-06"/>
    <x v="78"/>
    <x v="78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07"/>
    <n v="42.5"/>
    <n v="0"/>
    <n v="0"/>
    <n v="0"/>
    <n v="1"/>
    <n v="1"/>
    <n v="0"/>
  </r>
  <r>
    <x v="3"/>
    <x v="6"/>
    <n v="45"/>
    <m/>
    <m/>
    <x v="1"/>
    <x v="2"/>
    <x v="79"/>
    <s v="POD-06"/>
    <x v="79"/>
    <x v="79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08"/>
    <n v="42.5"/>
    <n v="0"/>
    <n v="0"/>
    <n v="0"/>
    <n v="1"/>
    <n v="1"/>
    <n v="0"/>
  </r>
  <r>
    <x v="3"/>
    <x v="6"/>
    <n v="45"/>
    <m/>
    <m/>
    <x v="1"/>
    <x v="2"/>
    <x v="80"/>
    <s v="POD-06"/>
    <x v="80"/>
    <x v="80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09"/>
    <n v="42.5"/>
    <n v="0"/>
    <n v="0"/>
    <n v="0"/>
    <n v="1"/>
    <n v="1"/>
    <n v="0"/>
  </r>
  <r>
    <x v="3"/>
    <x v="6"/>
    <n v="45"/>
    <m/>
    <m/>
    <x v="1"/>
    <x v="2"/>
    <x v="81"/>
    <s v="POD-06"/>
    <x v="81"/>
    <x v="81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10"/>
    <n v="42.5"/>
    <n v="0"/>
    <n v="0"/>
    <n v="0"/>
    <n v="1"/>
    <n v="1"/>
    <n v="0"/>
  </r>
  <r>
    <x v="3"/>
    <x v="6"/>
    <n v="45"/>
    <m/>
    <m/>
    <x v="1"/>
    <x v="2"/>
    <x v="82"/>
    <s v="POD-06"/>
    <x v="82"/>
    <x v="82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11"/>
    <n v="42.5"/>
    <n v="0"/>
    <n v="0"/>
    <n v="0"/>
    <n v="1"/>
    <n v="1"/>
    <n v="0"/>
  </r>
  <r>
    <x v="3"/>
    <x v="6"/>
    <n v="45"/>
    <m/>
    <m/>
    <x v="1"/>
    <x v="2"/>
    <x v="83"/>
    <s v="POD-06"/>
    <x v="83"/>
    <x v="83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1-12"/>
    <n v="42.5"/>
    <n v="0"/>
    <n v="0"/>
    <n v="0"/>
    <n v="1"/>
    <n v="1"/>
    <n v="0"/>
  </r>
  <r>
    <x v="3"/>
    <x v="7"/>
    <n v="45"/>
    <m/>
    <m/>
    <x v="1"/>
    <x v="2"/>
    <x v="84"/>
    <s v="POD-06"/>
    <x v="84"/>
    <x v="84"/>
    <n v="45"/>
    <n v="38.25"/>
    <n v="6.7500000000000009"/>
    <n v="54"/>
    <n v="0.85"/>
    <n v="0.15000000000000002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2-01"/>
    <n v="42.5"/>
    <n v="0"/>
    <n v="0"/>
    <n v="0"/>
    <n v="0"/>
    <n v="1"/>
    <n v="0"/>
  </r>
  <r>
    <x v="3"/>
    <x v="7"/>
    <n v="45"/>
    <m/>
    <m/>
    <x v="1"/>
    <x v="2"/>
    <x v="85"/>
    <s v="POD-06"/>
    <x v="85"/>
    <x v="85"/>
    <n v="45"/>
    <n v="38.25"/>
    <n v="6.7500000000000009"/>
    <n v="54"/>
    <n v="0.85"/>
    <n v="0.15000000000000002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2-02"/>
    <n v="42.5"/>
    <n v="0"/>
    <n v="0"/>
    <n v="0"/>
    <n v="0"/>
    <n v="1"/>
    <n v="0"/>
  </r>
  <r>
    <x v="3"/>
    <x v="7"/>
    <n v="45"/>
    <m/>
    <m/>
    <x v="1"/>
    <x v="2"/>
    <x v="86"/>
    <s v="POD-06"/>
    <x v="86"/>
    <x v="86"/>
    <n v="45"/>
    <n v="38.25"/>
    <n v="6.7500000000000009"/>
    <n v="54"/>
    <n v="0.85"/>
    <n v="0.15000000000000002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2-03"/>
    <n v="42.5"/>
    <n v="0"/>
    <n v="0"/>
    <n v="0"/>
    <n v="0"/>
    <n v="1"/>
    <n v="0"/>
  </r>
  <r>
    <x v="3"/>
    <x v="7"/>
    <n v="45"/>
    <m/>
    <m/>
    <x v="1"/>
    <x v="2"/>
    <x v="87"/>
    <s v="POD-06"/>
    <x v="87"/>
    <x v="87"/>
    <n v="45"/>
    <n v="38.25"/>
    <n v="6.7500000000000009"/>
    <n v="54"/>
    <n v="0.85"/>
    <n v="0.15000000000000002"/>
    <x v="1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4E-R2-04"/>
    <n v="42.5"/>
    <n v="0"/>
    <n v="0"/>
    <n v="0"/>
    <n v="0"/>
    <n v="1"/>
    <n v="0"/>
  </r>
  <r>
    <x v="3"/>
    <x v="7"/>
    <n v="45"/>
    <m/>
    <m/>
    <x v="1"/>
    <x v="2"/>
    <x v="88"/>
    <s v="POD-06"/>
    <x v="88"/>
    <x v="88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05"/>
    <n v="42.5"/>
    <n v="0"/>
    <n v="0"/>
    <n v="0"/>
    <n v="1"/>
    <n v="1"/>
    <n v="0"/>
  </r>
  <r>
    <x v="3"/>
    <x v="7"/>
    <n v="45"/>
    <m/>
    <m/>
    <x v="1"/>
    <x v="2"/>
    <x v="89"/>
    <s v="POD-06"/>
    <x v="89"/>
    <x v="89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06"/>
    <n v="42.5"/>
    <n v="0"/>
    <n v="0"/>
    <n v="0"/>
    <n v="1"/>
    <n v="1"/>
    <n v="0"/>
  </r>
  <r>
    <x v="3"/>
    <x v="7"/>
    <n v="45"/>
    <m/>
    <m/>
    <x v="1"/>
    <x v="2"/>
    <x v="90"/>
    <s v="POD-06"/>
    <x v="90"/>
    <x v="90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07"/>
    <n v="42.5"/>
    <n v="0"/>
    <n v="0"/>
    <n v="0"/>
    <n v="1"/>
    <n v="1"/>
    <n v="0"/>
  </r>
  <r>
    <x v="3"/>
    <x v="7"/>
    <n v="45"/>
    <m/>
    <m/>
    <x v="1"/>
    <x v="2"/>
    <x v="91"/>
    <s v="POD-06"/>
    <x v="91"/>
    <x v="91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08"/>
    <n v="42.5"/>
    <n v="0"/>
    <n v="0"/>
    <n v="0"/>
    <n v="1"/>
    <n v="1"/>
    <n v="0"/>
  </r>
  <r>
    <x v="3"/>
    <x v="7"/>
    <n v="45"/>
    <m/>
    <m/>
    <x v="1"/>
    <x v="2"/>
    <x v="92"/>
    <s v="POD-06"/>
    <x v="92"/>
    <x v="92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09"/>
    <n v="42.5"/>
    <n v="0"/>
    <n v="0"/>
    <n v="0"/>
    <n v="1"/>
    <n v="1"/>
    <n v="0"/>
  </r>
  <r>
    <x v="3"/>
    <x v="7"/>
    <n v="45"/>
    <m/>
    <m/>
    <x v="1"/>
    <x v="2"/>
    <x v="93"/>
    <s v="POD-06"/>
    <x v="93"/>
    <x v="93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10"/>
    <n v="42.5"/>
    <n v="0"/>
    <n v="0"/>
    <n v="0"/>
    <n v="1"/>
    <n v="1"/>
    <n v="0"/>
  </r>
  <r>
    <x v="3"/>
    <x v="7"/>
    <n v="45"/>
    <m/>
    <m/>
    <x v="1"/>
    <x v="2"/>
    <x v="94"/>
    <s v="POD-06"/>
    <x v="94"/>
    <x v="94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11"/>
    <n v="42.5"/>
    <n v="0"/>
    <n v="0"/>
    <n v="0"/>
    <n v="1"/>
    <n v="1"/>
    <n v="0"/>
  </r>
  <r>
    <x v="3"/>
    <x v="7"/>
    <n v="45"/>
    <m/>
    <m/>
    <x v="1"/>
    <x v="2"/>
    <x v="95"/>
    <s v="POD-06"/>
    <x v="95"/>
    <x v="95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4E-R2-12"/>
    <n v="42.5"/>
    <n v="0"/>
    <n v="0"/>
    <n v="0"/>
    <n v="1"/>
    <n v="1"/>
    <n v="0"/>
  </r>
  <r>
    <x v="4"/>
    <x v="8"/>
    <n v="45"/>
    <m/>
    <m/>
    <x v="1"/>
    <x v="2"/>
    <x v="96"/>
    <s v="POD-06"/>
    <x v="96"/>
    <x v="96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1"/>
    <n v="42.5"/>
    <n v="0"/>
    <n v="0"/>
    <n v="0"/>
    <n v="1"/>
    <n v="1"/>
    <n v="0"/>
  </r>
  <r>
    <x v="4"/>
    <x v="8"/>
    <n v="45"/>
    <m/>
    <m/>
    <x v="1"/>
    <x v="2"/>
    <x v="97"/>
    <s v="POD-06"/>
    <x v="97"/>
    <x v="97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2"/>
    <n v="42.5"/>
    <n v="0"/>
    <n v="0"/>
    <n v="0"/>
    <n v="1"/>
    <n v="1"/>
    <n v="0"/>
  </r>
  <r>
    <x v="4"/>
    <x v="8"/>
    <n v="45"/>
    <m/>
    <m/>
    <x v="1"/>
    <x v="2"/>
    <x v="98"/>
    <s v="POD-06"/>
    <x v="98"/>
    <x v="98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3"/>
    <n v="42.5"/>
    <n v="0"/>
    <n v="0"/>
    <n v="0"/>
    <n v="1"/>
    <n v="1"/>
    <n v="0"/>
  </r>
  <r>
    <x v="4"/>
    <x v="8"/>
    <n v="45"/>
    <m/>
    <m/>
    <x v="1"/>
    <x v="2"/>
    <x v="99"/>
    <s v="POD-06"/>
    <x v="99"/>
    <x v="99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4"/>
    <n v="42.5"/>
    <n v="0"/>
    <n v="0"/>
    <n v="0"/>
    <n v="1"/>
    <n v="1"/>
    <n v="0"/>
  </r>
  <r>
    <x v="4"/>
    <x v="8"/>
    <n v="45"/>
    <m/>
    <m/>
    <x v="1"/>
    <x v="2"/>
    <x v="100"/>
    <s v="POD-06"/>
    <x v="100"/>
    <x v="100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5"/>
    <n v="42.5"/>
    <n v="0"/>
    <n v="0"/>
    <n v="0"/>
    <n v="1"/>
    <n v="1"/>
    <n v="0"/>
  </r>
  <r>
    <x v="4"/>
    <x v="8"/>
    <n v="45"/>
    <m/>
    <m/>
    <x v="1"/>
    <x v="2"/>
    <x v="101"/>
    <s v="POD-06"/>
    <x v="101"/>
    <x v="101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6"/>
    <n v="42.5"/>
    <n v="0"/>
    <n v="0"/>
    <n v="0"/>
    <n v="1"/>
    <n v="1"/>
    <n v="0"/>
  </r>
  <r>
    <x v="4"/>
    <x v="8"/>
    <n v="45"/>
    <m/>
    <m/>
    <x v="1"/>
    <x v="2"/>
    <x v="102"/>
    <s v="POD-06"/>
    <x v="102"/>
    <x v="102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7"/>
    <n v="42.5"/>
    <n v="0"/>
    <n v="0"/>
    <n v="0"/>
    <n v="1"/>
    <n v="1"/>
    <n v="0"/>
  </r>
  <r>
    <x v="4"/>
    <x v="8"/>
    <n v="45"/>
    <m/>
    <m/>
    <x v="1"/>
    <x v="2"/>
    <x v="103"/>
    <s v="POD-06"/>
    <x v="103"/>
    <x v="103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8"/>
    <n v="42.5"/>
    <n v="0"/>
    <n v="0"/>
    <n v="0"/>
    <n v="1"/>
    <n v="1"/>
    <n v="0"/>
  </r>
  <r>
    <x v="4"/>
    <x v="8"/>
    <n v="45"/>
    <m/>
    <m/>
    <x v="1"/>
    <x v="2"/>
    <x v="104"/>
    <s v="POD-06"/>
    <x v="104"/>
    <x v="104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09"/>
    <n v="42.5"/>
    <n v="0"/>
    <n v="0"/>
    <n v="0"/>
    <n v="1"/>
    <n v="1"/>
    <n v="0"/>
  </r>
  <r>
    <x v="4"/>
    <x v="8"/>
    <n v="45"/>
    <m/>
    <m/>
    <x v="1"/>
    <x v="2"/>
    <x v="105"/>
    <s v="POD-06"/>
    <x v="105"/>
    <x v="105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10"/>
    <n v="42.5"/>
    <n v="0"/>
    <n v="0"/>
    <n v="0"/>
    <n v="1"/>
    <n v="1"/>
    <n v="0"/>
  </r>
  <r>
    <x v="4"/>
    <x v="8"/>
    <n v="45"/>
    <m/>
    <m/>
    <x v="1"/>
    <x v="2"/>
    <x v="106"/>
    <s v="POD-06"/>
    <x v="106"/>
    <x v="106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11"/>
    <n v="42.5"/>
    <n v="0"/>
    <n v="0"/>
    <n v="0"/>
    <n v="1"/>
    <n v="1"/>
    <n v="0"/>
  </r>
  <r>
    <x v="4"/>
    <x v="8"/>
    <n v="45"/>
    <m/>
    <m/>
    <x v="1"/>
    <x v="2"/>
    <x v="107"/>
    <s v="POD-06"/>
    <x v="107"/>
    <x v="107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5E-R1-12"/>
    <n v="42.5"/>
    <n v="0"/>
    <n v="0"/>
    <n v="0"/>
    <n v="1"/>
    <n v="1"/>
    <n v="0"/>
  </r>
  <r>
    <x v="4"/>
    <x v="9"/>
    <n v="45"/>
    <m/>
    <m/>
    <x v="1"/>
    <x v="2"/>
    <x v="108"/>
    <s v="POD-06"/>
    <x v="108"/>
    <x v="108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m/>
    <m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1"/>
    <n v="42.5"/>
    <n v="0"/>
    <n v="0"/>
    <n v="0"/>
    <n v="1"/>
    <n v="0"/>
    <n v="0"/>
  </r>
  <r>
    <x v="4"/>
    <x v="9"/>
    <n v="45"/>
    <m/>
    <m/>
    <x v="1"/>
    <x v="2"/>
    <x v="109"/>
    <s v="POD-06"/>
    <x v="109"/>
    <x v="109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m/>
    <m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2"/>
    <n v="42.5"/>
    <n v="0"/>
    <n v="0"/>
    <n v="0"/>
    <n v="1"/>
    <n v="0"/>
    <n v="0"/>
  </r>
  <r>
    <x v="4"/>
    <x v="9"/>
    <n v="45"/>
    <m/>
    <m/>
    <x v="1"/>
    <x v="2"/>
    <x v="110"/>
    <s v="POD-06"/>
    <x v="110"/>
    <x v="110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m/>
    <m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3"/>
    <n v="42.5"/>
    <n v="0"/>
    <n v="0"/>
    <n v="0"/>
    <n v="1"/>
    <n v="0"/>
    <n v="0"/>
  </r>
  <r>
    <x v="4"/>
    <x v="9"/>
    <n v="45"/>
    <m/>
    <m/>
    <x v="1"/>
    <x v="2"/>
    <x v="111"/>
    <s v="POD-06"/>
    <x v="111"/>
    <x v="111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m/>
    <m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4"/>
    <n v="42.5"/>
    <n v="0"/>
    <n v="0"/>
    <n v="0"/>
    <n v="1"/>
    <n v="0"/>
    <n v="0"/>
  </r>
  <r>
    <x v="4"/>
    <x v="9"/>
    <n v="45"/>
    <m/>
    <m/>
    <x v="1"/>
    <x v="2"/>
    <x v="112"/>
    <s v="POD-06"/>
    <x v="112"/>
    <x v="112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5"/>
    <n v="42.5"/>
    <n v="0"/>
    <n v="0"/>
    <n v="0"/>
    <n v="1"/>
    <n v="0"/>
    <n v="0"/>
  </r>
  <r>
    <x v="4"/>
    <x v="9"/>
    <n v="45"/>
    <m/>
    <m/>
    <x v="1"/>
    <x v="2"/>
    <x v="113"/>
    <s v="POD-06"/>
    <x v="113"/>
    <x v="113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6"/>
    <n v="42.5"/>
    <n v="0"/>
    <n v="0"/>
    <n v="0"/>
    <n v="1"/>
    <n v="0"/>
    <n v="0"/>
  </r>
  <r>
    <x v="4"/>
    <x v="9"/>
    <n v="45"/>
    <m/>
    <m/>
    <x v="1"/>
    <x v="2"/>
    <x v="114"/>
    <s v="POD-06"/>
    <x v="114"/>
    <x v="114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7"/>
    <n v="42.5"/>
    <n v="0"/>
    <n v="0"/>
    <n v="0"/>
    <n v="1"/>
    <n v="0"/>
    <n v="0"/>
  </r>
  <r>
    <x v="4"/>
    <x v="9"/>
    <n v="45"/>
    <m/>
    <m/>
    <x v="1"/>
    <x v="2"/>
    <x v="115"/>
    <s v="POD-06"/>
    <x v="115"/>
    <x v="115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8"/>
    <n v="42.5"/>
    <n v="0"/>
    <n v="0"/>
    <n v="0"/>
    <n v="1"/>
    <n v="0"/>
    <n v="0"/>
  </r>
  <r>
    <x v="4"/>
    <x v="9"/>
    <n v="45"/>
    <m/>
    <m/>
    <x v="1"/>
    <x v="2"/>
    <x v="116"/>
    <s v="POD-06"/>
    <x v="116"/>
    <x v="116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09"/>
    <n v="42.5"/>
    <n v="0"/>
    <n v="0"/>
    <n v="0"/>
    <n v="1"/>
    <n v="0"/>
    <n v="0"/>
  </r>
  <r>
    <x v="4"/>
    <x v="9"/>
    <n v="45"/>
    <m/>
    <m/>
    <x v="1"/>
    <x v="2"/>
    <x v="117"/>
    <s v="POD-06"/>
    <x v="117"/>
    <x v="117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10"/>
    <n v="42.5"/>
    <n v="0"/>
    <n v="0"/>
    <n v="0"/>
    <n v="1"/>
    <n v="0"/>
    <n v="0"/>
  </r>
  <r>
    <x v="4"/>
    <x v="9"/>
    <n v="45"/>
    <m/>
    <m/>
    <x v="1"/>
    <x v="2"/>
    <x v="118"/>
    <s v="POD-06"/>
    <x v="118"/>
    <x v="118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11"/>
    <n v="42.5"/>
    <n v="0"/>
    <n v="0"/>
    <n v="0"/>
    <n v="1"/>
    <n v="0"/>
    <n v="0"/>
  </r>
  <r>
    <x v="4"/>
    <x v="9"/>
    <n v="45"/>
    <m/>
    <m/>
    <x v="1"/>
    <x v="2"/>
    <x v="119"/>
    <s v="POD-06"/>
    <x v="119"/>
    <x v="119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m/>
    <n v="0"/>
    <n v="0"/>
    <m/>
    <m/>
    <m/>
    <n v="45"/>
    <n v="45"/>
    <n v="45"/>
    <n v="15"/>
    <n v="45"/>
    <n v="45"/>
    <n v="1"/>
    <n v="1"/>
    <n v="1"/>
    <n v="0.33333333333333331"/>
    <n v="1"/>
    <n v="1"/>
    <m/>
    <m/>
    <s v="DTC-RACK-R3-Z5E-R2-12"/>
    <n v="42.5"/>
    <n v="0"/>
    <n v="0"/>
    <n v="0"/>
    <n v="1"/>
    <n v="0"/>
    <n v="0"/>
  </r>
  <r>
    <x v="5"/>
    <x v="10"/>
    <n v="45"/>
    <m/>
    <m/>
    <x v="1"/>
    <x v="3"/>
    <x v="120"/>
    <s v="POD-06"/>
    <x v="120"/>
    <x v="120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1"/>
    <n v="42.5"/>
    <n v="0"/>
    <n v="0"/>
    <n v="0"/>
    <n v="1"/>
    <n v="1"/>
    <n v="0"/>
  </r>
  <r>
    <x v="5"/>
    <x v="10"/>
    <n v="45"/>
    <m/>
    <m/>
    <x v="1"/>
    <x v="3"/>
    <x v="121"/>
    <s v="POD-06"/>
    <x v="121"/>
    <x v="121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2"/>
    <n v="42.5"/>
    <n v="0"/>
    <n v="0"/>
    <n v="0"/>
    <n v="1"/>
    <n v="1"/>
    <n v="0"/>
  </r>
  <r>
    <x v="5"/>
    <x v="10"/>
    <n v="45"/>
    <m/>
    <m/>
    <x v="1"/>
    <x v="3"/>
    <x v="122"/>
    <s v="POD-06"/>
    <x v="122"/>
    <x v="122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3"/>
    <n v="42.5"/>
    <n v="0"/>
    <n v="0"/>
    <n v="0"/>
    <n v="1"/>
    <n v="1"/>
    <n v="0"/>
  </r>
  <r>
    <x v="5"/>
    <x v="10"/>
    <n v="45"/>
    <m/>
    <m/>
    <x v="1"/>
    <x v="3"/>
    <x v="123"/>
    <s v="POD-06"/>
    <x v="123"/>
    <x v="123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4"/>
    <n v="42.5"/>
    <n v="0"/>
    <n v="0"/>
    <n v="0"/>
    <n v="1"/>
    <n v="1"/>
    <n v="0"/>
  </r>
  <r>
    <x v="5"/>
    <x v="10"/>
    <n v="45"/>
    <m/>
    <m/>
    <x v="1"/>
    <x v="3"/>
    <x v="124"/>
    <s v="POD-06"/>
    <x v="124"/>
    <x v="124"/>
    <n v="45"/>
    <n v="38.25"/>
    <n v="6.7500000000000009"/>
    <n v="54"/>
    <n v="0.85"/>
    <n v="0.15000000000000002"/>
    <x v="2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5"/>
    <n v="42.5"/>
    <n v="0"/>
    <n v="0"/>
    <n v="0"/>
    <n v="1"/>
    <n v="1"/>
    <n v="0"/>
  </r>
  <r>
    <x v="5"/>
    <x v="10"/>
    <n v="45"/>
    <m/>
    <m/>
    <x v="1"/>
    <x v="3"/>
    <x v="125"/>
    <s v="POD-06"/>
    <x v="125"/>
    <x v="125"/>
    <n v="45"/>
    <n v="38.25"/>
    <n v="6.7500000000000009"/>
    <n v="54"/>
    <n v="0.85"/>
    <n v="0.15000000000000002"/>
    <x v="3"/>
    <x v="0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6"/>
    <n v="42.5"/>
    <n v="0"/>
    <n v="0"/>
    <n v="0"/>
    <n v="1"/>
    <n v="1"/>
    <n v="0"/>
  </r>
  <r>
    <x v="5"/>
    <x v="10"/>
    <n v="45"/>
    <m/>
    <m/>
    <x v="1"/>
    <x v="3"/>
    <x v="126"/>
    <s v="POD-06"/>
    <x v="126"/>
    <x v="126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7"/>
    <n v="42.5"/>
    <n v="0"/>
    <n v="0"/>
    <n v="0"/>
    <n v="1"/>
    <n v="1"/>
    <n v="0"/>
  </r>
  <r>
    <x v="5"/>
    <x v="10"/>
    <n v="45"/>
    <m/>
    <m/>
    <x v="1"/>
    <x v="3"/>
    <x v="127"/>
    <s v="POD-06"/>
    <x v="127"/>
    <x v="127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8"/>
    <n v="42.5"/>
    <n v="0"/>
    <n v="0"/>
    <n v="0"/>
    <n v="1"/>
    <n v="1"/>
    <n v="0"/>
  </r>
  <r>
    <x v="5"/>
    <x v="10"/>
    <n v="45"/>
    <m/>
    <m/>
    <x v="1"/>
    <x v="3"/>
    <x v="128"/>
    <s v="POD-06"/>
    <x v="128"/>
    <x v="128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09"/>
    <n v="42.5"/>
    <n v="0"/>
    <n v="0"/>
    <n v="0"/>
    <n v="1"/>
    <n v="1"/>
    <n v="0"/>
  </r>
  <r>
    <x v="5"/>
    <x v="10"/>
    <n v="45"/>
    <m/>
    <m/>
    <x v="1"/>
    <x v="3"/>
    <x v="129"/>
    <s v="POD-06"/>
    <x v="129"/>
    <x v="129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10"/>
    <n v="42.5"/>
    <n v="0"/>
    <n v="0"/>
    <n v="0"/>
    <n v="1"/>
    <n v="1"/>
    <n v="0"/>
  </r>
  <r>
    <x v="5"/>
    <x v="10"/>
    <n v="45"/>
    <m/>
    <m/>
    <x v="1"/>
    <x v="3"/>
    <x v="130"/>
    <s v="POD-06"/>
    <x v="130"/>
    <x v="130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11"/>
    <n v="42.5"/>
    <n v="0"/>
    <n v="0"/>
    <n v="0"/>
    <n v="1"/>
    <n v="1"/>
    <n v="0"/>
  </r>
  <r>
    <x v="5"/>
    <x v="10"/>
    <n v="45"/>
    <m/>
    <m/>
    <x v="1"/>
    <x v="3"/>
    <x v="131"/>
    <s v="POD-06"/>
    <x v="131"/>
    <x v="131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n v="30"/>
    <n v="25.5"/>
    <n v="4.5"/>
    <n v="30"/>
    <n v="25.5"/>
    <n v="4.5"/>
    <m/>
    <m/>
    <m/>
    <n v="45"/>
    <n v="45"/>
    <n v="45"/>
    <n v="15"/>
    <n v="15"/>
    <n v="45"/>
    <n v="1"/>
    <n v="1"/>
    <n v="1"/>
    <n v="0.33333333333333331"/>
    <n v="0.33333333333333331"/>
    <n v="1"/>
    <m/>
    <m/>
    <s v="DTC-RACK-R3-Z6E-R1-12"/>
    <n v="42.5"/>
    <n v="0"/>
    <n v="0"/>
    <n v="0"/>
    <n v="1"/>
    <n v="1"/>
    <n v="0"/>
  </r>
  <r>
    <x v="5"/>
    <x v="11"/>
    <n v="45"/>
    <m/>
    <m/>
    <x v="1"/>
    <x v="3"/>
    <x v="132"/>
    <s v="POD-06"/>
    <x v="132"/>
    <x v="132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6E-R2-01"/>
    <n v="42.5"/>
    <n v="0"/>
    <n v="0"/>
    <n v="0"/>
    <n v="0"/>
    <n v="1"/>
    <n v="0"/>
  </r>
  <r>
    <x v="5"/>
    <x v="11"/>
    <n v="45"/>
    <m/>
    <m/>
    <x v="1"/>
    <x v="3"/>
    <x v="133"/>
    <s v="POD-06"/>
    <x v="133"/>
    <x v="133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6E-R2-02"/>
    <n v="42.5"/>
    <n v="0"/>
    <n v="0"/>
    <n v="0"/>
    <n v="0"/>
    <n v="1"/>
    <n v="0"/>
  </r>
  <r>
    <x v="5"/>
    <x v="11"/>
    <n v="45"/>
    <m/>
    <m/>
    <x v="1"/>
    <x v="3"/>
    <x v="134"/>
    <s v="POD-06"/>
    <x v="134"/>
    <x v="134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6E-R2-03"/>
    <n v="42.5"/>
    <n v="0"/>
    <n v="0"/>
    <n v="0"/>
    <n v="0"/>
    <n v="1"/>
    <n v="0"/>
  </r>
  <r>
    <x v="5"/>
    <x v="11"/>
    <n v="45"/>
    <m/>
    <m/>
    <x v="1"/>
    <x v="3"/>
    <x v="135"/>
    <s v="POD-06"/>
    <x v="135"/>
    <x v="135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n v="30"/>
    <n v="25.5"/>
    <n v="4.5"/>
    <m/>
    <m/>
    <m/>
    <n v="45"/>
    <n v="45"/>
    <n v="45"/>
    <n v="45"/>
    <n v="15"/>
    <n v="45"/>
    <n v="1"/>
    <n v="1"/>
    <n v="1"/>
    <n v="1"/>
    <n v="0.33333333333333331"/>
    <n v="1"/>
    <m/>
    <m/>
    <s v="DTC-RACK-R3-Z6E-R2-04"/>
    <n v="42.5"/>
    <n v="0"/>
    <n v="0"/>
    <n v="0"/>
    <n v="0"/>
    <n v="1"/>
    <n v="0"/>
  </r>
  <r>
    <x v="5"/>
    <x v="11"/>
    <n v="45"/>
    <m/>
    <m/>
    <x v="1"/>
    <x v="3"/>
    <x v="136"/>
    <s v="POD-06"/>
    <x v="136"/>
    <x v="136"/>
    <n v="45"/>
    <n v="38.25"/>
    <n v="6.7500000000000009"/>
    <n v="54"/>
    <n v="0.85"/>
    <n v="0.15000000000000002"/>
    <x v="2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05"/>
    <n v="42.5"/>
    <n v="0"/>
    <n v="0"/>
    <n v="0"/>
    <n v="0"/>
    <n v="0"/>
    <n v="0"/>
  </r>
  <r>
    <x v="5"/>
    <x v="11"/>
    <n v="45"/>
    <m/>
    <m/>
    <x v="1"/>
    <x v="3"/>
    <x v="137"/>
    <s v="POD-06"/>
    <x v="137"/>
    <x v="137"/>
    <n v="45"/>
    <n v="38.25"/>
    <n v="6.7500000000000009"/>
    <n v="54"/>
    <n v="0.85"/>
    <n v="0.15000000000000002"/>
    <x v="3"/>
    <x v="1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06"/>
    <n v="42.5"/>
    <n v="0"/>
    <n v="0"/>
    <n v="0"/>
    <n v="0"/>
    <n v="0"/>
    <n v="0"/>
  </r>
  <r>
    <x v="5"/>
    <x v="11"/>
    <n v="45"/>
    <m/>
    <m/>
    <x v="1"/>
    <x v="3"/>
    <x v="138"/>
    <s v="POD-06"/>
    <x v="138"/>
    <x v="138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07"/>
    <n v="42.5"/>
    <n v="0"/>
    <n v="0"/>
    <n v="0"/>
    <n v="0"/>
    <n v="0"/>
    <n v="0"/>
  </r>
  <r>
    <x v="5"/>
    <x v="11"/>
    <n v="45"/>
    <m/>
    <m/>
    <x v="1"/>
    <x v="3"/>
    <x v="139"/>
    <s v="POD-06"/>
    <x v="139"/>
    <x v="139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08"/>
    <n v="42.5"/>
    <n v="0"/>
    <n v="0"/>
    <n v="0"/>
    <n v="0"/>
    <n v="0"/>
    <n v="0"/>
  </r>
  <r>
    <x v="5"/>
    <x v="11"/>
    <n v="45"/>
    <m/>
    <m/>
    <x v="1"/>
    <x v="3"/>
    <x v="140"/>
    <s v="POD-06"/>
    <x v="140"/>
    <x v="140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09"/>
    <n v="42.5"/>
    <n v="0"/>
    <n v="0"/>
    <n v="0"/>
    <n v="0"/>
    <n v="0"/>
    <n v="0"/>
  </r>
  <r>
    <x v="5"/>
    <x v="11"/>
    <n v="45"/>
    <m/>
    <m/>
    <x v="1"/>
    <x v="3"/>
    <x v="141"/>
    <s v="POD-06"/>
    <x v="141"/>
    <x v="141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10"/>
    <n v="42.5"/>
    <n v="0"/>
    <n v="0"/>
    <n v="0"/>
    <n v="0"/>
    <n v="0"/>
    <n v="0"/>
  </r>
  <r>
    <x v="5"/>
    <x v="11"/>
    <n v="45"/>
    <m/>
    <m/>
    <x v="1"/>
    <x v="3"/>
    <x v="142"/>
    <s v="POD-06"/>
    <x v="142"/>
    <x v="142"/>
    <n v="45"/>
    <n v="38.25"/>
    <n v="6.7500000000000009"/>
    <n v="54"/>
    <n v="0.85"/>
    <n v="0.15000000000000002"/>
    <x v="2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11"/>
    <n v="42.5"/>
    <n v="0"/>
    <n v="0"/>
    <n v="0"/>
    <n v="0"/>
    <n v="0"/>
    <n v="0"/>
  </r>
  <r>
    <x v="5"/>
    <x v="11"/>
    <n v="45"/>
    <m/>
    <m/>
    <x v="1"/>
    <x v="3"/>
    <x v="143"/>
    <s v="POD-06"/>
    <x v="143"/>
    <x v="143"/>
    <n v="45"/>
    <n v="38.25"/>
    <n v="6.7500000000000009"/>
    <n v="54"/>
    <n v="0.85"/>
    <n v="0.15000000000000002"/>
    <x v="3"/>
    <x v="3"/>
    <s v="RPDU-R3-A"/>
    <s v="RPDU-R3R4-B"/>
    <s v="UPS-02-A"/>
    <s v="UPS-02-B"/>
    <s v="BESS-01"/>
    <s v="SWGR-01"/>
    <s v="SWGR-02"/>
    <s v="UTIL-01"/>
    <s v="UTIL-02"/>
    <s v="GEN-01"/>
    <s v="GEN-02"/>
    <x v="0"/>
    <s v="BDL-R3"/>
    <s v="BDL-RPDU-R3R4"/>
    <s v="BDL-UPS-02"/>
    <m/>
    <m/>
    <m/>
    <n v="0"/>
    <n v="0"/>
    <n v="0"/>
    <n v="0"/>
    <n v="0"/>
    <n v="0"/>
    <m/>
    <n v="0"/>
    <n v="0"/>
    <m/>
    <m/>
    <m/>
    <m/>
    <m/>
    <m/>
    <n v="45"/>
    <n v="45"/>
    <n v="45"/>
    <n v="45"/>
    <n v="45"/>
    <n v="45"/>
    <n v="1"/>
    <n v="1"/>
    <n v="1"/>
    <n v="1"/>
    <n v="1"/>
    <n v="1"/>
    <m/>
    <m/>
    <s v="DTC-RACK-R3-Z6E-R2-12"/>
    <n v="42.5"/>
    <n v="0"/>
    <n v="0"/>
    <n v="0"/>
    <n v="0"/>
    <n v="0"/>
    <n v="0"/>
  </r>
  <r>
    <x v="6"/>
    <x v="12"/>
    <n v="20"/>
    <m/>
    <m/>
    <x v="2"/>
    <x v="4"/>
    <x v="144"/>
    <s v="POD-07"/>
    <x v="144"/>
    <x v="144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1"/>
    <n v="15.555555555555555"/>
    <n v="0"/>
    <n v="0"/>
    <n v="0"/>
    <n v="0"/>
    <n v="0"/>
    <n v="0"/>
  </r>
  <r>
    <x v="6"/>
    <x v="12"/>
    <n v="20"/>
    <m/>
    <m/>
    <x v="2"/>
    <x v="4"/>
    <x v="145"/>
    <s v="POD-07"/>
    <x v="145"/>
    <x v="145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2"/>
    <n v="15.555555555555555"/>
    <n v="0"/>
    <n v="0"/>
    <n v="0"/>
    <n v="0"/>
    <n v="0"/>
    <n v="0"/>
  </r>
  <r>
    <x v="6"/>
    <x v="12"/>
    <n v="20"/>
    <m/>
    <m/>
    <x v="2"/>
    <x v="4"/>
    <x v="146"/>
    <s v="POD-07"/>
    <x v="146"/>
    <x v="146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3"/>
    <n v="15.555555555555555"/>
    <n v="0"/>
    <n v="0"/>
    <n v="0"/>
    <n v="0"/>
    <n v="0"/>
    <n v="0"/>
  </r>
  <r>
    <x v="6"/>
    <x v="12"/>
    <n v="20"/>
    <m/>
    <m/>
    <x v="2"/>
    <x v="4"/>
    <x v="147"/>
    <s v="POD-07"/>
    <x v="147"/>
    <x v="147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4"/>
    <n v="15.555555555555555"/>
    <n v="0"/>
    <n v="0"/>
    <n v="0"/>
    <n v="0"/>
    <n v="0"/>
    <n v="0"/>
  </r>
  <r>
    <x v="6"/>
    <x v="12"/>
    <n v="20"/>
    <m/>
    <m/>
    <x v="2"/>
    <x v="4"/>
    <x v="148"/>
    <s v="POD-07"/>
    <x v="148"/>
    <x v="148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5"/>
    <n v="15.555555555555555"/>
    <n v="0"/>
    <n v="0"/>
    <n v="0"/>
    <n v="0"/>
    <n v="0"/>
    <n v="0"/>
  </r>
  <r>
    <x v="6"/>
    <x v="12"/>
    <n v="20"/>
    <m/>
    <m/>
    <x v="2"/>
    <x v="4"/>
    <x v="149"/>
    <s v="POD-07"/>
    <x v="149"/>
    <x v="149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6"/>
    <n v="15.555555555555555"/>
    <n v="0"/>
    <n v="0"/>
    <n v="0"/>
    <n v="0"/>
    <n v="0"/>
    <n v="0"/>
  </r>
  <r>
    <x v="6"/>
    <x v="12"/>
    <n v="20"/>
    <m/>
    <m/>
    <x v="2"/>
    <x v="4"/>
    <x v="150"/>
    <s v="POD-07"/>
    <x v="150"/>
    <x v="150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7"/>
    <n v="15.555555555555555"/>
    <n v="0"/>
    <n v="0"/>
    <n v="0"/>
    <n v="0"/>
    <n v="0"/>
    <n v="0"/>
  </r>
  <r>
    <x v="6"/>
    <x v="12"/>
    <n v="20"/>
    <m/>
    <m/>
    <x v="2"/>
    <x v="4"/>
    <x v="151"/>
    <s v="POD-07"/>
    <x v="151"/>
    <x v="151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8"/>
    <n v="15.555555555555555"/>
    <n v="0"/>
    <n v="0"/>
    <n v="0"/>
    <n v="0"/>
    <n v="0"/>
    <n v="0"/>
  </r>
  <r>
    <x v="6"/>
    <x v="12"/>
    <n v="20"/>
    <m/>
    <m/>
    <x v="2"/>
    <x v="4"/>
    <x v="152"/>
    <s v="POD-07"/>
    <x v="152"/>
    <x v="152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09"/>
    <n v="15.555555555555555"/>
    <n v="0"/>
    <n v="0"/>
    <n v="0"/>
    <n v="0"/>
    <n v="0"/>
    <n v="0"/>
  </r>
  <r>
    <x v="6"/>
    <x v="12"/>
    <n v="20"/>
    <m/>
    <m/>
    <x v="2"/>
    <x v="4"/>
    <x v="153"/>
    <s v="POD-07"/>
    <x v="153"/>
    <x v="153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10"/>
    <n v="15.555555555555555"/>
    <n v="0"/>
    <n v="0"/>
    <n v="0"/>
    <n v="0"/>
    <n v="0"/>
    <n v="0"/>
  </r>
  <r>
    <x v="6"/>
    <x v="12"/>
    <n v="20"/>
    <m/>
    <m/>
    <x v="2"/>
    <x v="4"/>
    <x v="154"/>
    <s v="POD-07"/>
    <x v="154"/>
    <x v="154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11"/>
    <n v="15.555555555555555"/>
    <n v="0"/>
    <n v="0"/>
    <n v="0"/>
    <n v="0"/>
    <n v="0"/>
    <n v="0"/>
  </r>
  <r>
    <x v="6"/>
    <x v="12"/>
    <n v="20"/>
    <m/>
    <m/>
    <x v="2"/>
    <x v="4"/>
    <x v="155"/>
    <s v="POD-07"/>
    <x v="155"/>
    <x v="155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1-12"/>
    <n v="15.555555555555555"/>
    <n v="0"/>
    <n v="0"/>
    <n v="0"/>
    <n v="0"/>
    <n v="0"/>
    <n v="0"/>
  </r>
  <r>
    <x v="6"/>
    <x v="13"/>
    <n v="20"/>
    <m/>
    <m/>
    <x v="2"/>
    <x v="4"/>
    <x v="156"/>
    <s v="POD-07"/>
    <x v="156"/>
    <x v="156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1"/>
    <n v="15.555555555555555"/>
    <n v="0"/>
    <n v="0"/>
    <n v="0"/>
    <n v="0"/>
    <n v="0"/>
    <n v="0"/>
  </r>
  <r>
    <x v="6"/>
    <x v="13"/>
    <n v="20"/>
    <m/>
    <m/>
    <x v="2"/>
    <x v="4"/>
    <x v="157"/>
    <s v="POD-07"/>
    <x v="157"/>
    <x v="157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2"/>
    <n v="15.555555555555555"/>
    <n v="0"/>
    <n v="0"/>
    <n v="0"/>
    <n v="0"/>
    <n v="0"/>
    <n v="0"/>
  </r>
  <r>
    <x v="6"/>
    <x v="13"/>
    <n v="20"/>
    <m/>
    <m/>
    <x v="2"/>
    <x v="4"/>
    <x v="158"/>
    <s v="POD-07"/>
    <x v="158"/>
    <x v="158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3"/>
    <n v="15.555555555555555"/>
    <n v="0"/>
    <n v="0"/>
    <n v="0"/>
    <n v="0"/>
    <n v="0"/>
    <n v="0"/>
  </r>
  <r>
    <x v="6"/>
    <x v="13"/>
    <n v="20"/>
    <m/>
    <m/>
    <x v="2"/>
    <x v="4"/>
    <x v="159"/>
    <s v="POD-07"/>
    <x v="159"/>
    <x v="159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4"/>
    <n v="15.555555555555555"/>
    <n v="0"/>
    <n v="0"/>
    <n v="0"/>
    <n v="0"/>
    <n v="0"/>
    <n v="0"/>
  </r>
  <r>
    <x v="6"/>
    <x v="13"/>
    <n v="20"/>
    <m/>
    <m/>
    <x v="2"/>
    <x v="4"/>
    <x v="160"/>
    <s v="POD-07"/>
    <x v="160"/>
    <x v="160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5"/>
    <n v="15.555555555555555"/>
    <n v="0"/>
    <n v="0"/>
    <n v="0"/>
    <n v="0"/>
    <n v="0"/>
    <n v="0"/>
  </r>
  <r>
    <x v="6"/>
    <x v="13"/>
    <n v="20"/>
    <m/>
    <m/>
    <x v="2"/>
    <x v="4"/>
    <x v="161"/>
    <s v="POD-07"/>
    <x v="161"/>
    <x v="161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6"/>
    <n v="15.555555555555555"/>
    <n v="0"/>
    <n v="0"/>
    <n v="0"/>
    <n v="0"/>
    <n v="0"/>
    <n v="0"/>
  </r>
  <r>
    <x v="6"/>
    <x v="13"/>
    <n v="20"/>
    <m/>
    <m/>
    <x v="2"/>
    <x v="4"/>
    <x v="162"/>
    <s v="POD-07"/>
    <x v="162"/>
    <x v="162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7"/>
    <n v="15.555555555555555"/>
    <n v="0"/>
    <n v="0"/>
    <n v="0"/>
    <n v="0"/>
    <n v="0"/>
    <n v="0"/>
  </r>
  <r>
    <x v="6"/>
    <x v="13"/>
    <n v="20"/>
    <m/>
    <m/>
    <x v="2"/>
    <x v="4"/>
    <x v="163"/>
    <s v="POD-07"/>
    <x v="163"/>
    <x v="163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8"/>
    <n v="15.555555555555555"/>
    <n v="0"/>
    <n v="0"/>
    <n v="0"/>
    <n v="0"/>
    <n v="0"/>
    <n v="0"/>
  </r>
  <r>
    <x v="6"/>
    <x v="13"/>
    <n v="20"/>
    <m/>
    <m/>
    <x v="2"/>
    <x v="4"/>
    <x v="164"/>
    <s v="POD-07"/>
    <x v="164"/>
    <x v="164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09"/>
    <n v="15.555555555555555"/>
    <n v="0"/>
    <n v="0"/>
    <n v="0"/>
    <n v="0"/>
    <n v="0"/>
    <n v="0"/>
  </r>
  <r>
    <x v="6"/>
    <x v="13"/>
    <n v="20"/>
    <m/>
    <m/>
    <x v="2"/>
    <x v="4"/>
    <x v="165"/>
    <s v="POD-07"/>
    <x v="165"/>
    <x v="165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10"/>
    <n v="15.555555555555555"/>
    <n v="0"/>
    <n v="0"/>
    <n v="0"/>
    <n v="0"/>
    <n v="0"/>
    <n v="0"/>
  </r>
  <r>
    <x v="6"/>
    <x v="13"/>
    <n v="20"/>
    <m/>
    <m/>
    <x v="2"/>
    <x v="4"/>
    <x v="166"/>
    <s v="POD-07"/>
    <x v="166"/>
    <x v="166"/>
    <n v="20"/>
    <n v="14"/>
    <n v="6.0000000000000009"/>
    <n v="25"/>
    <n v="0.7"/>
    <n v="0.30000000000000004"/>
    <x v="4"/>
    <x v="4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11"/>
    <n v="15.555555555555555"/>
    <n v="0"/>
    <n v="0"/>
    <n v="0"/>
    <n v="0"/>
    <n v="0"/>
    <n v="0"/>
  </r>
  <r>
    <x v="6"/>
    <x v="13"/>
    <n v="20"/>
    <m/>
    <m/>
    <x v="2"/>
    <x v="4"/>
    <x v="167"/>
    <s v="POD-07"/>
    <x v="167"/>
    <x v="167"/>
    <n v="20"/>
    <n v="14"/>
    <n v="6.0000000000000009"/>
    <n v="25"/>
    <n v="0.7"/>
    <n v="0.30000000000000004"/>
    <x v="5"/>
    <x v="5"/>
    <s v="RPDU-R4-A"/>
    <s v="RPDU-R3R4-B"/>
    <s v="UPS-02-A"/>
    <s v="UPS-02-B"/>
    <s v="BESS-01"/>
    <s v="SWGR-01"/>
    <s v="SWGR-02"/>
    <s v="UTIL-01"/>
    <s v="UTIL-02"/>
    <s v="GEN-01"/>
    <s v="GEN-02"/>
    <x v="1"/>
    <s v="BDL-R4"/>
    <s v="BDL-RPDU-R3R4"/>
    <s v="BDL-UPS-02"/>
    <m/>
    <m/>
    <m/>
    <n v="0"/>
    <n v="0"/>
    <n v="0"/>
    <n v="0"/>
    <n v="0"/>
    <n v="0"/>
    <m/>
    <n v="0"/>
    <n v="0"/>
    <m/>
    <m/>
    <m/>
    <m/>
    <m/>
    <m/>
    <n v="20"/>
    <n v="20"/>
    <n v="20"/>
    <n v="20"/>
    <n v="20"/>
    <n v="20"/>
    <n v="1"/>
    <n v="1"/>
    <n v="1"/>
    <n v="1"/>
    <n v="1"/>
    <n v="1"/>
    <m/>
    <m/>
    <s v="DTC-RACK-R4-Z1-R2-12"/>
    <n v="15.555555555555555"/>
    <n v="0"/>
    <n v="0"/>
    <n v="0"/>
    <n v="0"/>
    <n v="0"/>
    <n v="0"/>
  </r>
  <r>
    <x v="7"/>
    <x v="14"/>
    <n v="60"/>
    <m/>
    <m/>
    <x v="3"/>
    <x v="5"/>
    <x v="168"/>
    <s v="POD-08"/>
    <x v="168"/>
    <x v="168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1"/>
    <n v="56.666666666666664"/>
    <n v="0"/>
    <n v="0"/>
    <n v="0"/>
    <n v="0"/>
    <n v="0"/>
    <n v="0"/>
  </r>
  <r>
    <x v="7"/>
    <x v="14"/>
    <n v="60"/>
    <m/>
    <m/>
    <x v="3"/>
    <x v="5"/>
    <x v="169"/>
    <s v="POD-08"/>
    <x v="169"/>
    <x v="169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2"/>
    <n v="56.666666666666664"/>
    <n v="0"/>
    <n v="0"/>
    <n v="0"/>
    <n v="0"/>
    <n v="0"/>
    <n v="0"/>
  </r>
  <r>
    <x v="7"/>
    <x v="14"/>
    <n v="60"/>
    <m/>
    <m/>
    <x v="3"/>
    <x v="5"/>
    <x v="170"/>
    <s v="POD-08"/>
    <x v="170"/>
    <x v="170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3"/>
    <n v="56.666666666666664"/>
    <n v="0"/>
    <n v="0"/>
    <n v="0"/>
    <n v="0"/>
    <n v="0"/>
    <n v="0"/>
  </r>
  <r>
    <x v="7"/>
    <x v="14"/>
    <n v="60"/>
    <m/>
    <m/>
    <x v="3"/>
    <x v="5"/>
    <x v="171"/>
    <s v="POD-08"/>
    <x v="171"/>
    <x v="171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4"/>
    <n v="56.666666666666664"/>
    <n v="0"/>
    <n v="0"/>
    <n v="0"/>
    <n v="0"/>
    <n v="0"/>
    <n v="0"/>
  </r>
  <r>
    <x v="7"/>
    <x v="14"/>
    <n v="60"/>
    <m/>
    <m/>
    <x v="3"/>
    <x v="5"/>
    <x v="172"/>
    <s v="POD-08"/>
    <x v="172"/>
    <x v="172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5"/>
    <n v="56.666666666666664"/>
    <n v="0"/>
    <n v="0"/>
    <n v="0"/>
    <n v="0"/>
    <n v="0"/>
    <n v="0"/>
  </r>
  <r>
    <x v="7"/>
    <x v="14"/>
    <n v="60"/>
    <m/>
    <m/>
    <x v="3"/>
    <x v="5"/>
    <x v="173"/>
    <s v="POD-08"/>
    <x v="173"/>
    <x v="173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6"/>
    <n v="56.666666666666664"/>
    <n v="0"/>
    <n v="0"/>
    <n v="0"/>
    <n v="0"/>
    <n v="0"/>
    <n v="0"/>
  </r>
  <r>
    <x v="7"/>
    <x v="14"/>
    <n v="60"/>
    <m/>
    <m/>
    <x v="3"/>
    <x v="5"/>
    <x v="174"/>
    <s v="POD-08"/>
    <x v="174"/>
    <x v="174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7"/>
    <n v="56.666666666666664"/>
    <n v="0"/>
    <n v="0"/>
    <n v="0"/>
    <n v="0"/>
    <n v="0"/>
    <n v="0"/>
  </r>
  <r>
    <x v="7"/>
    <x v="14"/>
    <n v="60"/>
    <m/>
    <m/>
    <x v="3"/>
    <x v="5"/>
    <x v="175"/>
    <s v="POD-08"/>
    <x v="175"/>
    <x v="175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8"/>
    <n v="56.666666666666664"/>
    <n v="0"/>
    <n v="0"/>
    <n v="0"/>
    <n v="0"/>
    <n v="0"/>
    <n v="0"/>
  </r>
  <r>
    <x v="7"/>
    <x v="14"/>
    <n v="60"/>
    <m/>
    <m/>
    <x v="3"/>
    <x v="5"/>
    <x v="176"/>
    <s v="POD-08"/>
    <x v="176"/>
    <x v="176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09"/>
    <n v="56.666666666666664"/>
    <n v="0"/>
    <n v="0"/>
    <n v="0"/>
    <n v="0"/>
    <n v="0"/>
    <n v="0"/>
  </r>
  <r>
    <x v="7"/>
    <x v="14"/>
    <n v="60"/>
    <m/>
    <m/>
    <x v="3"/>
    <x v="5"/>
    <x v="177"/>
    <s v="POD-08"/>
    <x v="177"/>
    <x v="177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10"/>
    <n v="56.666666666666664"/>
    <n v="0"/>
    <n v="0"/>
    <n v="0"/>
    <n v="0"/>
    <n v="0"/>
    <n v="0"/>
  </r>
  <r>
    <x v="7"/>
    <x v="14"/>
    <n v="60"/>
    <m/>
    <m/>
    <x v="3"/>
    <x v="5"/>
    <x v="178"/>
    <s v="POD-08"/>
    <x v="178"/>
    <x v="178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11"/>
    <n v="56.666666666666664"/>
    <n v="0"/>
    <n v="0"/>
    <n v="0"/>
    <n v="0"/>
    <n v="0"/>
    <n v="0"/>
  </r>
  <r>
    <x v="7"/>
    <x v="14"/>
    <n v="60"/>
    <m/>
    <m/>
    <x v="3"/>
    <x v="5"/>
    <x v="179"/>
    <s v="POD-08"/>
    <x v="179"/>
    <x v="179"/>
    <n v="60"/>
    <n v="51"/>
    <n v="9.0000000000000018"/>
    <n v="72"/>
    <n v="0.85"/>
    <n v="0.15000000000000002"/>
    <x v="6"/>
    <x v="6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1-12"/>
    <n v="56.666666666666664"/>
    <n v="0"/>
    <n v="0"/>
    <n v="0"/>
    <n v="0"/>
    <n v="0"/>
    <n v="0"/>
  </r>
  <r>
    <x v="7"/>
    <x v="15"/>
    <n v="60"/>
    <m/>
    <m/>
    <x v="3"/>
    <x v="5"/>
    <x v="180"/>
    <s v="POD-08"/>
    <x v="180"/>
    <x v="180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1"/>
    <n v="56.666666666666664"/>
    <n v="0"/>
    <n v="0"/>
    <n v="0"/>
    <n v="0"/>
    <n v="0"/>
    <n v="0"/>
  </r>
  <r>
    <x v="7"/>
    <x v="15"/>
    <n v="60"/>
    <m/>
    <m/>
    <x v="3"/>
    <x v="5"/>
    <x v="181"/>
    <s v="POD-08"/>
    <x v="181"/>
    <x v="181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2"/>
    <n v="56.666666666666664"/>
    <n v="0"/>
    <n v="0"/>
    <n v="0"/>
    <n v="0"/>
    <n v="0"/>
    <n v="0"/>
  </r>
  <r>
    <x v="7"/>
    <x v="15"/>
    <n v="60"/>
    <m/>
    <m/>
    <x v="3"/>
    <x v="5"/>
    <x v="182"/>
    <s v="POD-08"/>
    <x v="182"/>
    <x v="182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3"/>
    <n v="56.666666666666664"/>
    <n v="0"/>
    <n v="0"/>
    <n v="0"/>
    <n v="0"/>
    <n v="0"/>
    <n v="0"/>
  </r>
  <r>
    <x v="7"/>
    <x v="15"/>
    <n v="60"/>
    <m/>
    <m/>
    <x v="3"/>
    <x v="5"/>
    <x v="183"/>
    <s v="POD-08"/>
    <x v="183"/>
    <x v="183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4"/>
    <n v="56.666666666666664"/>
    <n v="0"/>
    <n v="0"/>
    <n v="0"/>
    <n v="0"/>
    <n v="0"/>
    <n v="0"/>
  </r>
  <r>
    <x v="7"/>
    <x v="15"/>
    <n v="60"/>
    <m/>
    <m/>
    <x v="3"/>
    <x v="5"/>
    <x v="184"/>
    <s v="POD-08"/>
    <x v="184"/>
    <x v="184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5"/>
    <n v="56.666666666666664"/>
    <n v="0"/>
    <n v="0"/>
    <n v="0"/>
    <n v="0"/>
    <n v="0"/>
    <n v="0"/>
  </r>
  <r>
    <x v="7"/>
    <x v="15"/>
    <n v="60"/>
    <m/>
    <m/>
    <x v="3"/>
    <x v="5"/>
    <x v="185"/>
    <s v="POD-08"/>
    <x v="185"/>
    <x v="185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6"/>
    <n v="56.666666666666664"/>
    <n v="0"/>
    <n v="0"/>
    <n v="0"/>
    <n v="0"/>
    <n v="0"/>
    <n v="0"/>
  </r>
  <r>
    <x v="7"/>
    <x v="15"/>
    <n v="60"/>
    <m/>
    <m/>
    <x v="3"/>
    <x v="5"/>
    <x v="186"/>
    <s v="POD-08"/>
    <x v="186"/>
    <x v="186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7"/>
    <n v="56.666666666666664"/>
    <n v="0"/>
    <n v="0"/>
    <n v="0"/>
    <n v="0"/>
    <n v="0"/>
    <n v="0"/>
  </r>
  <r>
    <x v="7"/>
    <x v="15"/>
    <n v="60"/>
    <m/>
    <m/>
    <x v="3"/>
    <x v="5"/>
    <x v="187"/>
    <s v="POD-08"/>
    <x v="187"/>
    <x v="187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8"/>
    <n v="56.666666666666664"/>
    <n v="0"/>
    <n v="0"/>
    <n v="0"/>
    <n v="0"/>
    <n v="0"/>
    <n v="0"/>
  </r>
  <r>
    <x v="7"/>
    <x v="15"/>
    <n v="60"/>
    <m/>
    <m/>
    <x v="3"/>
    <x v="5"/>
    <x v="188"/>
    <s v="POD-08"/>
    <x v="188"/>
    <x v="188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09"/>
    <n v="56.666666666666664"/>
    <n v="0"/>
    <n v="0"/>
    <n v="0"/>
    <n v="0"/>
    <n v="0"/>
    <n v="0"/>
  </r>
  <r>
    <x v="7"/>
    <x v="15"/>
    <n v="60"/>
    <m/>
    <m/>
    <x v="3"/>
    <x v="5"/>
    <x v="189"/>
    <s v="POD-08"/>
    <x v="189"/>
    <x v="189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10"/>
    <n v="56.666666666666664"/>
    <n v="0"/>
    <n v="0"/>
    <n v="0"/>
    <n v="0"/>
    <n v="0"/>
    <n v="0"/>
  </r>
  <r>
    <x v="7"/>
    <x v="15"/>
    <n v="60"/>
    <m/>
    <m/>
    <x v="3"/>
    <x v="5"/>
    <x v="190"/>
    <s v="POD-08"/>
    <x v="190"/>
    <x v="190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11"/>
    <n v="56.666666666666664"/>
    <n v="0"/>
    <n v="0"/>
    <n v="0"/>
    <n v="0"/>
    <n v="0"/>
    <n v="0"/>
  </r>
  <r>
    <x v="7"/>
    <x v="15"/>
    <n v="60"/>
    <m/>
    <m/>
    <x v="3"/>
    <x v="5"/>
    <x v="191"/>
    <s v="POD-08"/>
    <x v="191"/>
    <x v="191"/>
    <n v="60"/>
    <n v="51"/>
    <n v="9.0000000000000018"/>
    <n v="72"/>
    <n v="0.85"/>
    <n v="0.15000000000000002"/>
    <x v="7"/>
    <x v="7"/>
    <s v="RPDU-R5-A"/>
    <s v="RPDU-R5-B"/>
    <s v="UPS-02-A"/>
    <s v="UPS-02-B"/>
    <s v="BESS-01"/>
    <s v="SWGR-01"/>
    <s v="SWGR-02"/>
    <s v="UTIL-01"/>
    <s v="UTIL-02"/>
    <s v="GEN-01"/>
    <s v="GEN-02"/>
    <x v="2"/>
    <s v="BDL-R5"/>
    <s v="BDL-RPDU-R5"/>
    <s v="BDL-UPS-02"/>
    <m/>
    <m/>
    <m/>
    <n v="0"/>
    <n v="0"/>
    <n v="0"/>
    <n v="0"/>
    <n v="0"/>
    <n v="0"/>
    <m/>
    <n v="0"/>
    <n v="0"/>
    <m/>
    <m/>
    <m/>
    <m/>
    <m/>
    <m/>
    <n v="60"/>
    <n v="60"/>
    <n v="60"/>
    <n v="60"/>
    <n v="60"/>
    <n v="60"/>
    <n v="1"/>
    <n v="1"/>
    <n v="1"/>
    <n v="1"/>
    <n v="1"/>
    <n v="1"/>
    <m/>
    <m/>
    <s v="DTC-RACK-R5-Z1W-R2-12"/>
    <n v="56.666666666666664"/>
    <n v="0"/>
    <n v="0"/>
    <n v="0"/>
    <n v="0"/>
    <n v="0"/>
    <n v="0"/>
  </r>
  <r>
    <x v="8"/>
    <x v="16"/>
    <n v="60"/>
    <m/>
    <m/>
    <x v="4"/>
    <x v="6"/>
    <x v="192"/>
    <s v="POD-09"/>
    <x v="192"/>
    <x v="192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1"/>
    <n v="56.666666666666664"/>
    <n v="0"/>
    <n v="0"/>
    <n v="0"/>
    <n v="0"/>
    <n v="0"/>
    <n v="1"/>
  </r>
  <r>
    <x v="8"/>
    <x v="16"/>
    <n v="60"/>
    <m/>
    <m/>
    <x v="4"/>
    <x v="6"/>
    <x v="193"/>
    <s v="POD-09"/>
    <x v="193"/>
    <x v="193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2"/>
    <n v="56.666666666666664"/>
    <n v="0"/>
    <n v="0"/>
    <n v="0"/>
    <n v="0"/>
    <n v="0"/>
    <n v="1"/>
  </r>
  <r>
    <x v="8"/>
    <x v="16"/>
    <n v="60"/>
    <m/>
    <m/>
    <x v="4"/>
    <x v="6"/>
    <x v="194"/>
    <s v="POD-09"/>
    <x v="194"/>
    <x v="194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3"/>
    <n v="56.666666666666664"/>
    <n v="0"/>
    <n v="0"/>
    <n v="0"/>
    <n v="0"/>
    <n v="0"/>
    <n v="1"/>
  </r>
  <r>
    <x v="8"/>
    <x v="16"/>
    <n v="60"/>
    <m/>
    <m/>
    <x v="4"/>
    <x v="6"/>
    <x v="195"/>
    <s v="POD-09"/>
    <x v="195"/>
    <x v="195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4"/>
    <n v="56.666666666666664"/>
    <n v="0"/>
    <n v="0"/>
    <n v="0"/>
    <n v="0"/>
    <n v="0"/>
    <n v="1"/>
  </r>
  <r>
    <x v="8"/>
    <x v="16"/>
    <n v="60"/>
    <m/>
    <m/>
    <x v="4"/>
    <x v="6"/>
    <x v="196"/>
    <s v="POD-09"/>
    <x v="196"/>
    <x v="196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5"/>
    <n v="56.666666666666664"/>
    <n v="0"/>
    <n v="0"/>
    <n v="0"/>
    <n v="0"/>
    <n v="0"/>
    <n v="1"/>
  </r>
  <r>
    <x v="8"/>
    <x v="16"/>
    <n v="60"/>
    <m/>
    <m/>
    <x v="4"/>
    <x v="6"/>
    <x v="197"/>
    <s v="POD-09"/>
    <x v="197"/>
    <x v="197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6"/>
    <n v="56.666666666666664"/>
    <n v="0"/>
    <n v="0"/>
    <n v="0"/>
    <n v="0"/>
    <n v="0"/>
    <n v="1"/>
  </r>
  <r>
    <x v="8"/>
    <x v="16"/>
    <n v="60"/>
    <m/>
    <m/>
    <x v="4"/>
    <x v="6"/>
    <x v="198"/>
    <s v="POD-09"/>
    <x v="198"/>
    <x v="198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7"/>
    <n v="56.666666666666664"/>
    <n v="0"/>
    <n v="0"/>
    <n v="0"/>
    <n v="0"/>
    <n v="0"/>
    <n v="1"/>
  </r>
  <r>
    <x v="8"/>
    <x v="16"/>
    <n v="60"/>
    <m/>
    <m/>
    <x v="4"/>
    <x v="6"/>
    <x v="199"/>
    <s v="POD-09"/>
    <x v="199"/>
    <x v="199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8"/>
    <n v="56.666666666666664"/>
    <n v="0"/>
    <n v="0"/>
    <n v="0"/>
    <n v="0"/>
    <n v="0"/>
    <n v="1"/>
  </r>
  <r>
    <x v="8"/>
    <x v="16"/>
    <n v="60"/>
    <m/>
    <m/>
    <x v="4"/>
    <x v="6"/>
    <x v="200"/>
    <s v="POD-09"/>
    <x v="200"/>
    <x v="200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09"/>
    <n v="56.666666666666664"/>
    <n v="0"/>
    <n v="0"/>
    <n v="0"/>
    <n v="0"/>
    <n v="0"/>
    <n v="1"/>
  </r>
  <r>
    <x v="8"/>
    <x v="16"/>
    <n v="60"/>
    <m/>
    <m/>
    <x v="4"/>
    <x v="6"/>
    <x v="201"/>
    <s v="POD-09"/>
    <x v="201"/>
    <x v="201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10"/>
    <n v="56.666666666666664"/>
    <n v="0"/>
    <n v="0"/>
    <n v="0"/>
    <n v="0"/>
    <n v="0"/>
    <n v="1"/>
  </r>
  <r>
    <x v="8"/>
    <x v="16"/>
    <n v="60"/>
    <m/>
    <m/>
    <x v="4"/>
    <x v="6"/>
    <x v="202"/>
    <s v="POD-09"/>
    <x v="202"/>
    <x v="202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11"/>
    <n v="56.666666666666664"/>
    <n v="0"/>
    <n v="0"/>
    <n v="0"/>
    <n v="0"/>
    <n v="0"/>
    <n v="1"/>
  </r>
  <r>
    <x v="8"/>
    <x v="16"/>
    <n v="60"/>
    <m/>
    <m/>
    <x v="4"/>
    <x v="6"/>
    <x v="203"/>
    <s v="POD-09"/>
    <x v="203"/>
    <x v="203"/>
    <n v="60"/>
    <n v="51"/>
    <n v="9.0000000000000018"/>
    <n v="72"/>
    <n v="0.85"/>
    <n v="0.15000000000000002"/>
    <x v="8"/>
    <x v="8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1-12"/>
    <n v="56.666666666666664"/>
    <n v="0"/>
    <n v="0"/>
    <n v="0"/>
    <n v="0"/>
    <n v="0"/>
    <n v="1"/>
  </r>
  <r>
    <x v="8"/>
    <x v="17"/>
    <n v="60"/>
    <m/>
    <m/>
    <x v="4"/>
    <x v="6"/>
    <x v="204"/>
    <s v="POD-09"/>
    <x v="204"/>
    <x v="204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1"/>
    <n v="56.666666666666664"/>
    <n v="0"/>
    <n v="0"/>
    <n v="0"/>
    <n v="0"/>
    <n v="0"/>
    <n v="1"/>
  </r>
  <r>
    <x v="8"/>
    <x v="17"/>
    <n v="60"/>
    <m/>
    <m/>
    <x v="4"/>
    <x v="6"/>
    <x v="205"/>
    <s v="POD-09"/>
    <x v="205"/>
    <x v="205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2"/>
    <n v="56.666666666666664"/>
    <n v="0"/>
    <n v="0"/>
    <n v="0"/>
    <n v="0"/>
    <n v="0"/>
    <n v="1"/>
  </r>
  <r>
    <x v="8"/>
    <x v="17"/>
    <n v="60"/>
    <m/>
    <m/>
    <x v="4"/>
    <x v="6"/>
    <x v="206"/>
    <s v="POD-09"/>
    <x v="206"/>
    <x v="206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3"/>
    <n v="56.666666666666664"/>
    <n v="0"/>
    <n v="0"/>
    <n v="0"/>
    <n v="0"/>
    <n v="0"/>
    <n v="1"/>
  </r>
  <r>
    <x v="8"/>
    <x v="17"/>
    <n v="60"/>
    <m/>
    <m/>
    <x v="4"/>
    <x v="6"/>
    <x v="207"/>
    <s v="POD-09"/>
    <x v="207"/>
    <x v="207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4"/>
    <n v="56.666666666666664"/>
    <n v="0"/>
    <n v="0"/>
    <n v="0"/>
    <n v="0"/>
    <n v="0"/>
    <n v="1"/>
  </r>
  <r>
    <x v="8"/>
    <x v="17"/>
    <n v="60"/>
    <m/>
    <m/>
    <x v="4"/>
    <x v="6"/>
    <x v="208"/>
    <s v="POD-09"/>
    <x v="208"/>
    <x v="208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5"/>
    <n v="56.666666666666664"/>
    <n v="0"/>
    <n v="0"/>
    <n v="0"/>
    <n v="0"/>
    <n v="0"/>
    <n v="1"/>
  </r>
  <r>
    <x v="8"/>
    <x v="17"/>
    <n v="60"/>
    <m/>
    <m/>
    <x v="4"/>
    <x v="6"/>
    <x v="209"/>
    <s v="POD-09"/>
    <x v="209"/>
    <x v="209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6"/>
    <n v="56.666666666666664"/>
    <n v="0"/>
    <n v="0"/>
    <n v="0"/>
    <n v="0"/>
    <n v="0"/>
    <n v="1"/>
  </r>
  <r>
    <x v="8"/>
    <x v="17"/>
    <n v="60"/>
    <m/>
    <m/>
    <x v="4"/>
    <x v="6"/>
    <x v="210"/>
    <s v="POD-09"/>
    <x v="210"/>
    <x v="210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7"/>
    <n v="56.666666666666664"/>
    <n v="0"/>
    <n v="0"/>
    <n v="0"/>
    <n v="0"/>
    <n v="0"/>
    <n v="1"/>
  </r>
  <r>
    <x v="8"/>
    <x v="17"/>
    <n v="60"/>
    <m/>
    <m/>
    <x v="4"/>
    <x v="6"/>
    <x v="211"/>
    <s v="POD-09"/>
    <x v="211"/>
    <x v="211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8"/>
    <n v="56.666666666666664"/>
    <n v="0"/>
    <n v="0"/>
    <n v="0"/>
    <n v="0"/>
    <n v="0"/>
    <n v="1"/>
  </r>
  <r>
    <x v="8"/>
    <x v="17"/>
    <n v="60"/>
    <m/>
    <m/>
    <x v="4"/>
    <x v="6"/>
    <x v="212"/>
    <s v="POD-09"/>
    <x v="212"/>
    <x v="212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09"/>
    <n v="56.666666666666664"/>
    <n v="0"/>
    <n v="0"/>
    <n v="0"/>
    <n v="0"/>
    <n v="0"/>
    <n v="1"/>
  </r>
  <r>
    <x v="8"/>
    <x v="17"/>
    <n v="60"/>
    <m/>
    <m/>
    <x v="4"/>
    <x v="6"/>
    <x v="213"/>
    <s v="POD-09"/>
    <x v="213"/>
    <x v="213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10"/>
    <n v="56.666666666666664"/>
    <n v="0"/>
    <n v="0"/>
    <n v="0"/>
    <n v="0"/>
    <n v="0"/>
    <n v="1"/>
  </r>
  <r>
    <x v="8"/>
    <x v="17"/>
    <n v="60"/>
    <m/>
    <m/>
    <x v="4"/>
    <x v="6"/>
    <x v="214"/>
    <s v="POD-09"/>
    <x v="214"/>
    <x v="214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60"/>
    <n v="51"/>
    <n v="9.0000000000000018"/>
    <n v="60"/>
    <n v="60"/>
    <n v="60"/>
    <n v="60"/>
    <n v="60"/>
    <n v="0"/>
    <n v="1"/>
    <n v="1"/>
    <n v="1"/>
    <n v="1"/>
    <n v="1"/>
    <n v="0"/>
    <m/>
    <m/>
    <s v="DTC-RACK-R5-Z2E-R2-11"/>
    <n v="56.666666666666664"/>
    <n v="0"/>
    <n v="0"/>
    <n v="0"/>
    <n v="0"/>
    <n v="0"/>
    <n v="1"/>
  </r>
  <r>
    <x v="8"/>
    <x v="17"/>
    <n v="60"/>
    <m/>
    <m/>
    <x v="4"/>
    <x v="6"/>
    <x v="215"/>
    <s v="POD-09"/>
    <x v="215"/>
    <x v="215"/>
    <n v="60"/>
    <n v="51"/>
    <n v="9.0000000000000018"/>
    <n v="72"/>
    <n v="0.85"/>
    <n v="0.15000000000000002"/>
    <x v="9"/>
    <x v="9"/>
    <s v="RPDU-R5-A"/>
    <s v="RPDU-R5-B"/>
    <s v="UPS-02-A"/>
    <s v="UPS-02-B"/>
    <s v="BESS-01"/>
    <s v="SWGR-01"/>
    <s v="SWGR-02"/>
    <s v="UTIL-01"/>
    <s v="UTIL-02"/>
    <s v="GEN-01"/>
    <s v="GEN-02"/>
    <x v="3"/>
    <s v="BDL-R5"/>
    <s v="BDL-RPDU-R5"/>
    <s v="BDL-UPS-02"/>
    <m/>
    <m/>
    <m/>
    <n v="0"/>
    <n v="0"/>
    <n v="0"/>
    <n v="0"/>
    <n v="0"/>
    <n v="0"/>
    <m/>
    <n v="0"/>
    <n v="0"/>
    <m/>
    <m/>
    <m/>
    <n v="15"/>
    <n v="12.75"/>
    <n v="2.2500000000000004"/>
    <n v="60"/>
    <n v="60"/>
    <n v="60"/>
    <n v="60"/>
    <n v="60"/>
    <n v="45"/>
    <n v="1"/>
    <n v="1"/>
    <n v="1"/>
    <n v="1"/>
    <n v="1"/>
    <n v="0.75"/>
    <m/>
    <m/>
    <s v="DTC-RACK-R5-Z2E-R2-12"/>
    <n v="56.666666666666664"/>
    <n v="0"/>
    <n v="0"/>
    <n v="0"/>
    <n v="0"/>
    <n v="0"/>
    <n v="1"/>
  </r>
  <r>
    <x v="9"/>
    <x v="18"/>
    <n v="15"/>
    <m/>
    <m/>
    <x v="5"/>
    <x v="7"/>
    <x v="216"/>
    <s v="POD-01"/>
    <x v="216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1"/>
    <n v="8.3333333333333339"/>
    <m/>
    <m/>
    <n v="1"/>
    <n v="0"/>
    <n v="0"/>
    <n v="0"/>
    <n v="0"/>
    <n v="0"/>
  </r>
  <r>
    <x v="9"/>
    <x v="18"/>
    <n v="15"/>
    <m/>
    <m/>
    <x v="5"/>
    <x v="7"/>
    <x v="217"/>
    <s v="POD-01"/>
    <x v="217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2"/>
    <n v="8.3333333333333339"/>
    <m/>
    <m/>
    <n v="1"/>
    <n v="0"/>
    <n v="0"/>
    <n v="0"/>
    <n v="0"/>
    <n v="0"/>
  </r>
  <r>
    <x v="9"/>
    <x v="18"/>
    <n v="15"/>
    <m/>
    <m/>
    <x v="5"/>
    <x v="7"/>
    <x v="218"/>
    <s v="POD-01"/>
    <x v="218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3"/>
    <n v="8.3333333333333339"/>
    <m/>
    <m/>
    <n v="1"/>
    <n v="0"/>
    <n v="0"/>
    <n v="0"/>
    <n v="0"/>
    <n v="0"/>
  </r>
  <r>
    <x v="9"/>
    <x v="18"/>
    <n v="15"/>
    <m/>
    <m/>
    <x v="5"/>
    <x v="7"/>
    <x v="219"/>
    <s v="POD-01"/>
    <x v="219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4"/>
    <n v="8.3333333333333339"/>
    <m/>
    <m/>
    <n v="1"/>
    <n v="0"/>
    <n v="0"/>
    <n v="0"/>
    <n v="0"/>
    <n v="0"/>
  </r>
  <r>
    <x v="9"/>
    <x v="18"/>
    <n v="15"/>
    <m/>
    <m/>
    <x v="5"/>
    <x v="7"/>
    <x v="220"/>
    <s v="POD-01"/>
    <x v="220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5"/>
    <n v="8.3333333333333339"/>
    <m/>
    <m/>
    <n v="1"/>
    <n v="0"/>
    <n v="0"/>
    <n v="0"/>
    <n v="0"/>
    <n v="0"/>
  </r>
  <r>
    <x v="9"/>
    <x v="18"/>
    <n v="15"/>
    <m/>
    <m/>
    <x v="5"/>
    <x v="7"/>
    <x v="221"/>
    <s v="POD-01"/>
    <x v="221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1-06"/>
    <n v="8.3333333333333339"/>
    <m/>
    <m/>
    <n v="1"/>
    <n v="0"/>
    <n v="0"/>
    <n v="0"/>
    <n v="0"/>
    <n v="0"/>
  </r>
  <r>
    <x v="9"/>
    <x v="19"/>
    <n v="15"/>
    <m/>
    <m/>
    <x v="5"/>
    <x v="7"/>
    <x v="222"/>
    <s v="POD-01"/>
    <x v="222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1"/>
    <n v="8.3333333333333339"/>
    <m/>
    <m/>
    <n v="1"/>
    <n v="0"/>
    <n v="0"/>
    <n v="0"/>
    <n v="0"/>
    <n v="0"/>
  </r>
  <r>
    <x v="9"/>
    <x v="19"/>
    <n v="15"/>
    <m/>
    <m/>
    <x v="5"/>
    <x v="7"/>
    <x v="223"/>
    <s v="POD-01"/>
    <x v="223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2"/>
    <n v="8.3333333333333339"/>
    <m/>
    <m/>
    <n v="1"/>
    <n v="0"/>
    <n v="0"/>
    <n v="0"/>
    <n v="0"/>
    <n v="0"/>
  </r>
  <r>
    <x v="9"/>
    <x v="19"/>
    <n v="15"/>
    <m/>
    <m/>
    <x v="5"/>
    <x v="7"/>
    <x v="224"/>
    <s v="POD-01"/>
    <x v="224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3"/>
    <n v="8.3333333333333339"/>
    <m/>
    <m/>
    <n v="1"/>
    <n v="0"/>
    <n v="0"/>
    <n v="0"/>
    <n v="0"/>
    <n v="0"/>
  </r>
  <r>
    <x v="9"/>
    <x v="19"/>
    <n v="15"/>
    <m/>
    <m/>
    <x v="5"/>
    <x v="7"/>
    <x v="225"/>
    <s v="POD-01"/>
    <x v="225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4"/>
    <n v="8.3333333333333339"/>
    <m/>
    <m/>
    <n v="1"/>
    <n v="0"/>
    <n v="0"/>
    <n v="0"/>
    <n v="0"/>
    <n v="0"/>
  </r>
  <r>
    <x v="9"/>
    <x v="19"/>
    <n v="15"/>
    <m/>
    <m/>
    <x v="5"/>
    <x v="7"/>
    <x v="226"/>
    <s v="POD-01"/>
    <x v="226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5"/>
    <n v="8.3333333333333339"/>
    <m/>
    <m/>
    <n v="1"/>
    <n v="0"/>
    <n v="0"/>
    <n v="0"/>
    <n v="0"/>
    <n v="0"/>
  </r>
  <r>
    <x v="9"/>
    <x v="19"/>
    <n v="15"/>
    <m/>
    <m/>
    <x v="5"/>
    <x v="7"/>
    <x v="227"/>
    <s v="POD-01"/>
    <x v="227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1-R2-06"/>
    <n v="8.3333333333333339"/>
    <m/>
    <m/>
    <n v="1"/>
    <n v="0"/>
    <n v="0"/>
    <n v="0"/>
    <n v="0"/>
    <n v="0"/>
  </r>
  <r>
    <x v="10"/>
    <x v="20"/>
    <n v="15"/>
    <m/>
    <m/>
    <x v="5"/>
    <x v="7"/>
    <x v="228"/>
    <s v="POD-02"/>
    <x v="228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1"/>
    <n v="8.3333333333333339"/>
    <m/>
    <m/>
    <n v="1"/>
    <n v="0"/>
    <n v="0"/>
    <n v="0"/>
    <n v="0"/>
    <n v="0"/>
  </r>
  <r>
    <x v="10"/>
    <x v="20"/>
    <n v="15"/>
    <m/>
    <m/>
    <x v="5"/>
    <x v="7"/>
    <x v="229"/>
    <s v="POD-02"/>
    <x v="229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2"/>
    <n v="8.3333333333333339"/>
    <m/>
    <m/>
    <n v="1"/>
    <n v="0"/>
    <n v="0"/>
    <n v="0"/>
    <n v="0"/>
    <n v="0"/>
  </r>
  <r>
    <x v="10"/>
    <x v="20"/>
    <n v="15"/>
    <m/>
    <m/>
    <x v="5"/>
    <x v="7"/>
    <x v="230"/>
    <s v="POD-02"/>
    <x v="230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3"/>
    <n v="8.3333333333333339"/>
    <m/>
    <m/>
    <n v="1"/>
    <n v="0"/>
    <n v="0"/>
    <n v="0"/>
    <n v="0"/>
    <n v="0"/>
  </r>
  <r>
    <x v="10"/>
    <x v="20"/>
    <n v="15"/>
    <m/>
    <m/>
    <x v="5"/>
    <x v="7"/>
    <x v="231"/>
    <s v="POD-02"/>
    <x v="231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4"/>
    <n v="8.3333333333333339"/>
    <m/>
    <m/>
    <n v="1"/>
    <n v="0"/>
    <n v="0"/>
    <n v="0"/>
    <n v="0"/>
    <n v="0"/>
  </r>
  <r>
    <x v="10"/>
    <x v="20"/>
    <n v="15"/>
    <m/>
    <m/>
    <x v="5"/>
    <x v="7"/>
    <x v="232"/>
    <s v="POD-02"/>
    <x v="232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5"/>
    <n v="8.3333333333333339"/>
    <m/>
    <m/>
    <n v="1"/>
    <n v="0"/>
    <n v="0"/>
    <n v="0"/>
    <n v="0"/>
    <n v="0"/>
  </r>
  <r>
    <x v="10"/>
    <x v="20"/>
    <n v="15"/>
    <m/>
    <m/>
    <x v="5"/>
    <x v="7"/>
    <x v="233"/>
    <s v="POD-02"/>
    <x v="233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1-06"/>
    <n v="8.3333333333333339"/>
    <m/>
    <m/>
    <n v="1"/>
    <n v="0"/>
    <n v="0"/>
    <n v="0"/>
    <n v="0"/>
    <n v="0"/>
  </r>
  <r>
    <x v="10"/>
    <x v="21"/>
    <n v="15"/>
    <m/>
    <m/>
    <x v="5"/>
    <x v="7"/>
    <x v="234"/>
    <s v="POD-02"/>
    <x v="234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1"/>
    <n v="8.3333333333333339"/>
    <m/>
    <m/>
    <n v="1"/>
    <n v="0"/>
    <n v="0"/>
    <n v="0"/>
    <n v="0"/>
    <n v="0"/>
  </r>
  <r>
    <x v="10"/>
    <x v="21"/>
    <n v="15"/>
    <m/>
    <m/>
    <x v="5"/>
    <x v="7"/>
    <x v="235"/>
    <s v="POD-02"/>
    <x v="235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2"/>
    <n v="8.3333333333333339"/>
    <m/>
    <m/>
    <n v="1"/>
    <n v="0"/>
    <n v="0"/>
    <n v="0"/>
    <n v="0"/>
    <n v="0"/>
  </r>
  <r>
    <x v="10"/>
    <x v="21"/>
    <n v="15"/>
    <m/>
    <m/>
    <x v="5"/>
    <x v="7"/>
    <x v="236"/>
    <s v="POD-02"/>
    <x v="236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3"/>
    <n v="8.3333333333333339"/>
    <m/>
    <m/>
    <n v="1"/>
    <n v="0"/>
    <n v="0"/>
    <n v="0"/>
    <n v="0"/>
    <n v="0"/>
  </r>
  <r>
    <x v="10"/>
    <x v="21"/>
    <n v="15"/>
    <m/>
    <m/>
    <x v="5"/>
    <x v="7"/>
    <x v="237"/>
    <s v="POD-02"/>
    <x v="237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4"/>
    <n v="8.3333333333333339"/>
    <m/>
    <m/>
    <n v="1"/>
    <n v="0"/>
    <n v="0"/>
    <n v="0"/>
    <n v="0"/>
    <n v="0"/>
  </r>
  <r>
    <x v="10"/>
    <x v="21"/>
    <n v="15"/>
    <m/>
    <m/>
    <x v="5"/>
    <x v="7"/>
    <x v="238"/>
    <s v="POD-02"/>
    <x v="238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5"/>
    <n v="8.3333333333333339"/>
    <m/>
    <m/>
    <n v="1"/>
    <n v="0"/>
    <n v="0"/>
    <n v="0"/>
    <n v="0"/>
    <n v="0"/>
  </r>
  <r>
    <x v="10"/>
    <x v="21"/>
    <n v="15"/>
    <m/>
    <m/>
    <x v="5"/>
    <x v="7"/>
    <x v="239"/>
    <s v="POD-02"/>
    <x v="239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s v="RDHX-RACK-R1-Z2-R2-06"/>
    <n v="8.3333333333333339"/>
    <m/>
    <m/>
    <n v="1"/>
    <n v="0"/>
    <n v="0"/>
    <n v="0"/>
    <n v="0"/>
    <n v="0"/>
  </r>
  <r>
    <x v="11"/>
    <x v="22"/>
    <n v="15"/>
    <m/>
    <m/>
    <x v="6"/>
    <x v="8"/>
    <x v="240"/>
    <s v="POD-03"/>
    <x v="240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1"/>
    <n v="8.3333333333333339"/>
    <n v="1"/>
    <n v="0"/>
    <n v="0"/>
    <n v="0"/>
    <n v="0"/>
    <n v="0"/>
  </r>
  <r>
    <x v="11"/>
    <x v="22"/>
    <n v="15"/>
    <m/>
    <m/>
    <x v="6"/>
    <x v="8"/>
    <x v="241"/>
    <s v="POD-03"/>
    <x v="241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2"/>
    <n v="8.3333333333333339"/>
    <n v="1"/>
    <n v="0"/>
    <n v="0"/>
    <n v="0"/>
    <n v="0"/>
    <n v="0"/>
  </r>
  <r>
    <x v="11"/>
    <x v="22"/>
    <n v="15"/>
    <m/>
    <m/>
    <x v="6"/>
    <x v="8"/>
    <x v="242"/>
    <s v="POD-03"/>
    <x v="242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3"/>
    <n v="8.3333333333333339"/>
    <n v="1"/>
    <n v="0"/>
    <n v="0"/>
    <n v="0"/>
    <n v="0"/>
    <n v="0"/>
  </r>
  <r>
    <x v="11"/>
    <x v="22"/>
    <n v="15"/>
    <m/>
    <m/>
    <x v="6"/>
    <x v="8"/>
    <x v="243"/>
    <s v="POD-03"/>
    <x v="243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4"/>
    <n v="8.3333333333333339"/>
    <n v="1"/>
    <n v="0"/>
    <n v="0"/>
    <n v="0"/>
    <n v="0"/>
    <n v="0"/>
  </r>
  <r>
    <x v="11"/>
    <x v="22"/>
    <n v="15"/>
    <m/>
    <m/>
    <x v="6"/>
    <x v="8"/>
    <x v="244"/>
    <s v="POD-03"/>
    <x v="244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5"/>
    <n v="8.3333333333333339"/>
    <n v="1"/>
    <n v="0"/>
    <n v="0"/>
    <n v="0"/>
    <n v="0"/>
    <n v="0"/>
  </r>
  <r>
    <x v="11"/>
    <x v="22"/>
    <n v="15"/>
    <m/>
    <m/>
    <x v="6"/>
    <x v="8"/>
    <x v="245"/>
    <s v="POD-03"/>
    <x v="245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5"/>
    <n v="7.5"/>
    <n v="7.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1-06"/>
    <n v="8.3333333333333339"/>
    <n v="1"/>
    <n v="0"/>
    <n v="0"/>
    <n v="0"/>
    <n v="0"/>
    <n v="0"/>
  </r>
  <r>
    <x v="11"/>
    <x v="23"/>
    <n v="15"/>
    <m/>
    <m/>
    <x v="6"/>
    <x v="8"/>
    <x v="246"/>
    <s v="POD-03"/>
    <x v="246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1"/>
    <n v="8.3333333333333339"/>
    <n v="1"/>
    <n v="0"/>
    <n v="0"/>
    <n v="0"/>
    <n v="0"/>
    <n v="0"/>
  </r>
  <r>
    <x v="11"/>
    <x v="23"/>
    <n v="15"/>
    <m/>
    <m/>
    <x v="6"/>
    <x v="8"/>
    <x v="247"/>
    <s v="POD-03"/>
    <x v="247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2"/>
    <n v="8.3333333333333339"/>
    <n v="1"/>
    <n v="0"/>
    <n v="0"/>
    <n v="0"/>
    <n v="0"/>
    <n v="0"/>
  </r>
  <r>
    <x v="11"/>
    <x v="23"/>
    <n v="15"/>
    <m/>
    <m/>
    <x v="6"/>
    <x v="8"/>
    <x v="248"/>
    <s v="POD-03"/>
    <x v="248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3"/>
    <n v="8.3333333333333339"/>
    <n v="1"/>
    <n v="0"/>
    <n v="0"/>
    <n v="0"/>
    <n v="0"/>
    <n v="0"/>
  </r>
  <r>
    <x v="11"/>
    <x v="23"/>
    <n v="15"/>
    <m/>
    <m/>
    <x v="6"/>
    <x v="8"/>
    <x v="249"/>
    <s v="POD-03"/>
    <x v="249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4"/>
    <n v="8.3333333333333339"/>
    <n v="1"/>
    <n v="0"/>
    <n v="0"/>
    <n v="0"/>
    <n v="0"/>
    <n v="0"/>
  </r>
  <r>
    <x v="11"/>
    <x v="23"/>
    <n v="15"/>
    <m/>
    <m/>
    <x v="6"/>
    <x v="8"/>
    <x v="250"/>
    <s v="POD-03"/>
    <x v="250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5"/>
    <n v="8.3333333333333339"/>
    <n v="1"/>
    <n v="0"/>
    <n v="0"/>
    <n v="0"/>
    <n v="0"/>
    <n v="0"/>
  </r>
  <r>
    <x v="11"/>
    <x v="23"/>
    <n v="15"/>
    <m/>
    <m/>
    <x v="6"/>
    <x v="8"/>
    <x v="251"/>
    <s v="POD-03"/>
    <x v="251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n v="10"/>
    <n v="5"/>
    <n v="5"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1-R2-06"/>
    <n v="8.3333333333333339"/>
    <n v="1"/>
    <n v="0"/>
    <n v="0"/>
    <n v="0"/>
    <n v="0"/>
    <n v="0"/>
  </r>
  <r>
    <x v="12"/>
    <x v="24"/>
    <n v="15"/>
    <m/>
    <m/>
    <x v="6"/>
    <x v="8"/>
    <x v="252"/>
    <s v="POD-04"/>
    <x v="252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1"/>
    <n v="8.3333333333333339"/>
    <n v="0"/>
    <n v="0"/>
    <n v="0"/>
    <n v="0"/>
    <n v="0"/>
    <n v="0"/>
  </r>
  <r>
    <x v="12"/>
    <x v="24"/>
    <n v="15"/>
    <m/>
    <m/>
    <x v="6"/>
    <x v="8"/>
    <x v="253"/>
    <s v="POD-04"/>
    <x v="253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2"/>
    <n v="8.3333333333333339"/>
    <n v="0"/>
    <n v="0"/>
    <n v="0"/>
    <n v="0"/>
    <n v="0"/>
    <n v="0"/>
  </r>
  <r>
    <x v="12"/>
    <x v="24"/>
    <n v="15"/>
    <m/>
    <m/>
    <x v="6"/>
    <x v="8"/>
    <x v="254"/>
    <s v="POD-04"/>
    <x v="254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3"/>
    <n v="8.3333333333333339"/>
    <n v="0"/>
    <n v="0"/>
    <n v="0"/>
    <n v="0"/>
    <n v="0"/>
    <n v="0"/>
  </r>
  <r>
    <x v="12"/>
    <x v="24"/>
    <n v="15"/>
    <m/>
    <m/>
    <x v="6"/>
    <x v="8"/>
    <x v="255"/>
    <s v="POD-04"/>
    <x v="255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4"/>
    <n v="8.3333333333333339"/>
    <n v="0"/>
    <n v="0"/>
    <n v="0"/>
    <n v="0"/>
    <n v="0"/>
    <n v="0"/>
  </r>
  <r>
    <x v="12"/>
    <x v="24"/>
    <n v="15"/>
    <m/>
    <m/>
    <x v="6"/>
    <x v="8"/>
    <x v="256"/>
    <s v="POD-04"/>
    <x v="256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5"/>
    <n v="8.3333333333333339"/>
    <n v="0"/>
    <n v="0"/>
    <n v="0"/>
    <n v="0"/>
    <n v="0"/>
    <n v="0"/>
  </r>
  <r>
    <x v="12"/>
    <x v="24"/>
    <n v="15"/>
    <m/>
    <m/>
    <x v="6"/>
    <x v="8"/>
    <x v="257"/>
    <s v="POD-04"/>
    <x v="257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1-06"/>
    <n v="8.3333333333333339"/>
    <n v="0"/>
    <n v="0"/>
    <n v="0"/>
    <n v="0"/>
    <n v="0"/>
    <n v="0"/>
  </r>
  <r>
    <x v="12"/>
    <x v="25"/>
    <n v="15"/>
    <m/>
    <m/>
    <x v="6"/>
    <x v="8"/>
    <x v="258"/>
    <s v="POD-04"/>
    <x v="258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1"/>
    <n v="8.3333333333333339"/>
    <n v="0"/>
    <n v="0"/>
    <n v="0"/>
    <n v="0"/>
    <n v="0"/>
    <n v="0"/>
  </r>
  <r>
    <x v="12"/>
    <x v="25"/>
    <n v="15"/>
    <m/>
    <m/>
    <x v="6"/>
    <x v="8"/>
    <x v="259"/>
    <s v="POD-04"/>
    <x v="259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2"/>
    <n v="8.3333333333333339"/>
    <n v="0"/>
    <n v="0"/>
    <n v="0"/>
    <n v="0"/>
    <n v="0"/>
    <n v="0"/>
  </r>
  <r>
    <x v="12"/>
    <x v="25"/>
    <n v="15"/>
    <m/>
    <m/>
    <x v="6"/>
    <x v="8"/>
    <x v="260"/>
    <s v="POD-04"/>
    <x v="260"/>
    <x v="216"/>
    <n v="15"/>
    <n v="7.5"/>
    <n v="7.5"/>
    <n v="18"/>
    <n v="0.5"/>
    <n v="0.5"/>
    <x v="10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3"/>
    <n v="8.3333333333333339"/>
    <n v="0"/>
    <n v="0"/>
    <n v="0"/>
    <n v="0"/>
    <n v="0"/>
    <n v="0"/>
  </r>
  <r>
    <x v="12"/>
    <x v="25"/>
    <n v="15"/>
    <m/>
    <m/>
    <x v="6"/>
    <x v="8"/>
    <x v="261"/>
    <s v="POD-04"/>
    <x v="261"/>
    <x v="216"/>
    <n v="15"/>
    <n v="7.5"/>
    <n v="7.5"/>
    <n v="18"/>
    <n v="0.5"/>
    <n v="0.5"/>
    <x v="11"/>
    <x v="10"/>
    <s v="RPDU-R1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4"/>
    <n v="8.3333333333333339"/>
    <n v="0"/>
    <n v="0"/>
    <n v="0"/>
    <n v="0"/>
    <n v="0"/>
    <n v="0"/>
  </r>
  <r>
    <x v="12"/>
    <x v="25"/>
    <n v="15"/>
    <m/>
    <m/>
    <x v="6"/>
    <x v="8"/>
    <x v="262"/>
    <s v="POD-04"/>
    <x v="262"/>
    <x v="216"/>
    <n v="15"/>
    <n v="7.5"/>
    <n v="7.5"/>
    <n v="18"/>
    <n v="0.5"/>
    <n v="0.5"/>
    <x v="12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5"/>
    <n v="8.3333333333333339"/>
    <n v="0"/>
    <n v="0"/>
    <n v="0"/>
    <n v="0"/>
    <n v="0"/>
    <n v="0"/>
  </r>
  <r>
    <x v="12"/>
    <x v="25"/>
    <n v="15"/>
    <m/>
    <m/>
    <x v="6"/>
    <x v="8"/>
    <x v="263"/>
    <s v="POD-04"/>
    <x v="263"/>
    <x v="216"/>
    <n v="15"/>
    <n v="7.5"/>
    <n v="7.5"/>
    <n v="18"/>
    <n v="0.5"/>
    <n v="0.5"/>
    <x v="13"/>
    <x v="10"/>
    <s v="RPDU-R2"/>
    <m/>
    <s v="UPS-01"/>
    <m/>
    <s v="BESS-01"/>
    <s v="SWGR-01"/>
    <s v="SWGR-02"/>
    <s v="UTIL-01"/>
    <s v="UTIL-02"/>
    <s v="GEN-01"/>
    <s v="GEN-02"/>
    <x v="4"/>
    <s v="BDL-R1R2"/>
    <s v="BDL-RPDU-R1R2"/>
    <s v="BDL-UPS-01"/>
    <m/>
    <m/>
    <m/>
    <n v="0"/>
    <n v="0"/>
    <n v="0"/>
    <n v="0"/>
    <n v="0"/>
    <n v="0"/>
    <m/>
    <n v="0"/>
    <n v="0"/>
    <m/>
    <m/>
    <m/>
    <m/>
    <m/>
    <m/>
    <m/>
    <m/>
    <m/>
    <m/>
    <m/>
    <m/>
    <m/>
    <m/>
    <m/>
    <m/>
    <m/>
    <m/>
    <m/>
    <m/>
    <s v="DTC-RACK-R2-Z2-R2-06"/>
    <n v="8.3333333333333339"/>
    <n v="0"/>
    <n v="0"/>
    <n v="0"/>
    <n v="0"/>
    <n v="0"/>
    <n v="0"/>
  </r>
  <r>
    <x v="13"/>
    <x v="26"/>
    <m/>
    <m/>
    <m/>
    <x v="7"/>
    <x v="9"/>
    <x v="264"/>
    <m/>
    <x v="264"/>
    <x v="216"/>
    <m/>
    <m/>
    <m/>
    <m/>
    <m/>
    <m/>
    <x v="14"/>
    <x v="10"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9DC09-5C27-7D4B-A352-77C1AE5034E7}" name="PivotTable18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1" firstHeaderRow="2" firstDataRow="2" firstDataCol="1"/>
  <pivotFields count="74">
    <pivotField compact="0" outline="0" showAll="0">
      <items count="15">
        <item x="9"/>
        <item x="10"/>
        <item x="11"/>
        <item x="12"/>
        <item x="0"/>
        <item x="1"/>
        <item x="2"/>
        <item x="3"/>
        <item x="4"/>
        <item x="5"/>
        <item x="6"/>
        <item x="7"/>
        <item x="8"/>
        <item x="13"/>
        <item t="default"/>
      </items>
    </pivotField>
    <pivotField compact="0" outline="0" showAll="0" defaultSubtotal="0">
      <items count="27">
        <item x="18"/>
        <item x="19"/>
        <item x="20"/>
        <item x="21"/>
        <item x="22"/>
        <item x="23"/>
        <item x="24"/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6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5"/>
        <item x="6"/>
        <item x="1"/>
        <item x="0"/>
        <item x="2"/>
        <item x="4"/>
        <item x="3"/>
        <item x="7"/>
        <item t="default"/>
      </items>
    </pivotField>
    <pivotField compact="0" outline="0" showAll="0">
      <items count="11">
        <item x="7"/>
        <item x="8"/>
        <item x="2"/>
        <item x="3"/>
        <item x="0"/>
        <item x="1"/>
        <item x="4"/>
        <item x="6"/>
        <item x="5"/>
        <item x="9"/>
        <item t="default"/>
      </items>
    </pivotField>
    <pivotField dataField="1" compact="0" outline="0" showAll="0" defaultSubtotal="0">
      <items count="265"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64"/>
      </items>
    </pivotField>
    <pivotField compact="0" outline="0" showAll="0"/>
    <pivotField compact="0" outline="0" showAll="0" defaultSubtotal="0">
      <items count="265"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64"/>
      </items>
    </pivotField>
    <pivotField compact="0" outline="0" showAll="0" defaultSubtotal="0">
      <items count="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5">
        <item x="10"/>
        <item x="11"/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4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4"/>
        <item x="0"/>
        <item x="1"/>
        <item x="3"/>
        <item x="2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ack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2-27T23:55:19.38" personId="{F1DE269E-0B60-F44F-A91B-C0D0D8A838D3}" id="{832E5BE8-A71F-6342-96F0-D0377B18502B}">
    <text>Design parameters</text>
  </threadedComment>
  <threadedComment ref="P1" dT="2026-02-27T23:55:31.04" personId="{F1DE269E-0B60-F44F-A91B-C0D0D8A838D3}" id="{C949C927-2087-474D-B397-104FAD62A562}">
    <text>Design parameters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2CAE-8551-E743-83E5-DC35C2F80418}">
  <dimension ref="A1:I235"/>
  <sheetViews>
    <sheetView zoomScale="130" zoomScaleNormal="130" workbookViewId="0">
      <pane ySplit="1" topLeftCell="A2" activePane="bottomLeft" state="frozen"/>
      <selection pane="bottomLeft" activeCell="E13" sqref="E13"/>
    </sheetView>
  </sheetViews>
  <sheetFormatPr baseColWidth="10" defaultRowHeight="16" x14ac:dyDescent="0.2"/>
  <cols>
    <col min="2" max="2" width="12.6640625" customWidth="1"/>
    <col min="3" max="3" width="15.1640625" customWidth="1"/>
    <col min="4" max="4" width="15.33203125" bestFit="1" customWidth="1"/>
    <col min="5" max="5" width="18.5" bestFit="1" customWidth="1"/>
    <col min="6" max="6" width="16.83203125" style="36" customWidth="1"/>
    <col min="8" max="8" width="16.83203125" bestFit="1" customWidth="1"/>
    <col min="9" max="9" width="13.5" bestFit="1" customWidth="1"/>
  </cols>
  <sheetData>
    <row r="1" spans="1:9" s="1" customForma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2</v>
      </c>
      <c r="F1" s="35" t="s">
        <v>13</v>
      </c>
      <c r="G1" s="1" t="s">
        <v>8</v>
      </c>
      <c r="H1" s="1" t="s">
        <v>9</v>
      </c>
      <c r="I1" s="1" t="s">
        <v>10</v>
      </c>
    </row>
    <row r="2" spans="1:9" x14ac:dyDescent="0.2">
      <c r="A2" t="s">
        <v>11</v>
      </c>
      <c r="B2" t="s">
        <v>12</v>
      </c>
      <c r="C2" t="s">
        <v>83</v>
      </c>
      <c r="D2" t="s">
        <v>84</v>
      </c>
      <c r="E2" t="s">
        <v>85</v>
      </c>
      <c r="F2" s="36" t="s">
        <v>14</v>
      </c>
    </row>
    <row r="3" spans="1:9" x14ac:dyDescent="0.2">
      <c r="A3" t="s">
        <v>11</v>
      </c>
      <c r="B3" t="s">
        <v>12</v>
      </c>
      <c r="C3" t="s">
        <v>83</v>
      </c>
      <c r="D3" t="s">
        <v>84</v>
      </c>
      <c r="E3" t="s">
        <v>86</v>
      </c>
      <c r="F3" s="36" t="s">
        <v>14</v>
      </c>
    </row>
    <row r="4" spans="1:9" x14ac:dyDescent="0.2">
      <c r="A4" t="s">
        <v>11</v>
      </c>
      <c r="B4" t="s">
        <v>12</v>
      </c>
      <c r="C4" t="s">
        <v>83</v>
      </c>
      <c r="D4" t="s">
        <v>84</v>
      </c>
      <c r="E4" t="s">
        <v>87</v>
      </c>
      <c r="F4" s="36" t="s">
        <v>14</v>
      </c>
    </row>
    <row r="5" spans="1:9" x14ac:dyDescent="0.2">
      <c r="A5" t="s">
        <v>11</v>
      </c>
      <c r="B5" t="s">
        <v>12</v>
      </c>
      <c r="C5" t="s">
        <v>83</v>
      </c>
      <c r="D5" t="s">
        <v>84</v>
      </c>
      <c r="E5" t="s">
        <v>88</v>
      </c>
      <c r="F5" s="36" t="s">
        <v>14</v>
      </c>
    </row>
    <row r="6" spans="1:9" x14ac:dyDescent="0.2">
      <c r="A6" t="s">
        <v>11</v>
      </c>
      <c r="B6" t="s">
        <v>12</v>
      </c>
      <c r="C6" t="s">
        <v>83</v>
      </c>
      <c r="D6" t="s">
        <v>84</v>
      </c>
      <c r="E6" t="s">
        <v>89</v>
      </c>
      <c r="F6" s="36" t="s">
        <v>14</v>
      </c>
    </row>
    <row r="7" spans="1:9" x14ac:dyDescent="0.2">
      <c r="A7" t="s">
        <v>11</v>
      </c>
      <c r="B7" t="s">
        <v>12</v>
      </c>
      <c r="C7" t="s">
        <v>83</v>
      </c>
      <c r="D7" t="s">
        <v>84</v>
      </c>
      <c r="E7" t="s">
        <v>90</v>
      </c>
      <c r="F7" s="36" t="s">
        <v>14</v>
      </c>
    </row>
    <row r="8" spans="1:9" x14ac:dyDescent="0.2">
      <c r="A8" t="s">
        <v>11</v>
      </c>
      <c r="B8" t="s">
        <v>12</v>
      </c>
      <c r="C8" t="s">
        <v>83</v>
      </c>
      <c r="D8" t="s">
        <v>84</v>
      </c>
      <c r="E8" t="s">
        <v>91</v>
      </c>
      <c r="F8" s="36" t="s">
        <v>14</v>
      </c>
    </row>
    <row r="9" spans="1:9" x14ac:dyDescent="0.2">
      <c r="A9" t="s">
        <v>11</v>
      </c>
      <c r="B9" t="s">
        <v>12</v>
      </c>
      <c r="C9" t="s">
        <v>83</v>
      </c>
      <c r="D9" t="s">
        <v>84</v>
      </c>
      <c r="E9" t="s">
        <v>92</v>
      </c>
      <c r="F9" s="36" t="s">
        <v>14</v>
      </c>
    </row>
    <row r="10" spans="1:9" x14ac:dyDescent="0.2">
      <c r="A10" t="s">
        <v>11</v>
      </c>
      <c r="B10" t="s">
        <v>12</v>
      </c>
      <c r="C10" t="s">
        <v>83</v>
      </c>
      <c r="D10" t="s">
        <v>84</v>
      </c>
      <c r="E10" t="s">
        <v>93</v>
      </c>
      <c r="F10" s="36" t="s">
        <v>14</v>
      </c>
    </row>
    <row r="11" spans="1:9" x14ac:dyDescent="0.2">
      <c r="A11" t="s">
        <v>11</v>
      </c>
      <c r="B11" t="s">
        <v>12</v>
      </c>
      <c r="C11" t="s">
        <v>83</v>
      </c>
      <c r="D11" t="s">
        <v>84</v>
      </c>
      <c r="E11" t="s">
        <v>94</v>
      </c>
      <c r="F11" s="36" t="s">
        <v>14</v>
      </c>
    </row>
    <row r="12" spans="1:9" x14ac:dyDescent="0.2">
      <c r="A12" t="s">
        <v>11</v>
      </c>
      <c r="B12" t="s">
        <v>12</v>
      </c>
      <c r="C12" t="s">
        <v>83</v>
      </c>
      <c r="D12" t="s">
        <v>84</v>
      </c>
      <c r="E12" t="s">
        <v>95</v>
      </c>
      <c r="F12" s="36" t="s">
        <v>14</v>
      </c>
    </row>
    <row r="13" spans="1:9" x14ac:dyDescent="0.2">
      <c r="A13" t="s">
        <v>11</v>
      </c>
      <c r="B13" t="s">
        <v>12</v>
      </c>
      <c r="C13" t="s">
        <v>83</v>
      </c>
      <c r="D13" t="s">
        <v>84</v>
      </c>
      <c r="E13" t="s">
        <v>96</v>
      </c>
      <c r="F13" s="36" t="s">
        <v>14</v>
      </c>
    </row>
    <row r="14" spans="1:9" x14ac:dyDescent="0.2">
      <c r="A14" t="s">
        <v>11</v>
      </c>
      <c r="B14" t="s">
        <v>12</v>
      </c>
      <c r="C14" t="s">
        <v>83</v>
      </c>
      <c r="D14" t="s">
        <v>97</v>
      </c>
      <c r="E14" t="s">
        <v>98</v>
      </c>
      <c r="F14" s="36" t="s">
        <v>14</v>
      </c>
    </row>
    <row r="15" spans="1:9" x14ac:dyDescent="0.2">
      <c r="A15" t="s">
        <v>11</v>
      </c>
      <c r="B15" t="s">
        <v>12</v>
      </c>
      <c r="C15" t="s">
        <v>83</v>
      </c>
      <c r="D15" t="s">
        <v>97</v>
      </c>
      <c r="E15" t="s">
        <v>99</v>
      </c>
      <c r="F15" s="36" t="s">
        <v>14</v>
      </c>
    </row>
    <row r="16" spans="1:9" x14ac:dyDescent="0.2">
      <c r="A16" t="s">
        <v>11</v>
      </c>
      <c r="B16" t="s">
        <v>12</v>
      </c>
      <c r="C16" t="s">
        <v>83</v>
      </c>
      <c r="D16" t="s">
        <v>97</v>
      </c>
      <c r="E16" t="s">
        <v>100</v>
      </c>
      <c r="F16" s="36" t="s">
        <v>14</v>
      </c>
    </row>
    <row r="17" spans="1:6" x14ac:dyDescent="0.2">
      <c r="A17" t="s">
        <v>11</v>
      </c>
      <c r="B17" t="s">
        <v>12</v>
      </c>
      <c r="C17" t="s">
        <v>83</v>
      </c>
      <c r="D17" t="s">
        <v>97</v>
      </c>
      <c r="E17" t="s">
        <v>101</v>
      </c>
      <c r="F17" s="36" t="s">
        <v>14</v>
      </c>
    </row>
    <row r="18" spans="1:6" x14ac:dyDescent="0.2">
      <c r="A18" t="s">
        <v>11</v>
      </c>
      <c r="B18" t="s">
        <v>12</v>
      </c>
      <c r="C18" t="s">
        <v>83</v>
      </c>
      <c r="D18" t="s">
        <v>97</v>
      </c>
      <c r="E18" t="s">
        <v>102</v>
      </c>
      <c r="F18" s="36" t="s">
        <v>14</v>
      </c>
    </row>
    <row r="19" spans="1:6" x14ac:dyDescent="0.2">
      <c r="A19" t="s">
        <v>11</v>
      </c>
      <c r="B19" t="s">
        <v>12</v>
      </c>
      <c r="C19" t="s">
        <v>83</v>
      </c>
      <c r="D19" t="s">
        <v>97</v>
      </c>
      <c r="E19" t="s">
        <v>103</v>
      </c>
      <c r="F19" s="36" t="s">
        <v>14</v>
      </c>
    </row>
    <row r="20" spans="1:6" x14ac:dyDescent="0.2">
      <c r="A20" t="s">
        <v>11</v>
      </c>
      <c r="B20" t="s">
        <v>12</v>
      </c>
      <c r="C20" t="s">
        <v>83</v>
      </c>
      <c r="D20" t="s">
        <v>97</v>
      </c>
      <c r="E20" t="s">
        <v>104</v>
      </c>
      <c r="F20" s="36" t="s">
        <v>14</v>
      </c>
    </row>
    <row r="21" spans="1:6" x14ac:dyDescent="0.2">
      <c r="A21" t="s">
        <v>11</v>
      </c>
      <c r="B21" t="s">
        <v>12</v>
      </c>
      <c r="C21" t="s">
        <v>83</v>
      </c>
      <c r="D21" t="s">
        <v>97</v>
      </c>
      <c r="E21" t="s">
        <v>105</v>
      </c>
      <c r="F21" s="36" t="s">
        <v>14</v>
      </c>
    </row>
    <row r="22" spans="1:6" x14ac:dyDescent="0.2">
      <c r="A22" t="s">
        <v>11</v>
      </c>
      <c r="B22" t="s">
        <v>12</v>
      </c>
      <c r="C22" t="s">
        <v>83</v>
      </c>
      <c r="D22" t="s">
        <v>97</v>
      </c>
      <c r="E22" t="s">
        <v>106</v>
      </c>
      <c r="F22" s="36" t="s">
        <v>14</v>
      </c>
    </row>
    <row r="23" spans="1:6" x14ac:dyDescent="0.2">
      <c r="A23" t="s">
        <v>11</v>
      </c>
      <c r="B23" t="s">
        <v>12</v>
      </c>
      <c r="C23" t="s">
        <v>83</v>
      </c>
      <c r="D23" t="s">
        <v>97</v>
      </c>
      <c r="E23" t="s">
        <v>107</v>
      </c>
      <c r="F23" s="36" t="s">
        <v>14</v>
      </c>
    </row>
    <row r="24" spans="1:6" x14ac:dyDescent="0.2">
      <c r="A24" t="s">
        <v>11</v>
      </c>
      <c r="B24" t="s">
        <v>12</v>
      </c>
      <c r="C24" t="s">
        <v>83</v>
      </c>
      <c r="D24" t="s">
        <v>97</v>
      </c>
      <c r="E24" t="s">
        <v>108</v>
      </c>
      <c r="F24" s="36" t="s">
        <v>14</v>
      </c>
    </row>
    <row r="25" spans="1:6" x14ac:dyDescent="0.2">
      <c r="A25" t="s">
        <v>11</v>
      </c>
      <c r="B25" t="s">
        <v>12</v>
      </c>
      <c r="C25" t="s">
        <v>83</v>
      </c>
      <c r="D25" t="s">
        <v>97</v>
      </c>
      <c r="E25" t="s">
        <v>109</v>
      </c>
      <c r="F25" s="36" t="s">
        <v>14</v>
      </c>
    </row>
    <row r="26" spans="1:6" x14ac:dyDescent="0.2">
      <c r="A26" t="s">
        <v>11</v>
      </c>
      <c r="B26" t="s">
        <v>12</v>
      </c>
      <c r="C26" t="s">
        <v>110</v>
      </c>
      <c r="D26" t="s">
        <v>111</v>
      </c>
      <c r="E26" t="s">
        <v>112</v>
      </c>
      <c r="F26" s="36" t="s">
        <v>14</v>
      </c>
    </row>
    <row r="27" spans="1:6" x14ac:dyDescent="0.2">
      <c r="A27" t="s">
        <v>11</v>
      </c>
      <c r="B27" t="s">
        <v>12</v>
      </c>
      <c r="C27" t="s">
        <v>110</v>
      </c>
      <c r="D27" t="s">
        <v>111</v>
      </c>
      <c r="E27" t="s">
        <v>113</v>
      </c>
      <c r="F27" s="36" t="s">
        <v>14</v>
      </c>
    </row>
    <row r="28" spans="1:6" x14ac:dyDescent="0.2">
      <c r="A28" t="s">
        <v>11</v>
      </c>
      <c r="B28" t="s">
        <v>12</v>
      </c>
      <c r="C28" t="s">
        <v>110</v>
      </c>
      <c r="D28" t="s">
        <v>111</v>
      </c>
      <c r="E28" t="s">
        <v>114</v>
      </c>
      <c r="F28" s="36" t="s">
        <v>14</v>
      </c>
    </row>
    <row r="29" spans="1:6" x14ac:dyDescent="0.2">
      <c r="A29" t="s">
        <v>11</v>
      </c>
      <c r="B29" t="s">
        <v>12</v>
      </c>
      <c r="C29" t="s">
        <v>110</v>
      </c>
      <c r="D29" t="s">
        <v>111</v>
      </c>
      <c r="E29" t="s">
        <v>115</v>
      </c>
      <c r="F29" s="36" t="s">
        <v>14</v>
      </c>
    </row>
    <row r="30" spans="1:6" x14ac:dyDescent="0.2">
      <c r="A30" t="s">
        <v>11</v>
      </c>
      <c r="B30" t="s">
        <v>12</v>
      </c>
      <c r="C30" t="s">
        <v>110</v>
      </c>
      <c r="D30" t="s">
        <v>111</v>
      </c>
      <c r="E30" t="s">
        <v>116</v>
      </c>
      <c r="F30" s="36" t="s">
        <v>14</v>
      </c>
    </row>
    <row r="31" spans="1:6" x14ac:dyDescent="0.2">
      <c r="A31" t="s">
        <v>11</v>
      </c>
      <c r="B31" t="s">
        <v>12</v>
      </c>
      <c r="C31" t="s">
        <v>110</v>
      </c>
      <c r="D31" t="s">
        <v>111</v>
      </c>
      <c r="E31" t="s">
        <v>117</v>
      </c>
      <c r="F31" s="36" t="s">
        <v>14</v>
      </c>
    </row>
    <row r="32" spans="1:6" x14ac:dyDescent="0.2">
      <c r="A32" t="s">
        <v>11</v>
      </c>
      <c r="B32" t="s">
        <v>12</v>
      </c>
      <c r="C32" t="s">
        <v>110</v>
      </c>
      <c r="D32" t="s">
        <v>111</v>
      </c>
      <c r="E32" t="s">
        <v>118</v>
      </c>
      <c r="F32" s="36" t="s">
        <v>14</v>
      </c>
    </row>
    <row r="33" spans="1:6" x14ac:dyDescent="0.2">
      <c r="A33" t="s">
        <v>11</v>
      </c>
      <c r="B33" t="s">
        <v>12</v>
      </c>
      <c r="C33" t="s">
        <v>110</v>
      </c>
      <c r="D33" t="s">
        <v>111</v>
      </c>
      <c r="E33" t="s">
        <v>119</v>
      </c>
      <c r="F33" s="36" t="s">
        <v>14</v>
      </c>
    </row>
    <row r="34" spans="1:6" x14ac:dyDescent="0.2">
      <c r="A34" t="s">
        <v>11</v>
      </c>
      <c r="B34" t="s">
        <v>12</v>
      </c>
      <c r="C34" t="s">
        <v>110</v>
      </c>
      <c r="D34" t="s">
        <v>111</v>
      </c>
      <c r="E34" t="s">
        <v>120</v>
      </c>
      <c r="F34" s="36" t="s">
        <v>14</v>
      </c>
    </row>
    <row r="35" spans="1:6" x14ac:dyDescent="0.2">
      <c r="A35" t="s">
        <v>11</v>
      </c>
      <c r="B35" t="s">
        <v>12</v>
      </c>
      <c r="C35" t="s">
        <v>110</v>
      </c>
      <c r="D35" t="s">
        <v>111</v>
      </c>
      <c r="E35" t="s">
        <v>121</v>
      </c>
      <c r="F35" s="36" t="s">
        <v>14</v>
      </c>
    </row>
    <row r="36" spans="1:6" x14ac:dyDescent="0.2">
      <c r="A36" t="s">
        <v>11</v>
      </c>
      <c r="B36" t="s">
        <v>12</v>
      </c>
      <c r="C36" t="s">
        <v>110</v>
      </c>
      <c r="D36" t="s">
        <v>111</v>
      </c>
      <c r="E36" t="s">
        <v>122</v>
      </c>
      <c r="F36" s="36" t="s">
        <v>14</v>
      </c>
    </row>
    <row r="37" spans="1:6" x14ac:dyDescent="0.2">
      <c r="A37" t="s">
        <v>11</v>
      </c>
      <c r="B37" t="s">
        <v>12</v>
      </c>
      <c r="C37" t="s">
        <v>110</v>
      </c>
      <c r="D37" t="s">
        <v>111</v>
      </c>
      <c r="E37" t="s">
        <v>123</v>
      </c>
      <c r="F37" s="36" t="s">
        <v>14</v>
      </c>
    </row>
    <row r="38" spans="1:6" x14ac:dyDescent="0.2">
      <c r="A38" t="s">
        <v>11</v>
      </c>
      <c r="B38" t="s">
        <v>12</v>
      </c>
      <c r="C38" t="s">
        <v>110</v>
      </c>
      <c r="D38" t="s">
        <v>124</v>
      </c>
      <c r="E38" t="s">
        <v>125</v>
      </c>
      <c r="F38" s="36" t="s">
        <v>14</v>
      </c>
    </row>
    <row r="39" spans="1:6" x14ac:dyDescent="0.2">
      <c r="A39" t="s">
        <v>11</v>
      </c>
      <c r="B39" t="s">
        <v>12</v>
      </c>
      <c r="C39" t="s">
        <v>110</v>
      </c>
      <c r="D39" t="s">
        <v>124</v>
      </c>
      <c r="E39" t="s">
        <v>126</v>
      </c>
      <c r="F39" s="36" t="s">
        <v>14</v>
      </c>
    </row>
    <row r="40" spans="1:6" x14ac:dyDescent="0.2">
      <c r="A40" t="s">
        <v>11</v>
      </c>
      <c r="B40" t="s">
        <v>12</v>
      </c>
      <c r="C40" t="s">
        <v>110</v>
      </c>
      <c r="D40" t="s">
        <v>124</v>
      </c>
      <c r="E40" t="s">
        <v>127</v>
      </c>
      <c r="F40" s="36" t="s">
        <v>14</v>
      </c>
    </row>
    <row r="41" spans="1:6" x14ac:dyDescent="0.2">
      <c r="A41" t="s">
        <v>11</v>
      </c>
      <c r="B41" t="s">
        <v>12</v>
      </c>
      <c r="C41" t="s">
        <v>110</v>
      </c>
      <c r="D41" t="s">
        <v>124</v>
      </c>
      <c r="E41" t="s">
        <v>128</v>
      </c>
      <c r="F41" s="36" t="s">
        <v>14</v>
      </c>
    </row>
    <row r="42" spans="1:6" x14ac:dyDescent="0.2">
      <c r="A42" t="s">
        <v>11</v>
      </c>
      <c r="B42" t="s">
        <v>12</v>
      </c>
      <c r="C42" t="s">
        <v>110</v>
      </c>
      <c r="D42" t="s">
        <v>124</v>
      </c>
      <c r="E42" t="s">
        <v>129</v>
      </c>
      <c r="F42" s="36" t="s">
        <v>14</v>
      </c>
    </row>
    <row r="43" spans="1:6" x14ac:dyDescent="0.2">
      <c r="A43" t="s">
        <v>11</v>
      </c>
      <c r="B43" t="s">
        <v>12</v>
      </c>
      <c r="C43" t="s">
        <v>110</v>
      </c>
      <c r="D43" t="s">
        <v>124</v>
      </c>
      <c r="E43" t="s">
        <v>130</v>
      </c>
      <c r="F43" s="36" t="s">
        <v>14</v>
      </c>
    </row>
    <row r="44" spans="1:6" x14ac:dyDescent="0.2">
      <c r="A44" t="s">
        <v>11</v>
      </c>
      <c r="B44" t="s">
        <v>12</v>
      </c>
      <c r="C44" t="s">
        <v>110</v>
      </c>
      <c r="D44" t="s">
        <v>124</v>
      </c>
      <c r="E44" t="s">
        <v>131</v>
      </c>
      <c r="F44" s="36" t="s">
        <v>14</v>
      </c>
    </row>
    <row r="45" spans="1:6" x14ac:dyDescent="0.2">
      <c r="A45" t="s">
        <v>11</v>
      </c>
      <c r="B45" t="s">
        <v>12</v>
      </c>
      <c r="C45" t="s">
        <v>110</v>
      </c>
      <c r="D45" t="s">
        <v>124</v>
      </c>
      <c r="E45" t="s">
        <v>132</v>
      </c>
      <c r="F45" s="36" t="s">
        <v>14</v>
      </c>
    </row>
    <row r="46" spans="1:6" x14ac:dyDescent="0.2">
      <c r="A46" t="s">
        <v>11</v>
      </c>
      <c r="B46" t="s">
        <v>12</v>
      </c>
      <c r="C46" t="s">
        <v>110</v>
      </c>
      <c r="D46" t="s">
        <v>124</v>
      </c>
      <c r="E46" t="s">
        <v>133</v>
      </c>
      <c r="F46" s="36" t="s">
        <v>14</v>
      </c>
    </row>
    <row r="47" spans="1:6" x14ac:dyDescent="0.2">
      <c r="A47" t="s">
        <v>11</v>
      </c>
      <c r="B47" t="s">
        <v>12</v>
      </c>
      <c r="C47" t="s">
        <v>110</v>
      </c>
      <c r="D47" t="s">
        <v>124</v>
      </c>
      <c r="E47" t="s">
        <v>134</v>
      </c>
      <c r="F47" s="36" t="s">
        <v>14</v>
      </c>
    </row>
    <row r="48" spans="1:6" x14ac:dyDescent="0.2">
      <c r="A48" t="s">
        <v>11</v>
      </c>
      <c r="B48" t="s">
        <v>12</v>
      </c>
      <c r="C48" t="s">
        <v>110</v>
      </c>
      <c r="D48" t="s">
        <v>124</v>
      </c>
      <c r="E48" t="s">
        <v>135</v>
      </c>
      <c r="F48" s="36" t="s">
        <v>14</v>
      </c>
    </row>
    <row r="49" spans="1:6" x14ac:dyDescent="0.2">
      <c r="A49" t="s">
        <v>11</v>
      </c>
      <c r="B49" t="s">
        <v>12</v>
      </c>
      <c r="C49" t="s">
        <v>110</v>
      </c>
      <c r="D49" t="s">
        <v>124</v>
      </c>
      <c r="E49" t="s">
        <v>136</v>
      </c>
      <c r="F49" s="36" t="s">
        <v>14</v>
      </c>
    </row>
    <row r="50" spans="1:6" x14ac:dyDescent="0.2">
      <c r="A50" t="s">
        <v>11</v>
      </c>
      <c r="B50" t="s">
        <v>12</v>
      </c>
      <c r="C50" t="s">
        <v>137</v>
      </c>
      <c r="D50" t="s">
        <v>138</v>
      </c>
      <c r="E50" t="s">
        <v>139</v>
      </c>
      <c r="F50" s="36" t="s">
        <v>14</v>
      </c>
    </row>
    <row r="51" spans="1:6" x14ac:dyDescent="0.2">
      <c r="A51" t="s">
        <v>11</v>
      </c>
      <c r="B51" t="s">
        <v>12</v>
      </c>
      <c r="C51" t="s">
        <v>137</v>
      </c>
      <c r="D51" t="s">
        <v>138</v>
      </c>
      <c r="E51" t="s">
        <v>140</v>
      </c>
      <c r="F51" s="36" t="s">
        <v>14</v>
      </c>
    </row>
    <row r="52" spans="1:6" x14ac:dyDescent="0.2">
      <c r="A52" t="s">
        <v>11</v>
      </c>
      <c r="B52" t="s">
        <v>12</v>
      </c>
      <c r="C52" t="s">
        <v>137</v>
      </c>
      <c r="D52" t="s">
        <v>138</v>
      </c>
      <c r="E52" t="s">
        <v>141</v>
      </c>
      <c r="F52" s="36" t="s">
        <v>14</v>
      </c>
    </row>
    <row r="53" spans="1:6" x14ac:dyDescent="0.2">
      <c r="A53" t="s">
        <v>11</v>
      </c>
      <c r="B53" t="s">
        <v>12</v>
      </c>
      <c r="C53" t="s">
        <v>137</v>
      </c>
      <c r="D53" t="s">
        <v>138</v>
      </c>
      <c r="E53" t="s">
        <v>142</v>
      </c>
      <c r="F53" s="36" t="s">
        <v>14</v>
      </c>
    </row>
    <row r="54" spans="1:6" x14ac:dyDescent="0.2">
      <c r="A54" t="s">
        <v>11</v>
      </c>
      <c r="B54" t="s">
        <v>12</v>
      </c>
      <c r="C54" t="s">
        <v>137</v>
      </c>
      <c r="D54" t="s">
        <v>138</v>
      </c>
      <c r="E54" t="s">
        <v>143</v>
      </c>
      <c r="F54" s="36" t="s">
        <v>14</v>
      </c>
    </row>
    <row r="55" spans="1:6" x14ac:dyDescent="0.2">
      <c r="A55" t="s">
        <v>11</v>
      </c>
      <c r="B55" t="s">
        <v>12</v>
      </c>
      <c r="C55" t="s">
        <v>137</v>
      </c>
      <c r="D55" t="s">
        <v>138</v>
      </c>
      <c r="E55" t="s">
        <v>144</v>
      </c>
      <c r="F55" s="36" t="s">
        <v>14</v>
      </c>
    </row>
    <row r="56" spans="1:6" x14ac:dyDescent="0.2">
      <c r="A56" t="s">
        <v>11</v>
      </c>
      <c r="B56" t="s">
        <v>12</v>
      </c>
      <c r="C56" t="s">
        <v>137</v>
      </c>
      <c r="D56" t="s">
        <v>138</v>
      </c>
      <c r="E56" t="s">
        <v>145</v>
      </c>
      <c r="F56" s="36" t="s">
        <v>14</v>
      </c>
    </row>
    <row r="57" spans="1:6" x14ac:dyDescent="0.2">
      <c r="A57" t="s">
        <v>11</v>
      </c>
      <c r="B57" t="s">
        <v>12</v>
      </c>
      <c r="C57" t="s">
        <v>137</v>
      </c>
      <c r="D57" t="s">
        <v>138</v>
      </c>
      <c r="E57" t="s">
        <v>146</v>
      </c>
      <c r="F57" s="36" t="s">
        <v>14</v>
      </c>
    </row>
    <row r="58" spans="1:6" x14ac:dyDescent="0.2">
      <c r="A58" t="s">
        <v>11</v>
      </c>
      <c r="B58" t="s">
        <v>12</v>
      </c>
      <c r="C58" t="s">
        <v>137</v>
      </c>
      <c r="D58" t="s">
        <v>138</v>
      </c>
      <c r="E58" t="s">
        <v>147</v>
      </c>
      <c r="F58" s="36" t="s">
        <v>14</v>
      </c>
    </row>
    <row r="59" spans="1:6" x14ac:dyDescent="0.2">
      <c r="A59" t="s">
        <v>11</v>
      </c>
      <c r="B59" t="s">
        <v>12</v>
      </c>
      <c r="C59" t="s">
        <v>137</v>
      </c>
      <c r="D59" t="s">
        <v>138</v>
      </c>
      <c r="E59" t="s">
        <v>148</v>
      </c>
      <c r="F59" s="36" t="s">
        <v>14</v>
      </c>
    </row>
    <row r="60" spans="1:6" x14ac:dyDescent="0.2">
      <c r="A60" t="s">
        <v>11</v>
      </c>
      <c r="B60" t="s">
        <v>12</v>
      </c>
      <c r="C60" t="s">
        <v>137</v>
      </c>
      <c r="D60" t="s">
        <v>138</v>
      </c>
      <c r="E60" t="s">
        <v>149</v>
      </c>
      <c r="F60" s="36" t="s">
        <v>14</v>
      </c>
    </row>
    <row r="61" spans="1:6" x14ac:dyDescent="0.2">
      <c r="A61" t="s">
        <v>11</v>
      </c>
      <c r="B61" t="s">
        <v>12</v>
      </c>
      <c r="C61" t="s">
        <v>137</v>
      </c>
      <c r="D61" t="s">
        <v>138</v>
      </c>
      <c r="E61" t="s">
        <v>150</v>
      </c>
      <c r="F61" s="36" t="s">
        <v>14</v>
      </c>
    </row>
    <row r="62" spans="1:6" x14ac:dyDescent="0.2">
      <c r="A62" t="s">
        <v>11</v>
      </c>
      <c r="B62" t="s">
        <v>12</v>
      </c>
      <c r="C62" t="s">
        <v>137</v>
      </c>
      <c r="D62" t="s">
        <v>151</v>
      </c>
      <c r="E62" t="s">
        <v>152</v>
      </c>
      <c r="F62" s="36" t="s">
        <v>14</v>
      </c>
    </row>
    <row r="63" spans="1:6" x14ac:dyDescent="0.2">
      <c r="A63" t="s">
        <v>11</v>
      </c>
      <c r="B63" t="s">
        <v>12</v>
      </c>
      <c r="C63" t="s">
        <v>137</v>
      </c>
      <c r="D63" t="s">
        <v>151</v>
      </c>
      <c r="E63" t="s">
        <v>153</v>
      </c>
      <c r="F63" s="36" t="s">
        <v>14</v>
      </c>
    </row>
    <row r="64" spans="1:6" x14ac:dyDescent="0.2">
      <c r="A64" t="s">
        <v>11</v>
      </c>
      <c r="B64" t="s">
        <v>12</v>
      </c>
      <c r="C64" t="s">
        <v>137</v>
      </c>
      <c r="D64" t="s">
        <v>151</v>
      </c>
      <c r="E64" t="s">
        <v>154</v>
      </c>
      <c r="F64" s="36" t="s">
        <v>14</v>
      </c>
    </row>
    <row r="65" spans="1:6" x14ac:dyDescent="0.2">
      <c r="A65" t="s">
        <v>11</v>
      </c>
      <c r="B65" t="s">
        <v>12</v>
      </c>
      <c r="C65" t="s">
        <v>137</v>
      </c>
      <c r="D65" t="s">
        <v>151</v>
      </c>
      <c r="E65" t="s">
        <v>155</v>
      </c>
      <c r="F65" s="36" t="s">
        <v>14</v>
      </c>
    </row>
    <row r="66" spans="1:6" x14ac:dyDescent="0.2">
      <c r="A66" t="s">
        <v>11</v>
      </c>
      <c r="B66" t="s">
        <v>12</v>
      </c>
      <c r="C66" t="s">
        <v>137</v>
      </c>
      <c r="D66" t="s">
        <v>151</v>
      </c>
      <c r="E66" t="s">
        <v>156</v>
      </c>
      <c r="F66" s="36" t="s">
        <v>14</v>
      </c>
    </row>
    <row r="67" spans="1:6" x14ac:dyDescent="0.2">
      <c r="A67" t="s">
        <v>11</v>
      </c>
      <c r="B67" t="s">
        <v>12</v>
      </c>
      <c r="C67" t="s">
        <v>137</v>
      </c>
      <c r="D67" t="s">
        <v>151</v>
      </c>
      <c r="E67" t="s">
        <v>157</v>
      </c>
      <c r="F67" s="36" t="s">
        <v>14</v>
      </c>
    </row>
    <row r="68" spans="1:6" x14ac:dyDescent="0.2">
      <c r="A68" t="s">
        <v>11</v>
      </c>
      <c r="B68" t="s">
        <v>12</v>
      </c>
      <c r="C68" t="s">
        <v>137</v>
      </c>
      <c r="D68" t="s">
        <v>151</v>
      </c>
      <c r="E68" t="s">
        <v>158</v>
      </c>
      <c r="F68" s="36" t="s">
        <v>14</v>
      </c>
    </row>
    <row r="69" spans="1:6" x14ac:dyDescent="0.2">
      <c r="A69" t="s">
        <v>11</v>
      </c>
      <c r="B69" t="s">
        <v>12</v>
      </c>
      <c r="C69" t="s">
        <v>137</v>
      </c>
      <c r="D69" t="s">
        <v>151</v>
      </c>
      <c r="E69" t="s">
        <v>159</v>
      </c>
      <c r="F69" s="36" t="s">
        <v>14</v>
      </c>
    </row>
    <row r="70" spans="1:6" x14ac:dyDescent="0.2">
      <c r="A70" t="s">
        <v>11</v>
      </c>
      <c r="B70" t="s">
        <v>12</v>
      </c>
      <c r="C70" t="s">
        <v>137</v>
      </c>
      <c r="D70" t="s">
        <v>151</v>
      </c>
      <c r="E70" t="s">
        <v>160</v>
      </c>
      <c r="F70" s="36" t="s">
        <v>14</v>
      </c>
    </row>
    <row r="71" spans="1:6" x14ac:dyDescent="0.2">
      <c r="A71" t="s">
        <v>11</v>
      </c>
      <c r="B71" t="s">
        <v>12</v>
      </c>
      <c r="C71" t="s">
        <v>137</v>
      </c>
      <c r="D71" t="s">
        <v>151</v>
      </c>
      <c r="E71" t="s">
        <v>161</v>
      </c>
      <c r="F71" s="36" t="s">
        <v>14</v>
      </c>
    </row>
    <row r="72" spans="1:6" x14ac:dyDescent="0.2">
      <c r="A72" t="s">
        <v>11</v>
      </c>
      <c r="B72" t="s">
        <v>12</v>
      </c>
      <c r="C72" t="s">
        <v>137</v>
      </c>
      <c r="D72" t="s">
        <v>151</v>
      </c>
      <c r="E72" t="s">
        <v>162</v>
      </c>
      <c r="F72" s="36" t="s">
        <v>14</v>
      </c>
    </row>
    <row r="73" spans="1:6" x14ac:dyDescent="0.2">
      <c r="A73" t="s">
        <v>11</v>
      </c>
      <c r="B73" t="s">
        <v>12</v>
      </c>
      <c r="C73" t="s">
        <v>137</v>
      </c>
      <c r="D73" t="s">
        <v>151</v>
      </c>
      <c r="E73" t="s">
        <v>163</v>
      </c>
      <c r="F73" s="36" t="s">
        <v>14</v>
      </c>
    </row>
    <row r="74" spans="1:6" x14ac:dyDescent="0.2">
      <c r="A74" t="s">
        <v>11</v>
      </c>
      <c r="B74" t="s">
        <v>12</v>
      </c>
      <c r="C74" t="s">
        <v>164</v>
      </c>
      <c r="D74" s="2" t="s">
        <v>165</v>
      </c>
      <c r="E74" t="s">
        <v>166</v>
      </c>
      <c r="F74" s="36" t="s">
        <v>15</v>
      </c>
    </row>
    <row r="75" spans="1:6" x14ac:dyDescent="0.2">
      <c r="A75" t="s">
        <v>11</v>
      </c>
      <c r="B75" t="s">
        <v>12</v>
      </c>
      <c r="C75" t="s">
        <v>164</v>
      </c>
      <c r="D75" s="2" t="s">
        <v>165</v>
      </c>
      <c r="E75" t="s">
        <v>167</v>
      </c>
      <c r="F75" s="36" t="s">
        <v>15</v>
      </c>
    </row>
    <row r="76" spans="1:6" x14ac:dyDescent="0.2">
      <c r="A76" t="s">
        <v>11</v>
      </c>
      <c r="B76" t="s">
        <v>12</v>
      </c>
      <c r="C76" t="s">
        <v>164</v>
      </c>
      <c r="D76" s="2" t="s">
        <v>165</v>
      </c>
      <c r="E76" t="s">
        <v>168</v>
      </c>
      <c r="F76" s="36" t="s">
        <v>15</v>
      </c>
    </row>
    <row r="77" spans="1:6" x14ac:dyDescent="0.2">
      <c r="A77" t="s">
        <v>11</v>
      </c>
      <c r="B77" t="s">
        <v>12</v>
      </c>
      <c r="C77" t="s">
        <v>164</v>
      </c>
      <c r="D77" s="2" t="s">
        <v>165</v>
      </c>
      <c r="E77" t="s">
        <v>169</v>
      </c>
      <c r="F77" s="36" t="s">
        <v>15</v>
      </c>
    </row>
    <row r="78" spans="1:6" x14ac:dyDescent="0.2">
      <c r="A78" t="s">
        <v>11</v>
      </c>
      <c r="B78" t="s">
        <v>12</v>
      </c>
      <c r="C78" t="s">
        <v>164</v>
      </c>
      <c r="D78" s="2" t="s">
        <v>165</v>
      </c>
      <c r="E78" t="s">
        <v>170</v>
      </c>
      <c r="F78" s="36" t="s">
        <v>15</v>
      </c>
    </row>
    <row r="79" spans="1:6" x14ac:dyDescent="0.2">
      <c r="A79" t="s">
        <v>11</v>
      </c>
      <c r="B79" t="s">
        <v>12</v>
      </c>
      <c r="C79" t="s">
        <v>164</v>
      </c>
      <c r="D79" s="2" t="s">
        <v>165</v>
      </c>
      <c r="E79" t="s">
        <v>171</v>
      </c>
      <c r="F79" s="36" t="s">
        <v>15</v>
      </c>
    </row>
    <row r="80" spans="1:6" x14ac:dyDescent="0.2">
      <c r="A80" t="s">
        <v>11</v>
      </c>
      <c r="B80" t="s">
        <v>12</v>
      </c>
      <c r="C80" t="s">
        <v>164</v>
      </c>
      <c r="D80" s="2" t="s">
        <v>165</v>
      </c>
      <c r="E80" t="s">
        <v>172</v>
      </c>
      <c r="F80" s="36" t="s">
        <v>15</v>
      </c>
    </row>
    <row r="81" spans="1:6" x14ac:dyDescent="0.2">
      <c r="A81" t="s">
        <v>11</v>
      </c>
      <c r="B81" t="s">
        <v>12</v>
      </c>
      <c r="C81" t="s">
        <v>164</v>
      </c>
      <c r="D81" s="2" t="s">
        <v>165</v>
      </c>
      <c r="E81" t="s">
        <v>173</v>
      </c>
      <c r="F81" s="36" t="s">
        <v>15</v>
      </c>
    </row>
    <row r="82" spans="1:6" x14ac:dyDescent="0.2">
      <c r="A82" t="s">
        <v>11</v>
      </c>
      <c r="B82" t="s">
        <v>12</v>
      </c>
      <c r="C82" t="s">
        <v>164</v>
      </c>
      <c r="D82" s="2" t="s">
        <v>165</v>
      </c>
      <c r="E82" t="s">
        <v>174</v>
      </c>
      <c r="F82" s="36" t="s">
        <v>15</v>
      </c>
    </row>
    <row r="83" spans="1:6" x14ac:dyDescent="0.2">
      <c r="A83" t="s">
        <v>11</v>
      </c>
      <c r="B83" t="s">
        <v>12</v>
      </c>
      <c r="C83" t="s">
        <v>164</v>
      </c>
      <c r="D83" s="2" t="s">
        <v>165</v>
      </c>
      <c r="E83" t="s">
        <v>175</v>
      </c>
      <c r="F83" s="36" t="s">
        <v>15</v>
      </c>
    </row>
    <row r="84" spans="1:6" x14ac:dyDescent="0.2">
      <c r="A84" t="s">
        <v>11</v>
      </c>
      <c r="B84" t="s">
        <v>12</v>
      </c>
      <c r="C84" t="s">
        <v>164</v>
      </c>
      <c r="D84" s="2" t="s">
        <v>165</v>
      </c>
      <c r="E84" t="s">
        <v>176</v>
      </c>
      <c r="F84" s="36" t="s">
        <v>15</v>
      </c>
    </row>
    <row r="85" spans="1:6" x14ac:dyDescent="0.2">
      <c r="A85" t="s">
        <v>11</v>
      </c>
      <c r="B85" t="s">
        <v>12</v>
      </c>
      <c r="C85" t="s">
        <v>164</v>
      </c>
      <c r="D85" s="2" t="s">
        <v>165</v>
      </c>
      <c r="E85" t="s">
        <v>177</v>
      </c>
      <c r="F85" s="36" t="s">
        <v>15</v>
      </c>
    </row>
    <row r="86" spans="1:6" x14ac:dyDescent="0.2">
      <c r="A86" t="s">
        <v>11</v>
      </c>
      <c r="B86" t="s">
        <v>12</v>
      </c>
      <c r="C86" t="s">
        <v>164</v>
      </c>
      <c r="D86" s="2" t="s">
        <v>178</v>
      </c>
      <c r="E86" t="s">
        <v>179</v>
      </c>
      <c r="F86" s="36" t="s">
        <v>15</v>
      </c>
    </row>
    <row r="87" spans="1:6" x14ac:dyDescent="0.2">
      <c r="A87" t="s">
        <v>11</v>
      </c>
      <c r="B87" t="s">
        <v>12</v>
      </c>
      <c r="C87" t="s">
        <v>164</v>
      </c>
      <c r="D87" s="2" t="s">
        <v>178</v>
      </c>
      <c r="E87" t="s">
        <v>180</v>
      </c>
      <c r="F87" s="36" t="s">
        <v>15</v>
      </c>
    </row>
    <row r="88" spans="1:6" x14ac:dyDescent="0.2">
      <c r="A88" t="s">
        <v>11</v>
      </c>
      <c r="B88" t="s">
        <v>12</v>
      </c>
      <c r="C88" t="s">
        <v>164</v>
      </c>
      <c r="D88" s="2" t="s">
        <v>178</v>
      </c>
      <c r="E88" t="s">
        <v>181</v>
      </c>
      <c r="F88" s="36" t="s">
        <v>15</v>
      </c>
    </row>
    <row r="89" spans="1:6" x14ac:dyDescent="0.2">
      <c r="A89" t="s">
        <v>11</v>
      </c>
      <c r="B89" t="s">
        <v>12</v>
      </c>
      <c r="C89" t="s">
        <v>164</v>
      </c>
      <c r="D89" s="2" t="s">
        <v>178</v>
      </c>
      <c r="E89" t="s">
        <v>182</v>
      </c>
      <c r="F89" s="36" t="s">
        <v>15</v>
      </c>
    </row>
    <row r="90" spans="1:6" x14ac:dyDescent="0.2">
      <c r="A90" t="s">
        <v>11</v>
      </c>
      <c r="B90" t="s">
        <v>12</v>
      </c>
      <c r="C90" t="s">
        <v>164</v>
      </c>
      <c r="D90" s="2" t="s">
        <v>178</v>
      </c>
      <c r="E90" t="s">
        <v>183</v>
      </c>
      <c r="F90" s="36" t="s">
        <v>15</v>
      </c>
    </row>
    <row r="91" spans="1:6" x14ac:dyDescent="0.2">
      <c r="A91" t="s">
        <v>11</v>
      </c>
      <c r="B91" t="s">
        <v>12</v>
      </c>
      <c r="C91" t="s">
        <v>164</v>
      </c>
      <c r="D91" s="2" t="s">
        <v>178</v>
      </c>
      <c r="E91" t="s">
        <v>184</v>
      </c>
      <c r="F91" s="36" t="s">
        <v>15</v>
      </c>
    </row>
    <row r="92" spans="1:6" x14ac:dyDescent="0.2">
      <c r="A92" t="s">
        <v>11</v>
      </c>
      <c r="B92" t="s">
        <v>12</v>
      </c>
      <c r="C92" t="s">
        <v>164</v>
      </c>
      <c r="D92" s="2" t="s">
        <v>178</v>
      </c>
      <c r="E92" t="s">
        <v>185</v>
      </c>
      <c r="F92" s="36" t="s">
        <v>15</v>
      </c>
    </row>
    <row r="93" spans="1:6" x14ac:dyDescent="0.2">
      <c r="A93" t="s">
        <v>11</v>
      </c>
      <c r="B93" t="s">
        <v>12</v>
      </c>
      <c r="C93" t="s">
        <v>164</v>
      </c>
      <c r="D93" s="2" t="s">
        <v>178</v>
      </c>
      <c r="E93" t="s">
        <v>186</v>
      </c>
      <c r="F93" s="36" t="s">
        <v>15</v>
      </c>
    </row>
    <row r="94" spans="1:6" x14ac:dyDescent="0.2">
      <c r="A94" t="s">
        <v>11</v>
      </c>
      <c r="B94" t="s">
        <v>12</v>
      </c>
      <c r="C94" t="s">
        <v>164</v>
      </c>
      <c r="D94" s="2" t="s">
        <v>178</v>
      </c>
      <c r="E94" t="s">
        <v>187</v>
      </c>
      <c r="F94" s="36" t="s">
        <v>15</v>
      </c>
    </row>
    <row r="95" spans="1:6" x14ac:dyDescent="0.2">
      <c r="A95" t="s">
        <v>11</v>
      </c>
      <c r="B95" t="s">
        <v>12</v>
      </c>
      <c r="C95" t="s">
        <v>164</v>
      </c>
      <c r="D95" s="2" t="s">
        <v>178</v>
      </c>
      <c r="E95" t="s">
        <v>188</v>
      </c>
      <c r="F95" s="36" t="s">
        <v>15</v>
      </c>
    </row>
    <row r="96" spans="1:6" x14ac:dyDescent="0.2">
      <c r="A96" t="s">
        <v>11</v>
      </c>
      <c r="B96" t="s">
        <v>12</v>
      </c>
      <c r="C96" t="s">
        <v>164</v>
      </c>
      <c r="D96" s="2" t="s">
        <v>178</v>
      </c>
      <c r="E96" t="s">
        <v>189</v>
      </c>
      <c r="F96" s="36" t="s">
        <v>15</v>
      </c>
    </row>
    <row r="97" spans="1:6" x14ac:dyDescent="0.2">
      <c r="A97" t="s">
        <v>11</v>
      </c>
      <c r="B97" t="s">
        <v>12</v>
      </c>
      <c r="C97" t="s">
        <v>164</v>
      </c>
      <c r="D97" s="2" t="s">
        <v>178</v>
      </c>
      <c r="E97" t="s">
        <v>190</v>
      </c>
      <c r="F97" s="36" t="s">
        <v>15</v>
      </c>
    </row>
    <row r="98" spans="1:6" x14ac:dyDescent="0.2">
      <c r="A98" t="s">
        <v>11</v>
      </c>
      <c r="B98" t="s">
        <v>12</v>
      </c>
      <c r="C98" t="s">
        <v>191</v>
      </c>
      <c r="D98" s="2" t="s">
        <v>192</v>
      </c>
      <c r="E98" t="s">
        <v>193</v>
      </c>
      <c r="F98" s="36" t="s">
        <v>15</v>
      </c>
    </row>
    <row r="99" spans="1:6" x14ac:dyDescent="0.2">
      <c r="A99" t="s">
        <v>11</v>
      </c>
      <c r="B99" t="s">
        <v>12</v>
      </c>
      <c r="C99" t="s">
        <v>191</v>
      </c>
      <c r="D99" s="2" t="s">
        <v>192</v>
      </c>
      <c r="E99" t="s">
        <v>194</v>
      </c>
      <c r="F99" s="36" t="s">
        <v>15</v>
      </c>
    </row>
    <row r="100" spans="1:6" x14ac:dyDescent="0.2">
      <c r="A100" t="s">
        <v>11</v>
      </c>
      <c r="B100" t="s">
        <v>12</v>
      </c>
      <c r="C100" t="s">
        <v>191</v>
      </c>
      <c r="D100" s="2" t="s">
        <v>192</v>
      </c>
      <c r="E100" t="s">
        <v>195</v>
      </c>
      <c r="F100" s="36" t="s">
        <v>15</v>
      </c>
    </row>
    <row r="101" spans="1:6" x14ac:dyDescent="0.2">
      <c r="A101" t="s">
        <v>11</v>
      </c>
      <c r="B101" t="s">
        <v>12</v>
      </c>
      <c r="C101" t="s">
        <v>191</v>
      </c>
      <c r="D101" s="2" t="s">
        <v>192</v>
      </c>
      <c r="E101" t="s">
        <v>196</v>
      </c>
      <c r="F101" s="36" t="s">
        <v>15</v>
      </c>
    </row>
    <row r="102" spans="1:6" x14ac:dyDescent="0.2">
      <c r="A102" t="s">
        <v>11</v>
      </c>
      <c r="B102" t="s">
        <v>12</v>
      </c>
      <c r="C102" t="s">
        <v>191</v>
      </c>
      <c r="D102" s="2" t="s">
        <v>192</v>
      </c>
      <c r="E102" t="s">
        <v>197</v>
      </c>
      <c r="F102" s="36" t="s">
        <v>15</v>
      </c>
    </row>
    <row r="103" spans="1:6" x14ac:dyDescent="0.2">
      <c r="A103" t="s">
        <v>11</v>
      </c>
      <c r="B103" t="s">
        <v>12</v>
      </c>
      <c r="C103" t="s">
        <v>191</v>
      </c>
      <c r="D103" s="2" t="s">
        <v>192</v>
      </c>
      <c r="E103" t="s">
        <v>198</v>
      </c>
      <c r="F103" s="36" t="s">
        <v>15</v>
      </c>
    </row>
    <row r="104" spans="1:6" x14ac:dyDescent="0.2">
      <c r="A104" t="s">
        <v>11</v>
      </c>
      <c r="B104" t="s">
        <v>12</v>
      </c>
      <c r="C104" t="s">
        <v>191</v>
      </c>
      <c r="D104" s="2" t="s">
        <v>192</v>
      </c>
      <c r="E104" t="s">
        <v>199</v>
      </c>
      <c r="F104" s="36" t="s">
        <v>15</v>
      </c>
    </row>
    <row r="105" spans="1:6" x14ac:dyDescent="0.2">
      <c r="A105" t="s">
        <v>11</v>
      </c>
      <c r="B105" t="s">
        <v>12</v>
      </c>
      <c r="C105" t="s">
        <v>191</v>
      </c>
      <c r="D105" s="2" t="s">
        <v>192</v>
      </c>
      <c r="E105" t="s">
        <v>200</v>
      </c>
      <c r="F105" s="36" t="s">
        <v>15</v>
      </c>
    </row>
    <row r="106" spans="1:6" x14ac:dyDescent="0.2">
      <c r="A106" t="s">
        <v>11</v>
      </c>
      <c r="B106" t="s">
        <v>12</v>
      </c>
      <c r="C106" t="s">
        <v>191</v>
      </c>
      <c r="D106" s="2" t="s">
        <v>192</v>
      </c>
      <c r="E106" t="s">
        <v>201</v>
      </c>
      <c r="F106" s="36" t="s">
        <v>15</v>
      </c>
    </row>
    <row r="107" spans="1:6" x14ac:dyDescent="0.2">
      <c r="A107" t="s">
        <v>11</v>
      </c>
      <c r="B107" t="s">
        <v>12</v>
      </c>
      <c r="C107" t="s">
        <v>191</v>
      </c>
      <c r="D107" s="2" t="s">
        <v>192</v>
      </c>
      <c r="E107" t="s">
        <v>202</v>
      </c>
      <c r="F107" s="36" t="s">
        <v>15</v>
      </c>
    </row>
    <row r="108" spans="1:6" x14ac:dyDescent="0.2">
      <c r="A108" t="s">
        <v>11</v>
      </c>
      <c r="B108" t="s">
        <v>12</v>
      </c>
      <c r="C108" t="s">
        <v>191</v>
      </c>
      <c r="D108" s="2" t="s">
        <v>192</v>
      </c>
      <c r="E108" t="s">
        <v>203</v>
      </c>
      <c r="F108" s="36" t="s">
        <v>15</v>
      </c>
    </row>
    <row r="109" spans="1:6" x14ac:dyDescent="0.2">
      <c r="A109" t="s">
        <v>11</v>
      </c>
      <c r="B109" t="s">
        <v>12</v>
      </c>
      <c r="C109" t="s">
        <v>191</v>
      </c>
      <c r="D109" s="2" t="s">
        <v>192</v>
      </c>
      <c r="E109" t="s">
        <v>204</v>
      </c>
      <c r="F109" s="36" t="s">
        <v>15</v>
      </c>
    </row>
    <row r="110" spans="1:6" x14ac:dyDescent="0.2">
      <c r="A110" t="s">
        <v>11</v>
      </c>
      <c r="B110" t="s">
        <v>12</v>
      </c>
      <c r="C110" t="s">
        <v>191</v>
      </c>
      <c r="D110" s="2" t="s">
        <v>205</v>
      </c>
      <c r="E110" t="s">
        <v>206</v>
      </c>
      <c r="F110" s="36" t="s">
        <v>15</v>
      </c>
    </row>
    <row r="111" spans="1:6" x14ac:dyDescent="0.2">
      <c r="A111" t="s">
        <v>11</v>
      </c>
      <c r="B111" t="s">
        <v>12</v>
      </c>
      <c r="C111" t="s">
        <v>191</v>
      </c>
      <c r="D111" s="2" t="s">
        <v>205</v>
      </c>
      <c r="E111" t="s">
        <v>207</v>
      </c>
      <c r="F111" s="36" t="s">
        <v>15</v>
      </c>
    </row>
    <row r="112" spans="1:6" x14ac:dyDescent="0.2">
      <c r="A112" t="s">
        <v>11</v>
      </c>
      <c r="B112" t="s">
        <v>12</v>
      </c>
      <c r="C112" t="s">
        <v>191</v>
      </c>
      <c r="D112" s="2" t="s">
        <v>205</v>
      </c>
      <c r="E112" t="s">
        <v>208</v>
      </c>
      <c r="F112" s="36" t="s">
        <v>15</v>
      </c>
    </row>
    <row r="113" spans="1:6" x14ac:dyDescent="0.2">
      <c r="A113" t="s">
        <v>11</v>
      </c>
      <c r="B113" t="s">
        <v>12</v>
      </c>
      <c r="C113" t="s">
        <v>191</v>
      </c>
      <c r="D113" s="2" t="s">
        <v>205</v>
      </c>
      <c r="E113" t="s">
        <v>209</v>
      </c>
      <c r="F113" s="36" t="s">
        <v>15</v>
      </c>
    </row>
    <row r="114" spans="1:6" x14ac:dyDescent="0.2">
      <c r="A114" t="s">
        <v>11</v>
      </c>
      <c r="B114" t="s">
        <v>12</v>
      </c>
      <c r="C114" t="s">
        <v>191</v>
      </c>
      <c r="D114" s="2" t="s">
        <v>205</v>
      </c>
      <c r="E114" t="s">
        <v>210</v>
      </c>
      <c r="F114" s="36" t="s">
        <v>15</v>
      </c>
    </row>
    <row r="115" spans="1:6" x14ac:dyDescent="0.2">
      <c r="A115" t="s">
        <v>11</v>
      </c>
      <c r="B115" t="s">
        <v>12</v>
      </c>
      <c r="C115" t="s">
        <v>191</v>
      </c>
      <c r="D115" s="2" t="s">
        <v>205</v>
      </c>
      <c r="E115" t="s">
        <v>211</v>
      </c>
      <c r="F115" s="36" t="s">
        <v>15</v>
      </c>
    </row>
    <row r="116" spans="1:6" x14ac:dyDescent="0.2">
      <c r="A116" t="s">
        <v>11</v>
      </c>
      <c r="B116" t="s">
        <v>12</v>
      </c>
      <c r="C116" t="s">
        <v>191</v>
      </c>
      <c r="D116" s="2" t="s">
        <v>205</v>
      </c>
      <c r="E116" t="s">
        <v>212</v>
      </c>
      <c r="F116" s="36" t="s">
        <v>15</v>
      </c>
    </row>
    <row r="117" spans="1:6" x14ac:dyDescent="0.2">
      <c r="A117" t="s">
        <v>11</v>
      </c>
      <c r="B117" t="s">
        <v>12</v>
      </c>
      <c r="C117" t="s">
        <v>191</v>
      </c>
      <c r="D117" s="2" t="s">
        <v>205</v>
      </c>
      <c r="E117" t="s">
        <v>213</v>
      </c>
      <c r="F117" s="36" t="s">
        <v>15</v>
      </c>
    </row>
    <row r="118" spans="1:6" x14ac:dyDescent="0.2">
      <c r="A118" t="s">
        <v>11</v>
      </c>
      <c r="B118" t="s">
        <v>12</v>
      </c>
      <c r="C118" t="s">
        <v>191</v>
      </c>
      <c r="D118" s="2" t="s">
        <v>205</v>
      </c>
      <c r="E118" t="s">
        <v>214</v>
      </c>
      <c r="F118" s="36" t="s">
        <v>15</v>
      </c>
    </row>
    <row r="119" spans="1:6" x14ac:dyDescent="0.2">
      <c r="A119" t="s">
        <v>11</v>
      </c>
      <c r="B119" t="s">
        <v>12</v>
      </c>
      <c r="C119" t="s">
        <v>191</v>
      </c>
      <c r="D119" s="2" t="s">
        <v>205</v>
      </c>
      <c r="E119" t="s">
        <v>215</v>
      </c>
      <c r="F119" s="36" t="s">
        <v>15</v>
      </c>
    </row>
    <row r="120" spans="1:6" x14ac:dyDescent="0.2">
      <c r="A120" t="s">
        <v>11</v>
      </c>
      <c r="B120" t="s">
        <v>12</v>
      </c>
      <c r="C120" t="s">
        <v>191</v>
      </c>
      <c r="D120" s="2" t="s">
        <v>205</v>
      </c>
      <c r="E120" t="s">
        <v>216</v>
      </c>
      <c r="F120" s="36" t="s">
        <v>15</v>
      </c>
    </row>
    <row r="121" spans="1:6" x14ac:dyDescent="0.2">
      <c r="A121" t="s">
        <v>11</v>
      </c>
      <c r="B121" t="s">
        <v>12</v>
      </c>
      <c r="C121" t="s">
        <v>191</v>
      </c>
      <c r="D121" s="2" t="s">
        <v>205</v>
      </c>
      <c r="E121" t="s">
        <v>217</v>
      </c>
      <c r="F121" s="36" t="s">
        <v>15</v>
      </c>
    </row>
    <row r="122" spans="1:6" x14ac:dyDescent="0.2">
      <c r="A122" t="s">
        <v>11</v>
      </c>
      <c r="B122" t="s">
        <v>12</v>
      </c>
      <c r="C122" t="s">
        <v>218</v>
      </c>
      <c r="D122" s="2" t="s">
        <v>219</v>
      </c>
      <c r="E122" t="s">
        <v>220</v>
      </c>
      <c r="F122" s="36" t="s">
        <v>15</v>
      </c>
    </row>
    <row r="123" spans="1:6" x14ac:dyDescent="0.2">
      <c r="A123" t="s">
        <v>11</v>
      </c>
      <c r="B123" t="s">
        <v>12</v>
      </c>
      <c r="C123" t="s">
        <v>218</v>
      </c>
      <c r="D123" s="2" t="s">
        <v>219</v>
      </c>
      <c r="E123" t="s">
        <v>221</v>
      </c>
      <c r="F123" s="36" t="s">
        <v>15</v>
      </c>
    </row>
    <row r="124" spans="1:6" x14ac:dyDescent="0.2">
      <c r="A124" t="s">
        <v>11</v>
      </c>
      <c r="B124" t="s">
        <v>12</v>
      </c>
      <c r="C124" t="s">
        <v>218</v>
      </c>
      <c r="D124" s="2" t="s">
        <v>219</v>
      </c>
      <c r="E124" t="s">
        <v>222</v>
      </c>
      <c r="F124" s="36" t="s">
        <v>15</v>
      </c>
    </row>
    <row r="125" spans="1:6" x14ac:dyDescent="0.2">
      <c r="A125" t="s">
        <v>11</v>
      </c>
      <c r="B125" t="s">
        <v>12</v>
      </c>
      <c r="C125" t="s">
        <v>218</v>
      </c>
      <c r="D125" s="2" t="s">
        <v>219</v>
      </c>
      <c r="E125" t="s">
        <v>223</v>
      </c>
      <c r="F125" s="36" t="s">
        <v>15</v>
      </c>
    </row>
    <row r="126" spans="1:6" x14ac:dyDescent="0.2">
      <c r="A126" t="s">
        <v>11</v>
      </c>
      <c r="B126" t="s">
        <v>12</v>
      </c>
      <c r="C126" t="s">
        <v>218</v>
      </c>
      <c r="D126" s="2" t="s">
        <v>219</v>
      </c>
      <c r="E126" t="s">
        <v>224</v>
      </c>
      <c r="F126" s="36" t="s">
        <v>15</v>
      </c>
    </row>
    <row r="127" spans="1:6" x14ac:dyDescent="0.2">
      <c r="A127" t="s">
        <v>11</v>
      </c>
      <c r="B127" t="s">
        <v>12</v>
      </c>
      <c r="C127" t="s">
        <v>218</v>
      </c>
      <c r="D127" s="2" t="s">
        <v>219</v>
      </c>
      <c r="E127" t="s">
        <v>225</v>
      </c>
      <c r="F127" s="36" t="s">
        <v>15</v>
      </c>
    </row>
    <row r="128" spans="1:6" x14ac:dyDescent="0.2">
      <c r="A128" t="s">
        <v>11</v>
      </c>
      <c r="B128" t="s">
        <v>12</v>
      </c>
      <c r="C128" t="s">
        <v>218</v>
      </c>
      <c r="D128" s="2" t="s">
        <v>219</v>
      </c>
      <c r="E128" t="s">
        <v>226</v>
      </c>
      <c r="F128" s="36" t="s">
        <v>15</v>
      </c>
    </row>
    <row r="129" spans="1:6" x14ac:dyDescent="0.2">
      <c r="A129" t="s">
        <v>11</v>
      </c>
      <c r="B129" t="s">
        <v>12</v>
      </c>
      <c r="C129" t="s">
        <v>218</v>
      </c>
      <c r="D129" s="2" t="s">
        <v>219</v>
      </c>
      <c r="E129" t="s">
        <v>227</v>
      </c>
      <c r="F129" s="36" t="s">
        <v>15</v>
      </c>
    </row>
    <row r="130" spans="1:6" x14ac:dyDescent="0.2">
      <c r="A130" t="s">
        <v>11</v>
      </c>
      <c r="B130" t="s">
        <v>12</v>
      </c>
      <c r="C130" t="s">
        <v>218</v>
      </c>
      <c r="D130" s="2" t="s">
        <v>219</v>
      </c>
      <c r="E130" t="s">
        <v>228</v>
      </c>
      <c r="F130" s="36" t="s">
        <v>15</v>
      </c>
    </row>
    <row r="131" spans="1:6" x14ac:dyDescent="0.2">
      <c r="A131" t="s">
        <v>11</v>
      </c>
      <c r="B131" t="s">
        <v>12</v>
      </c>
      <c r="C131" t="s">
        <v>218</v>
      </c>
      <c r="D131" s="2" t="s">
        <v>219</v>
      </c>
      <c r="E131" t="s">
        <v>229</v>
      </c>
      <c r="F131" s="36" t="s">
        <v>15</v>
      </c>
    </row>
    <row r="132" spans="1:6" x14ac:dyDescent="0.2">
      <c r="A132" t="s">
        <v>11</v>
      </c>
      <c r="B132" t="s">
        <v>12</v>
      </c>
      <c r="C132" t="s">
        <v>218</v>
      </c>
      <c r="D132" s="2" t="s">
        <v>219</v>
      </c>
      <c r="E132" t="s">
        <v>230</v>
      </c>
      <c r="F132" s="36" t="s">
        <v>15</v>
      </c>
    </row>
    <row r="133" spans="1:6" x14ac:dyDescent="0.2">
      <c r="A133" t="s">
        <v>11</v>
      </c>
      <c r="B133" t="s">
        <v>12</v>
      </c>
      <c r="C133" t="s">
        <v>218</v>
      </c>
      <c r="D133" s="2" t="s">
        <v>219</v>
      </c>
      <c r="E133" t="s">
        <v>231</v>
      </c>
      <c r="F133" s="36" t="s">
        <v>15</v>
      </c>
    </row>
    <row r="134" spans="1:6" x14ac:dyDescent="0.2">
      <c r="A134" t="s">
        <v>11</v>
      </c>
      <c r="B134" t="s">
        <v>12</v>
      </c>
      <c r="C134" t="s">
        <v>218</v>
      </c>
      <c r="D134" s="2" t="s">
        <v>232</v>
      </c>
      <c r="E134" t="s">
        <v>233</v>
      </c>
      <c r="F134" s="36" t="s">
        <v>15</v>
      </c>
    </row>
    <row r="135" spans="1:6" x14ac:dyDescent="0.2">
      <c r="A135" t="s">
        <v>11</v>
      </c>
      <c r="B135" t="s">
        <v>12</v>
      </c>
      <c r="C135" t="s">
        <v>218</v>
      </c>
      <c r="D135" s="2" t="s">
        <v>232</v>
      </c>
      <c r="E135" t="s">
        <v>234</v>
      </c>
      <c r="F135" s="36" t="s">
        <v>15</v>
      </c>
    </row>
    <row r="136" spans="1:6" x14ac:dyDescent="0.2">
      <c r="A136" t="s">
        <v>11</v>
      </c>
      <c r="B136" t="s">
        <v>12</v>
      </c>
      <c r="C136" t="s">
        <v>218</v>
      </c>
      <c r="D136" s="2" t="s">
        <v>232</v>
      </c>
      <c r="E136" t="s">
        <v>235</v>
      </c>
      <c r="F136" s="36" t="s">
        <v>15</v>
      </c>
    </row>
    <row r="137" spans="1:6" x14ac:dyDescent="0.2">
      <c r="A137" t="s">
        <v>11</v>
      </c>
      <c r="B137" t="s">
        <v>12</v>
      </c>
      <c r="C137" t="s">
        <v>218</v>
      </c>
      <c r="D137" s="2" t="s">
        <v>232</v>
      </c>
      <c r="E137" t="s">
        <v>236</v>
      </c>
      <c r="F137" s="36" t="s">
        <v>15</v>
      </c>
    </row>
    <row r="138" spans="1:6" x14ac:dyDescent="0.2">
      <c r="A138" t="s">
        <v>11</v>
      </c>
      <c r="B138" t="s">
        <v>12</v>
      </c>
      <c r="C138" t="s">
        <v>218</v>
      </c>
      <c r="D138" s="2" t="s">
        <v>232</v>
      </c>
      <c r="E138" t="s">
        <v>237</v>
      </c>
      <c r="F138" s="36" t="s">
        <v>15</v>
      </c>
    </row>
    <row r="139" spans="1:6" x14ac:dyDescent="0.2">
      <c r="A139" t="s">
        <v>11</v>
      </c>
      <c r="B139" t="s">
        <v>12</v>
      </c>
      <c r="C139" t="s">
        <v>218</v>
      </c>
      <c r="D139" s="2" t="s">
        <v>232</v>
      </c>
      <c r="E139" t="s">
        <v>238</v>
      </c>
      <c r="F139" s="36" t="s">
        <v>15</v>
      </c>
    </row>
    <row r="140" spans="1:6" x14ac:dyDescent="0.2">
      <c r="A140" t="s">
        <v>11</v>
      </c>
      <c r="B140" t="s">
        <v>12</v>
      </c>
      <c r="C140" t="s">
        <v>218</v>
      </c>
      <c r="D140" s="2" t="s">
        <v>232</v>
      </c>
      <c r="E140" t="s">
        <v>239</v>
      </c>
      <c r="F140" s="36" t="s">
        <v>15</v>
      </c>
    </row>
    <row r="141" spans="1:6" x14ac:dyDescent="0.2">
      <c r="A141" t="s">
        <v>11</v>
      </c>
      <c r="B141" t="s">
        <v>12</v>
      </c>
      <c r="C141" t="s">
        <v>218</v>
      </c>
      <c r="D141" s="2" t="s">
        <v>232</v>
      </c>
      <c r="E141" t="s">
        <v>240</v>
      </c>
      <c r="F141" s="36" t="s">
        <v>15</v>
      </c>
    </row>
    <row r="142" spans="1:6" x14ac:dyDescent="0.2">
      <c r="A142" t="s">
        <v>11</v>
      </c>
      <c r="B142" t="s">
        <v>12</v>
      </c>
      <c r="C142" t="s">
        <v>218</v>
      </c>
      <c r="D142" s="2" t="s">
        <v>232</v>
      </c>
      <c r="E142" t="s">
        <v>241</v>
      </c>
      <c r="F142" s="36" t="s">
        <v>15</v>
      </c>
    </row>
    <row r="143" spans="1:6" x14ac:dyDescent="0.2">
      <c r="A143" t="s">
        <v>11</v>
      </c>
      <c r="B143" t="s">
        <v>12</v>
      </c>
      <c r="C143" t="s">
        <v>218</v>
      </c>
      <c r="D143" s="2" t="s">
        <v>232</v>
      </c>
      <c r="E143" t="s">
        <v>242</v>
      </c>
      <c r="F143" s="36" t="s">
        <v>15</v>
      </c>
    </row>
    <row r="144" spans="1:6" x14ac:dyDescent="0.2">
      <c r="A144" t="s">
        <v>11</v>
      </c>
      <c r="B144" t="s">
        <v>12</v>
      </c>
      <c r="C144" t="s">
        <v>218</v>
      </c>
      <c r="D144" s="2" t="s">
        <v>232</v>
      </c>
      <c r="E144" t="s">
        <v>243</v>
      </c>
      <c r="F144" s="36" t="s">
        <v>15</v>
      </c>
    </row>
    <row r="145" spans="1:6" x14ac:dyDescent="0.2">
      <c r="A145" t="s">
        <v>11</v>
      </c>
      <c r="B145" t="s">
        <v>12</v>
      </c>
      <c r="C145" t="s">
        <v>218</v>
      </c>
      <c r="D145" s="2" t="s">
        <v>232</v>
      </c>
      <c r="E145" t="s">
        <v>244</v>
      </c>
      <c r="F145" s="36" t="s">
        <v>15</v>
      </c>
    </row>
    <row r="146" spans="1:6" x14ac:dyDescent="0.2">
      <c r="A146" t="s">
        <v>11</v>
      </c>
      <c r="B146" t="s">
        <v>36</v>
      </c>
      <c r="C146" t="s">
        <v>37</v>
      </c>
      <c r="D146" t="s">
        <v>38</v>
      </c>
      <c r="E146" t="s">
        <v>40</v>
      </c>
      <c r="F146" s="36" t="s">
        <v>39</v>
      </c>
    </row>
    <row r="147" spans="1:6" x14ac:dyDescent="0.2">
      <c r="A147" t="s">
        <v>11</v>
      </c>
      <c r="B147" t="s">
        <v>36</v>
      </c>
      <c r="C147" t="s">
        <v>37</v>
      </c>
      <c r="D147" t="s">
        <v>38</v>
      </c>
      <c r="E147" t="s">
        <v>41</v>
      </c>
      <c r="F147" s="36" t="s">
        <v>39</v>
      </c>
    </row>
    <row r="148" spans="1:6" x14ac:dyDescent="0.2">
      <c r="A148" t="s">
        <v>11</v>
      </c>
      <c r="B148" t="s">
        <v>36</v>
      </c>
      <c r="C148" t="s">
        <v>37</v>
      </c>
      <c r="D148" t="s">
        <v>38</v>
      </c>
      <c r="E148" t="s">
        <v>42</v>
      </c>
      <c r="F148" s="36" t="s">
        <v>39</v>
      </c>
    </row>
    <row r="149" spans="1:6" x14ac:dyDescent="0.2">
      <c r="A149" t="s">
        <v>11</v>
      </c>
      <c r="B149" t="s">
        <v>36</v>
      </c>
      <c r="C149" t="s">
        <v>37</v>
      </c>
      <c r="D149" t="s">
        <v>38</v>
      </c>
      <c r="E149" t="s">
        <v>43</v>
      </c>
      <c r="F149" s="36" t="s">
        <v>39</v>
      </c>
    </row>
    <row r="150" spans="1:6" x14ac:dyDescent="0.2">
      <c r="A150" t="s">
        <v>11</v>
      </c>
      <c r="B150" t="s">
        <v>36</v>
      </c>
      <c r="C150" t="s">
        <v>37</v>
      </c>
      <c r="D150" t="s">
        <v>38</v>
      </c>
      <c r="E150" t="s">
        <v>44</v>
      </c>
      <c r="F150" s="36" t="s">
        <v>39</v>
      </c>
    </row>
    <row r="151" spans="1:6" x14ac:dyDescent="0.2">
      <c r="A151" t="s">
        <v>11</v>
      </c>
      <c r="B151" t="s">
        <v>36</v>
      </c>
      <c r="C151" t="s">
        <v>37</v>
      </c>
      <c r="D151" t="s">
        <v>38</v>
      </c>
      <c r="E151" t="s">
        <v>45</v>
      </c>
      <c r="F151" s="36" t="s">
        <v>39</v>
      </c>
    </row>
    <row r="152" spans="1:6" x14ac:dyDescent="0.2">
      <c r="A152" t="s">
        <v>11</v>
      </c>
      <c r="B152" t="s">
        <v>36</v>
      </c>
      <c r="C152" t="s">
        <v>37</v>
      </c>
      <c r="D152" t="s">
        <v>38</v>
      </c>
      <c r="E152" t="s">
        <v>46</v>
      </c>
      <c r="F152" s="36" t="s">
        <v>39</v>
      </c>
    </row>
    <row r="153" spans="1:6" x14ac:dyDescent="0.2">
      <c r="A153" t="s">
        <v>11</v>
      </c>
      <c r="B153" t="s">
        <v>36</v>
      </c>
      <c r="C153" t="s">
        <v>37</v>
      </c>
      <c r="D153" t="s">
        <v>38</v>
      </c>
      <c r="E153" t="s">
        <v>47</v>
      </c>
      <c r="F153" s="36" t="s">
        <v>39</v>
      </c>
    </row>
    <row r="154" spans="1:6" x14ac:dyDescent="0.2">
      <c r="A154" t="s">
        <v>11</v>
      </c>
      <c r="B154" t="s">
        <v>36</v>
      </c>
      <c r="C154" t="s">
        <v>37</v>
      </c>
      <c r="D154" t="s">
        <v>38</v>
      </c>
      <c r="E154" t="s">
        <v>48</v>
      </c>
      <c r="F154" s="36" t="s">
        <v>39</v>
      </c>
    </row>
    <row r="155" spans="1:6" x14ac:dyDescent="0.2">
      <c r="A155" t="s">
        <v>11</v>
      </c>
      <c r="B155" t="s">
        <v>36</v>
      </c>
      <c r="C155" t="s">
        <v>37</v>
      </c>
      <c r="D155" t="s">
        <v>38</v>
      </c>
      <c r="E155" t="s">
        <v>49</v>
      </c>
      <c r="F155" s="36" t="s">
        <v>39</v>
      </c>
    </row>
    <row r="156" spans="1:6" x14ac:dyDescent="0.2">
      <c r="A156" t="s">
        <v>11</v>
      </c>
      <c r="B156" t="s">
        <v>36</v>
      </c>
      <c r="C156" t="s">
        <v>37</v>
      </c>
      <c r="D156" t="s">
        <v>38</v>
      </c>
      <c r="E156" t="s">
        <v>50</v>
      </c>
      <c r="F156" s="36" t="s">
        <v>39</v>
      </c>
    </row>
    <row r="157" spans="1:6" x14ac:dyDescent="0.2">
      <c r="A157" t="s">
        <v>11</v>
      </c>
      <c r="B157" t="s">
        <v>36</v>
      </c>
      <c r="C157" t="s">
        <v>37</v>
      </c>
      <c r="D157" t="s">
        <v>38</v>
      </c>
      <c r="E157" t="s">
        <v>51</v>
      </c>
      <c r="F157" s="36" t="s">
        <v>39</v>
      </c>
    </row>
    <row r="158" spans="1:6" x14ac:dyDescent="0.2">
      <c r="A158" t="s">
        <v>11</v>
      </c>
      <c r="B158" t="s">
        <v>36</v>
      </c>
      <c r="C158" t="s">
        <v>37</v>
      </c>
      <c r="D158" s="41" t="s">
        <v>302</v>
      </c>
      <c r="E158" t="s">
        <v>52</v>
      </c>
      <c r="F158" s="36" t="s">
        <v>39</v>
      </c>
    </row>
    <row r="159" spans="1:6" x14ac:dyDescent="0.2">
      <c r="A159" t="s">
        <v>11</v>
      </c>
      <c r="B159" t="s">
        <v>36</v>
      </c>
      <c r="C159" t="s">
        <v>37</v>
      </c>
      <c r="D159" s="41" t="s">
        <v>302</v>
      </c>
      <c r="E159" t="s">
        <v>53</v>
      </c>
      <c r="F159" s="36" t="s">
        <v>39</v>
      </c>
    </row>
    <row r="160" spans="1:6" x14ac:dyDescent="0.2">
      <c r="A160" t="s">
        <v>11</v>
      </c>
      <c r="B160" t="s">
        <v>36</v>
      </c>
      <c r="C160" t="s">
        <v>37</v>
      </c>
      <c r="D160" s="41" t="s">
        <v>302</v>
      </c>
      <c r="E160" t="s">
        <v>54</v>
      </c>
      <c r="F160" s="36" t="s">
        <v>39</v>
      </c>
    </row>
    <row r="161" spans="1:6" x14ac:dyDescent="0.2">
      <c r="A161" t="s">
        <v>11</v>
      </c>
      <c r="B161" t="s">
        <v>36</v>
      </c>
      <c r="C161" t="s">
        <v>37</v>
      </c>
      <c r="D161" s="41" t="s">
        <v>302</v>
      </c>
      <c r="E161" t="s">
        <v>55</v>
      </c>
      <c r="F161" s="36" t="s">
        <v>39</v>
      </c>
    </row>
    <row r="162" spans="1:6" x14ac:dyDescent="0.2">
      <c r="A162" t="s">
        <v>11</v>
      </c>
      <c r="B162" t="s">
        <v>36</v>
      </c>
      <c r="C162" t="s">
        <v>37</v>
      </c>
      <c r="D162" s="41" t="s">
        <v>302</v>
      </c>
      <c r="E162" t="s">
        <v>56</v>
      </c>
      <c r="F162" s="36" t="s">
        <v>39</v>
      </c>
    </row>
    <row r="163" spans="1:6" x14ac:dyDescent="0.2">
      <c r="A163" t="s">
        <v>11</v>
      </c>
      <c r="B163" t="s">
        <v>36</v>
      </c>
      <c r="C163" t="s">
        <v>37</v>
      </c>
      <c r="D163" s="41" t="s">
        <v>302</v>
      </c>
      <c r="E163" t="s">
        <v>57</v>
      </c>
      <c r="F163" s="36" t="s">
        <v>39</v>
      </c>
    </row>
    <row r="164" spans="1:6" x14ac:dyDescent="0.2">
      <c r="A164" t="s">
        <v>11</v>
      </c>
      <c r="B164" t="s">
        <v>36</v>
      </c>
      <c r="C164" t="s">
        <v>37</v>
      </c>
      <c r="D164" s="41" t="s">
        <v>302</v>
      </c>
      <c r="E164" t="s">
        <v>58</v>
      </c>
      <c r="F164" s="36" t="s">
        <v>39</v>
      </c>
    </row>
    <row r="165" spans="1:6" x14ac:dyDescent="0.2">
      <c r="A165" t="s">
        <v>11</v>
      </c>
      <c r="B165" t="s">
        <v>36</v>
      </c>
      <c r="C165" t="s">
        <v>37</v>
      </c>
      <c r="D165" s="41" t="s">
        <v>302</v>
      </c>
      <c r="E165" t="s">
        <v>59</v>
      </c>
      <c r="F165" s="36" t="s">
        <v>39</v>
      </c>
    </row>
    <row r="166" spans="1:6" x14ac:dyDescent="0.2">
      <c r="A166" t="s">
        <v>11</v>
      </c>
      <c r="B166" t="s">
        <v>36</v>
      </c>
      <c r="C166" t="s">
        <v>37</v>
      </c>
      <c r="D166" s="41" t="s">
        <v>302</v>
      </c>
      <c r="E166" t="s">
        <v>60</v>
      </c>
      <c r="F166" s="36" t="s">
        <v>39</v>
      </c>
    </row>
    <row r="167" spans="1:6" x14ac:dyDescent="0.2">
      <c r="A167" t="s">
        <v>11</v>
      </c>
      <c r="B167" t="s">
        <v>36</v>
      </c>
      <c r="C167" t="s">
        <v>37</v>
      </c>
      <c r="D167" s="41" t="s">
        <v>302</v>
      </c>
      <c r="E167" t="s">
        <v>61</v>
      </c>
      <c r="F167" s="36" t="s">
        <v>39</v>
      </c>
    </row>
    <row r="168" spans="1:6" x14ac:dyDescent="0.2">
      <c r="A168" t="s">
        <v>11</v>
      </c>
      <c r="B168" t="s">
        <v>36</v>
      </c>
      <c r="C168" t="s">
        <v>37</v>
      </c>
      <c r="D168" s="41" t="s">
        <v>302</v>
      </c>
      <c r="E168" t="s">
        <v>62</v>
      </c>
      <c r="F168" s="36" t="s">
        <v>39</v>
      </c>
    </row>
    <row r="169" spans="1:6" x14ac:dyDescent="0.2">
      <c r="A169" t="s">
        <v>11</v>
      </c>
      <c r="B169" t="s">
        <v>36</v>
      </c>
      <c r="C169" t="s">
        <v>37</v>
      </c>
      <c r="D169" s="41" t="s">
        <v>302</v>
      </c>
      <c r="E169" t="s">
        <v>63</v>
      </c>
      <c r="F169" s="36" t="s">
        <v>39</v>
      </c>
    </row>
    <row r="170" spans="1:6" x14ac:dyDescent="0.2">
      <c r="A170" s="42" t="s">
        <v>11</v>
      </c>
      <c r="B170" s="42" t="s">
        <v>301</v>
      </c>
      <c r="C170" s="42" t="s">
        <v>321</v>
      </c>
      <c r="D170" s="42" t="s">
        <v>379</v>
      </c>
      <c r="E170" s="42" t="s">
        <v>323</v>
      </c>
      <c r="F170" s="42" t="s">
        <v>303</v>
      </c>
    </row>
    <row r="171" spans="1:6" x14ac:dyDescent="0.2">
      <c r="A171" s="42" t="s">
        <v>11</v>
      </c>
      <c r="B171" s="42" t="s">
        <v>301</v>
      </c>
      <c r="C171" s="42" t="s">
        <v>321</v>
      </c>
      <c r="D171" s="42" t="s">
        <v>379</v>
      </c>
      <c r="E171" s="42" t="s">
        <v>324</v>
      </c>
      <c r="F171" s="42" t="s">
        <v>303</v>
      </c>
    </row>
    <row r="172" spans="1:6" x14ac:dyDescent="0.2">
      <c r="A172" s="42" t="s">
        <v>11</v>
      </c>
      <c r="B172" s="42" t="s">
        <v>301</v>
      </c>
      <c r="C172" s="42" t="s">
        <v>321</v>
      </c>
      <c r="D172" s="42" t="s">
        <v>379</v>
      </c>
      <c r="E172" s="42" t="s">
        <v>325</v>
      </c>
      <c r="F172" s="42" t="s">
        <v>303</v>
      </c>
    </row>
    <row r="173" spans="1:6" x14ac:dyDescent="0.2">
      <c r="A173" s="42" t="s">
        <v>11</v>
      </c>
      <c r="B173" s="42" t="s">
        <v>301</v>
      </c>
      <c r="C173" s="42" t="s">
        <v>321</v>
      </c>
      <c r="D173" s="42" t="s">
        <v>379</v>
      </c>
      <c r="E173" s="42" t="s">
        <v>326</v>
      </c>
      <c r="F173" s="42" t="s">
        <v>303</v>
      </c>
    </row>
    <row r="174" spans="1:6" x14ac:dyDescent="0.2">
      <c r="A174" s="42" t="s">
        <v>11</v>
      </c>
      <c r="B174" s="42" t="s">
        <v>301</v>
      </c>
      <c r="C174" s="42" t="s">
        <v>321</v>
      </c>
      <c r="D174" s="42" t="s">
        <v>379</v>
      </c>
      <c r="E174" s="42" t="s">
        <v>327</v>
      </c>
      <c r="F174" s="42" t="s">
        <v>303</v>
      </c>
    </row>
    <row r="175" spans="1:6" x14ac:dyDescent="0.2">
      <c r="A175" s="42" t="s">
        <v>11</v>
      </c>
      <c r="B175" s="42" t="s">
        <v>301</v>
      </c>
      <c r="C175" s="42" t="s">
        <v>321</v>
      </c>
      <c r="D175" s="42" t="s">
        <v>379</v>
      </c>
      <c r="E175" s="42" t="s">
        <v>328</v>
      </c>
      <c r="F175" s="42" t="s">
        <v>303</v>
      </c>
    </row>
    <row r="176" spans="1:6" x14ac:dyDescent="0.2">
      <c r="A176" s="42" t="s">
        <v>11</v>
      </c>
      <c r="B176" s="42" t="s">
        <v>301</v>
      </c>
      <c r="C176" s="42" t="s">
        <v>321</v>
      </c>
      <c r="D176" s="42" t="s">
        <v>379</v>
      </c>
      <c r="E176" s="42" t="s">
        <v>329</v>
      </c>
      <c r="F176" s="42" t="s">
        <v>303</v>
      </c>
    </row>
    <row r="177" spans="1:6" x14ac:dyDescent="0.2">
      <c r="A177" s="42" t="s">
        <v>11</v>
      </c>
      <c r="B177" s="42" t="s">
        <v>301</v>
      </c>
      <c r="C177" s="42" t="s">
        <v>321</v>
      </c>
      <c r="D177" s="42" t="s">
        <v>379</v>
      </c>
      <c r="E177" s="42" t="s">
        <v>330</v>
      </c>
      <c r="F177" s="42" t="s">
        <v>303</v>
      </c>
    </row>
    <row r="178" spans="1:6" x14ac:dyDescent="0.2">
      <c r="A178" s="42" t="s">
        <v>11</v>
      </c>
      <c r="B178" s="42" t="s">
        <v>301</v>
      </c>
      <c r="C178" s="42" t="s">
        <v>321</v>
      </c>
      <c r="D178" s="42" t="s">
        <v>379</v>
      </c>
      <c r="E178" s="42" t="s">
        <v>331</v>
      </c>
      <c r="F178" s="42" t="s">
        <v>303</v>
      </c>
    </row>
    <row r="179" spans="1:6" x14ac:dyDescent="0.2">
      <c r="A179" s="42" t="s">
        <v>11</v>
      </c>
      <c r="B179" s="42" t="s">
        <v>301</v>
      </c>
      <c r="C179" s="42" t="s">
        <v>321</v>
      </c>
      <c r="D179" s="42" t="s">
        <v>379</v>
      </c>
      <c r="E179" s="42" t="s">
        <v>332</v>
      </c>
      <c r="F179" s="42" t="s">
        <v>303</v>
      </c>
    </row>
    <row r="180" spans="1:6" x14ac:dyDescent="0.2">
      <c r="A180" s="42" t="s">
        <v>11</v>
      </c>
      <c r="B180" s="42" t="s">
        <v>301</v>
      </c>
      <c r="C180" s="42" t="s">
        <v>321</v>
      </c>
      <c r="D180" s="42" t="s">
        <v>379</v>
      </c>
      <c r="E180" s="42" t="s">
        <v>333</v>
      </c>
      <c r="F180" s="42" t="s">
        <v>303</v>
      </c>
    </row>
    <row r="181" spans="1:6" x14ac:dyDescent="0.2">
      <c r="A181" s="42" t="s">
        <v>11</v>
      </c>
      <c r="B181" s="42" t="s">
        <v>301</v>
      </c>
      <c r="C181" s="42" t="s">
        <v>321</v>
      </c>
      <c r="D181" s="42" t="s">
        <v>379</v>
      </c>
      <c r="E181" s="42" t="s">
        <v>334</v>
      </c>
      <c r="F181" s="42" t="s">
        <v>303</v>
      </c>
    </row>
    <row r="182" spans="1:6" x14ac:dyDescent="0.2">
      <c r="A182" s="42" t="s">
        <v>11</v>
      </c>
      <c r="B182" s="42" t="s">
        <v>301</v>
      </c>
      <c r="C182" s="42" t="s">
        <v>321</v>
      </c>
      <c r="D182" s="42" t="s">
        <v>380</v>
      </c>
      <c r="E182" s="42" t="s">
        <v>335</v>
      </c>
      <c r="F182" s="42" t="s">
        <v>303</v>
      </c>
    </row>
    <row r="183" spans="1:6" x14ac:dyDescent="0.2">
      <c r="A183" s="42" t="s">
        <v>11</v>
      </c>
      <c r="B183" s="42" t="s">
        <v>301</v>
      </c>
      <c r="C183" s="42" t="s">
        <v>321</v>
      </c>
      <c r="D183" s="42" t="s">
        <v>380</v>
      </c>
      <c r="E183" s="42" t="s">
        <v>336</v>
      </c>
      <c r="F183" s="42" t="s">
        <v>303</v>
      </c>
    </row>
    <row r="184" spans="1:6" x14ac:dyDescent="0.2">
      <c r="A184" s="42" t="s">
        <v>11</v>
      </c>
      <c r="B184" s="42" t="s">
        <v>301</v>
      </c>
      <c r="C184" s="42" t="s">
        <v>321</v>
      </c>
      <c r="D184" s="42" t="s">
        <v>380</v>
      </c>
      <c r="E184" s="42" t="s">
        <v>337</v>
      </c>
      <c r="F184" s="42" t="s">
        <v>303</v>
      </c>
    </row>
    <row r="185" spans="1:6" x14ac:dyDescent="0.2">
      <c r="A185" s="42" t="s">
        <v>11</v>
      </c>
      <c r="B185" s="42" t="s">
        <v>301</v>
      </c>
      <c r="C185" s="42" t="s">
        <v>321</v>
      </c>
      <c r="D185" s="42" t="s">
        <v>380</v>
      </c>
      <c r="E185" s="42" t="s">
        <v>338</v>
      </c>
      <c r="F185" s="42" t="s">
        <v>303</v>
      </c>
    </row>
    <row r="186" spans="1:6" x14ac:dyDescent="0.2">
      <c r="A186" s="42" t="s">
        <v>11</v>
      </c>
      <c r="B186" s="42" t="s">
        <v>301</v>
      </c>
      <c r="C186" s="42" t="s">
        <v>321</v>
      </c>
      <c r="D186" s="42" t="s">
        <v>380</v>
      </c>
      <c r="E186" s="42" t="s">
        <v>339</v>
      </c>
      <c r="F186" s="42" t="s">
        <v>303</v>
      </c>
    </row>
    <row r="187" spans="1:6" x14ac:dyDescent="0.2">
      <c r="A187" s="42" t="s">
        <v>11</v>
      </c>
      <c r="B187" s="42" t="s">
        <v>301</v>
      </c>
      <c r="C187" s="42" t="s">
        <v>321</v>
      </c>
      <c r="D187" s="42" t="s">
        <v>380</v>
      </c>
      <c r="E187" s="42" t="s">
        <v>340</v>
      </c>
      <c r="F187" s="42" t="s">
        <v>303</v>
      </c>
    </row>
    <row r="188" spans="1:6" x14ac:dyDescent="0.2">
      <c r="A188" s="42" t="s">
        <v>11</v>
      </c>
      <c r="B188" s="42" t="s">
        <v>301</v>
      </c>
      <c r="C188" s="42" t="s">
        <v>321</v>
      </c>
      <c r="D188" s="42" t="s">
        <v>380</v>
      </c>
      <c r="E188" s="42" t="s">
        <v>341</v>
      </c>
      <c r="F188" s="42" t="s">
        <v>303</v>
      </c>
    </row>
    <row r="189" spans="1:6" x14ac:dyDescent="0.2">
      <c r="A189" s="42" t="s">
        <v>11</v>
      </c>
      <c r="B189" s="42" t="s">
        <v>301</v>
      </c>
      <c r="C189" s="42" t="s">
        <v>321</v>
      </c>
      <c r="D189" s="42" t="s">
        <v>380</v>
      </c>
      <c r="E189" s="42" t="s">
        <v>342</v>
      </c>
      <c r="F189" s="42" t="s">
        <v>303</v>
      </c>
    </row>
    <row r="190" spans="1:6" x14ac:dyDescent="0.2">
      <c r="A190" s="42" t="s">
        <v>11</v>
      </c>
      <c r="B190" s="42" t="s">
        <v>301</v>
      </c>
      <c r="C190" s="42" t="s">
        <v>321</v>
      </c>
      <c r="D190" s="42" t="s">
        <v>380</v>
      </c>
      <c r="E190" s="42" t="s">
        <v>343</v>
      </c>
      <c r="F190" s="42" t="s">
        <v>303</v>
      </c>
    </row>
    <row r="191" spans="1:6" x14ac:dyDescent="0.2">
      <c r="A191" s="42" t="s">
        <v>11</v>
      </c>
      <c r="B191" s="42" t="s">
        <v>301</v>
      </c>
      <c r="C191" s="42" t="s">
        <v>321</v>
      </c>
      <c r="D191" s="42" t="s">
        <v>380</v>
      </c>
      <c r="E191" s="42" t="s">
        <v>344</v>
      </c>
      <c r="F191" s="42" t="s">
        <v>303</v>
      </c>
    </row>
    <row r="192" spans="1:6" x14ac:dyDescent="0.2">
      <c r="A192" s="42" t="s">
        <v>11</v>
      </c>
      <c r="B192" s="42" t="s">
        <v>301</v>
      </c>
      <c r="C192" s="42" t="s">
        <v>321</v>
      </c>
      <c r="D192" s="42" t="s">
        <v>380</v>
      </c>
      <c r="E192" s="42" t="s">
        <v>345</v>
      </c>
      <c r="F192" s="42" t="s">
        <v>303</v>
      </c>
    </row>
    <row r="193" spans="1:6" x14ac:dyDescent="0.2">
      <c r="A193" s="42" t="s">
        <v>11</v>
      </c>
      <c r="B193" s="42" t="s">
        <v>301</v>
      </c>
      <c r="C193" s="42" t="s">
        <v>321</v>
      </c>
      <c r="D193" s="42" t="s">
        <v>380</v>
      </c>
      <c r="E193" s="42" t="s">
        <v>346</v>
      </c>
      <c r="F193" s="42" t="s">
        <v>303</v>
      </c>
    </row>
    <row r="194" spans="1:6" x14ac:dyDescent="0.2">
      <c r="A194" s="42" t="s">
        <v>11</v>
      </c>
      <c r="B194" s="42" t="s">
        <v>301</v>
      </c>
      <c r="C194" s="42" t="s">
        <v>322</v>
      </c>
      <c r="D194" s="42" t="s">
        <v>381</v>
      </c>
      <c r="E194" s="42" t="s">
        <v>347</v>
      </c>
      <c r="F194" s="42" t="s">
        <v>304</v>
      </c>
    </row>
    <row r="195" spans="1:6" x14ac:dyDescent="0.2">
      <c r="A195" s="42" t="s">
        <v>11</v>
      </c>
      <c r="B195" s="42" t="s">
        <v>301</v>
      </c>
      <c r="C195" s="42" t="s">
        <v>322</v>
      </c>
      <c r="D195" s="42" t="s">
        <v>381</v>
      </c>
      <c r="E195" s="42" t="s">
        <v>348</v>
      </c>
      <c r="F195" s="42" t="s">
        <v>304</v>
      </c>
    </row>
    <row r="196" spans="1:6" x14ac:dyDescent="0.2">
      <c r="A196" s="42" t="s">
        <v>11</v>
      </c>
      <c r="B196" s="42" t="s">
        <v>301</v>
      </c>
      <c r="C196" s="42" t="s">
        <v>322</v>
      </c>
      <c r="D196" s="42" t="s">
        <v>381</v>
      </c>
      <c r="E196" s="42" t="s">
        <v>349</v>
      </c>
      <c r="F196" s="42" t="s">
        <v>304</v>
      </c>
    </row>
    <row r="197" spans="1:6" x14ac:dyDescent="0.2">
      <c r="A197" s="42" t="s">
        <v>11</v>
      </c>
      <c r="B197" s="42" t="s">
        <v>301</v>
      </c>
      <c r="C197" s="42" t="s">
        <v>322</v>
      </c>
      <c r="D197" s="42" t="s">
        <v>381</v>
      </c>
      <c r="E197" s="42" t="s">
        <v>350</v>
      </c>
      <c r="F197" s="42" t="s">
        <v>304</v>
      </c>
    </row>
    <row r="198" spans="1:6" x14ac:dyDescent="0.2">
      <c r="A198" s="42" t="s">
        <v>11</v>
      </c>
      <c r="B198" s="42" t="s">
        <v>301</v>
      </c>
      <c r="C198" s="42" t="s">
        <v>322</v>
      </c>
      <c r="D198" s="42" t="s">
        <v>381</v>
      </c>
      <c r="E198" s="42" t="s">
        <v>351</v>
      </c>
      <c r="F198" s="42" t="s">
        <v>304</v>
      </c>
    </row>
    <row r="199" spans="1:6" x14ac:dyDescent="0.2">
      <c r="A199" s="42" t="s">
        <v>11</v>
      </c>
      <c r="B199" s="42" t="s">
        <v>301</v>
      </c>
      <c r="C199" s="42" t="s">
        <v>322</v>
      </c>
      <c r="D199" s="42" t="s">
        <v>381</v>
      </c>
      <c r="E199" s="42" t="s">
        <v>352</v>
      </c>
      <c r="F199" s="42" t="s">
        <v>304</v>
      </c>
    </row>
    <row r="200" spans="1:6" x14ac:dyDescent="0.2">
      <c r="A200" s="42" t="s">
        <v>11</v>
      </c>
      <c r="B200" s="42" t="s">
        <v>301</v>
      </c>
      <c r="C200" s="42" t="s">
        <v>322</v>
      </c>
      <c r="D200" s="42" t="s">
        <v>381</v>
      </c>
      <c r="E200" s="42" t="s">
        <v>353</v>
      </c>
      <c r="F200" s="42" t="s">
        <v>304</v>
      </c>
    </row>
    <row r="201" spans="1:6" x14ac:dyDescent="0.2">
      <c r="A201" s="42" t="s">
        <v>11</v>
      </c>
      <c r="B201" s="42" t="s">
        <v>301</v>
      </c>
      <c r="C201" s="42" t="s">
        <v>322</v>
      </c>
      <c r="D201" s="42" t="s">
        <v>381</v>
      </c>
      <c r="E201" s="42" t="s">
        <v>354</v>
      </c>
      <c r="F201" s="42" t="s">
        <v>304</v>
      </c>
    </row>
    <row r="202" spans="1:6" x14ac:dyDescent="0.2">
      <c r="A202" s="42" t="s">
        <v>11</v>
      </c>
      <c r="B202" s="42" t="s">
        <v>301</v>
      </c>
      <c r="C202" s="42" t="s">
        <v>322</v>
      </c>
      <c r="D202" s="42" t="s">
        <v>381</v>
      </c>
      <c r="E202" s="42" t="s">
        <v>355</v>
      </c>
      <c r="F202" s="42" t="s">
        <v>304</v>
      </c>
    </row>
    <row r="203" spans="1:6" x14ac:dyDescent="0.2">
      <c r="A203" s="42" t="s">
        <v>11</v>
      </c>
      <c r="B203" s="42" t="s">
        <v>301</v>
      </c>
      <c r="C203" s="42" t="s">
        <v>322</v>
      </c>
      <c r="D203" s="42" t="s">
        <v>381</v>
      </c>
      <c r="E203" s="42" t="s">
        <v>356</v>
      </c>
      <c r="F203" s="42" t="s">
        <v>304</v>
      </c>
    </row>
    <row r="204" spans="1:6" x14ac:dyDescent="0.2">
      <c r="A204" s="42" t="s">
        <v>11</v>
      </c>
      <c r="B204" s="42" t="s">
        <v>301</v>
      </c>
      <c r="C204" s="42" t="s">
        <v>322</v>
      </c>
      <c r="D204" s="42" t="s">
        <v>381</v>
      </c>
      <c r="E204" s="42" t="s">
        <v>357</v>
      </c>
      <c r="F204" s="42" t="s">
        <v>304</v>
      </c>
    </row>
    <row r="205" spans="1:6" x14ac:dyDescent="0.2">
      <c r="A205" s="42" t="s">
        <v>11</v>
      </c>
      <c r="B205" s="42" t="s">
        <v>301</v>
      </c>
      <c r="C205" s="42" t="s">
        <v>322</v>
      </c>
      <c r="D205" s="42" t="s">
        <v>381</v>
      </c>
      <c r="E205" s="42" t="s">
        <v>358</v>
      </c>
      <c r="F205" s="42" t="s">
        <v>304</v>
      </c>
    </row>
    <row r="206" spans="1:6" x14ac:dyDescent="0.2">
      <c r="A206" s="42" t="s">
        <v>11</v>
      </c>
      <c r="B206" s="42" t="s">
        <v>301</v>
      </c>
      <c r="C206" s="42" t="s">
        <v>322</v>
      </c>
      <c r="D206" s="42" t="s">
        <v>382</v>
      </c>
      <c r="E206" s="42" t="s">
        <v>359</v>
      </c>
      <c r="F206" s="42" t="s">
        <v>304</v>
      </c>
    </row>
    <row r="207" spans="1:6" x14ac:dyDescent="0.2">
      <c r="A207" s="42" t="s">
        <v>11</v>
      </c>
      <c r="B207" s="42" t="s">
        <v>301</v>
      </c>
      <c r="C207" s="42" t="s">
        <v>322</v>
      </c>
      <c r="D207" s="42" t="s">
        <v>382</v>
      </c>
      <c r="E207" s="42" t="s">
        <v>360</v>
      </c>
      <c r="F207" s="42" t="s">
        <v>304</v>
      </c>
    </row>
    <row r="208" spans="1:6" x14ac:dyDescent="0.2">
      <c r="A208" s="42" t="s">
        <v>11</v>
      </c>
      <c r="B208" s="42" t="s">
        <v>301</v>
      </c>
      <c r="C208" s="42" t="s">
        <v>322</v>
      </c>
      <c r="D208" s="42" t="s">
        <v>382</v>
      </c>
      <c r="E208" s="42" t="s">
        <v>361</v>
      </c>
      <c r="F208" s="42" t="s">
        <v>304</v>
      </c>
    </row>
    <row r="209" spans="1:6" x14ac:dyDescent="0.2">
      <c r="A209" s="42" t="s">
        <v>11</v>
      </c>
      <c r="B209" s="42" t="s">
        <v>301</v>
      </c>
      <c r="C209" s="42" t="s">
        <v>322</v>
      </c>
      <c r="D209" s="42" t="s">
        <v>382</v>
      </c>
      <c r="E209" s="42" t="s">
        <v>362</v>
      </c>
      <c r="F209" s="42" t="s">
        <v>304</v>
      </c>
    </row>
    <row r="210" spans="1:6" x14ac:dyDescent="0.2">
      <c r="A210" s="42" t="s">
        <v>11</v>
      </c>
      <c r="B210" s="42" t="s">
        <v>301</v>
      </c>
      <c r="C210" s="42" t="s">
        <v>322</v>
      </c>
      <c r="D210" s="42" t="s">
        <v>382</v>
      </c>
      <c r="E210" s="42" t="s">
        <v>363</v>
      </c>
      <c r="F210" s="42" t="s">
        <v>304</v>
      </c>
    </row>
    <row r="211" spans="1:6" x14ac:dyDescent="0.2">
      <c r="A211" s="42" t="s">
        <v>11</v>
      </c>
      <c r="B211" s="42" t="s">
        <v>301</v>
      </c>
      <c r="C211" s="42" t="s">
        <v>322</v>
      </c>
      <c r="D211" s="42" t="s">
        <v>382</v>
      </c>
      <c r="E211" s="42" t="s">
        <v>364</v>
      </c>
      <c r="F211" s="42" t="s">
        <v>304</v>
      </c>
    </row>
    <row r="212" spans="1:6" x14ac:dyDescent="0.2">
      <c r="A212" s="42" t="s">
        <v>11</v>
      </c>
      <c r="B212" s="42" t="s">
        <v>301</v>
      </c>
      <c r="C212" s="42" t="s">
        <v>322</v>
      </c>
      <c r="D212" s="42" t="s">
        <v>382</v>
      </c>
      <c r="E212" s="42" t="s">
        <v>365</v>
      </c>
      <c r="F212" s="42" t="s">
        <v>304</v>
      </c>
    </row>
    <row r="213" spans="1:6" x14ac:dyDescent="0.2">
      <c r="A213" s="42" t="s">
        <v>11</v>
      </c>
      <c r="B213" s="42" t="s">
        <v>301</v>
      </c>
      <c r="C213" s="42" t="s">
        <v>322</v>
      </c>
      <c r="D213" s="42" t="s">
        <v>382</v>
      </c>
      <c r="E213" s="42" t="s">
        <v>366</v>
      </c>
      <c r="F213" s="42" t="s">
        <v>304</v>
      </c>
    </row>
    <row r="214" spans="1:6" x14ac:dyDescent="0.2">
      <c r="A214" s="42" t="s">
        <v>11</v>
      </c>
      <c r="B214" s="42" t="s">
        <v>301</v>
      </c>
      <c r="C214" s="42" t="s">
        <v>322</v>
      </c>
      <c r="D214" s="42" t="s">
        <v>382</v>
      </c>
      <c r="E214" s="42" t="s">
        <v>367</v>
      </c>
      <c r="F214" s="42" t="s">
        <v>304</v>
      </c>
    </row>
    <row r="215" spans="1:6" x14ac:dyDescent="0.2">
      <c r="A215" s="42" t="s">
        <v>11</v>
      </c>
      <c r="B215" s="42" t="s">
        <v>301</v>
      </c>
      <c r="C215" s="42" t="s">
        <v>322</v>
      </c>
      <c r="D215" s="42" t="s">
        <v>382</v>
      </c>
      <c r="E215" s="42" t="s">
        <v>368</v>
      </c>
      <c r="F215" s="42" t="s">
        <v>304</v>
      </c>
    </row>
    <row r="216" spans="1:6" x14ac:dyDescent="0.2">
      <c r="A216" s="42" t="s">
        <v>11</v>
      </c>
      <c r="B216" s="42" t="s">
        <v>301</v>
      </c>
      <c r="C216" s="42" t="s">
        <v>322</v>
      </c>
      <c r="D216" s="42" t="s">
        <v>382</v>
      </c>
      <c r="E216" s="42" t="s">
        <v>369</v>
      </c>
      <c r="F216" s="42" t="s">
        <v>304</v>
      </c>
    </row>
    <row r="217" spans="1:6" x14ac:dyDescent="0.2">
      <c r="A217" s="42" t="s">
        <v>11</v>
      </c>
      <c r="B217" s="42" t="s">
        <v>301</v>
      </c>
      <c r="C217" s="42" t="s">
        <v>322</v>
      </c>
      <c r="D217" s="42" t="s">
        <v>382</v>
      </c>
      <c r="E217" s="42" t="s">
        <v>370</v>
      </c>
      <c r="F217" s="42" t="s">
        <v>304</v>
      </c>
    </row>
    <row r="224" spans="1:6" x14ac:dyDescent="0.2">
      <c r="D224" s="2"/>
    </row>
    <row r="225" spans="1:6" x14ac:dyDescent="0.2">
      <c r="D225" s="2"/>
    </row>
    <row r="226" spans="1:6" x14ac:dyDescent="0.2">
      <c r="D226" s="2"/>
    </row>
    <row r="227" spans="1:6" x14ac:dyDescent="0.2">
      <c r="D227" s="2"/>
    </row>
    <row r="228" spans="1:6" x14ac:dyDescent="0.2">
      <c r="D228" s="2"/>
    </row>
    <row r="229" spans="1:6" x14ac:dyDescent="0.2">
      <c r="D229" s="2"/>
    </row>
    <row r="231" spans="1:6" x14ac:dyDescent="0.2">
      <c r="D231" s="41"/>
    </row>
    <row r="232" spans="1:6" x14ac:dyDescent="0.2">
      <c r="A232" s="42"/>
      <c r="B232" s="42"/>
      <c r="C232" s="42"/>
      <c r="D232" s="42"/>
      <c r="E232" s="42"/>
      <c r="F232" s="42"/>
    </row>
    <row r="233" spans="1:6" x14ac:dyDescent="0.2">
      <c r="A233" s="42"/>
      <c r="B233" s="42"/>
      <c r="C233" s="42"/>
      <c r="D233" s="42"/>
      <c r="E233" s="42"/>
      <c r="F233" s="42"/>
    </row>
    <row r="234" spans="1:6" x14ac:dyDescent="0.2">
      <c r="A234" s="42"/>
      <c r="B234" s="42"/>
      <c r="C234" s="42"/>
      <c r="D234" s="42"/>
      <c r="E234" s="42"/>
      <c r="F234" s="42"/>
    </row>
    <row r="235" spans="1:6" x14ac:dyDescent="0.2">
      <c r="A235" s="42"/>
      <c r="B235" s="42"/>
      <c r="C235" s="42"/>
      <c r="D235" s="42"/>
      <c r="E235" s="42"/>
      <c r="F235" s="42"/>
    </row>
  </sheetData>
  <sortState xmlns:xlrd2="http://schemas.microsoft.com/office/spreadsheetml/2017/richdata2" ref="A2:I236">
    <sortCondition ref="C2:C236"/>
    <sortCondition ref="D2:D236"/>
    <sortCondition ref="E2:E236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6E41-EAB8-2D4B-8526-1FDD48D1D556}">
  <dimension ref="A1:D37"/>
  <sheetViews>
    <sheetView zoomScale="120" zoomScaleNormal="120" workbookViewId="0">
      <selection activeCell="A2" sqref="A2:A15"/>
    </sheetView>
  </sheetViews>
  <sheetFormatPr baseColWidth="10" defaultRowHeight="16" x14ac:dyDescent="0.2"/>
  <cols>
    <col min="1" max="1" width="13" bestFit="1" customWidth="1"/>
    <col min="2" max="2" width="24.6640625" customWidth="1"/>
    <col min="3" max="3" width="13" bestFit="1" customWidth="1"/>
    <col min="4" max="4" width="24.6640625" customWidth="1"/>
  </cols>
  <sheetData>
    <row r="1" spans="1:4" ht="17" x14ac:dyDescent="0.2">
      <c r="A1" s="1" t="s">
        <v>5</v>
      </c>
      <c r="B1" s="17" t="s">
        <v>7</v>
      </c>
      <c r="C1" s="54"/>
      <c r="D1" s="55"/>
    </row>
    <row r="2" spans="1:4" ht="17" x14ac:dyDescent="0.2">
      <c r="A2" t="s">
        <v>83</v>
      </c>
      <c r="B2" s="18" t="s">
        <v>547</v>
      </c>
      <c r="D2" s="18"/>
    </row>
    <row r="3" spans="1:4" ht="17" x14ac:dyDescent="0.2">
      <c r="A3" t="s">
        <v>83</v>
      </c>
      <c r="B3" s="18" t="s">
        <v>548</v>
      </c>
      <c r="D3" s="18"/>
    </row>
    <row r="4" spans="1:4" ht="17" x14ac:dyDescent="0.2">
      <c r="A4" t="s">
        <v>110</v>
      </c>
      <c r="B4" s="18" t="s">
        <v>549</v>
      </c>
      <c r="D4" s="18"/>
    </row>
    <row r="5" spans="1:4" ht="17" x14ac:dyDescent="0.2">
      <c r="A5" t="s">
        <v>110</v>
      </c>
      <c r="B5" s="18" t="s">
        <v>559</v>
      </c>
      <c r="D5" s="18"/>
    </row>
    <row r="6" spans="1:4" ht="17" x14ac:dyDescent="0.2">
      <c r="A6" t="s">
        <v>137</v>
      </c>
      <c r="B6" s="18" t="s">
        <v>550</v>
      </c>
      <c r="D6" s="18"/>
    </row>
    <row r="7" spans="1:4" ht="17" x14ac:dyDescent="0.2">
      <c r="A7" t="s">
        <v>137</v>
      </c>
      <c r="B7" s="18" t="s">
        <v>551</v>
      </c>
      <c r="D7" s="18"/>
    </row>
    <row r="8" spans="1:4" ht="17" x14ac:dyDescent="0.2">
      <c r="A8" t="s">
        <v>137</v>
      </c>
      <c r="B8" s="18" t="s">
        <v>552</v>
      </c>
      <c r="D8" s="18"/>
    </row>
    <row r="9" spans="1:4" ht="17" x14ac:dyDescent="0.2">
      <c r="A9" t="s">
        <v>164</v>
      </c>
      <c r="B9" s="18" t="s">
        <v>560</v>
      </c>
      <c r="D9" s="18"/>
    </row>
    <row r="10" spans="1:4" ht="17" x14ac:dyDescent="0.2">
      <c r="A10" t="s">
        <v>164</v>
      </c>
      <c r="B10" s="18" t="s">
        <v>561</v>
      </c>
      <c r="D10" s="18"/>
    </row>
    <row r="11" spans="1:4" ht="17" x14ac:dyDescent="0.2">
      <c r="A11" t="s">
        <v>191</v>
      </c>
      <c r="B11" s="18" t="s">
        <v>568</v>
      </c>
      <c r="D11" s="18"/>
    </row>
    <row r="12" spans="1:4" ht="17" x14ac:dyDescent="0.2">
      <c r="A12" t="s">
        <v>191</v>
      </c>
      <c r="B12" s="18" t="s">
        <v>562</v>
      </c>
      <c r="D12" s="18"/>
    </row>
    <row r="13" spans="1:4" ht="17" x14ac:dyDescent="0.2">
      <c r="A13" t="s">
        <v>218</v>
      </c>
      <c r="B13" s="18" t="s">
        <v>569</v>
      </c>
      <c r="D13" s="18"/>
    </row>
    <row r="14" spans="1:4" ht="17" x14ac:dyDescent="0.2">
      <c r="A14" t="s">
        <v>218</v>
      </c>
      <c r="B14" s="18" t="s">
        <v>563</v>
      </c>
      <c r="D14" s="18"/>
    </row>
    <row r="15" spans="1:4" ht="17" x14ac:dyDescent="0.2">
      <c r="A15" t="s">
        <v>218</v>
      </c>
      <c r="B15" s="18" t="s">
        <v>564</v>
      </c>
      <c r="D15" s="18"/>
    </row>
    <row r="16" spans="1:4" ht="17" x14ac:dyDescent="0.2">
      <c r="A16" t="s">
        <v>37</v>
      </c>
      <c r="B16" s="18" t="s">
        <v>565</v>
      </c>
      <c r="D16" s="18"/>
    </row>
    <row r="17" spans="1:4" ht="17" x14ac:dyDescent="0.2">
      <c r="A17" t="s">
        <v>37</v>
      </c>
      <c r="B17" s="18" t="s">
        <v>566</v>
      </c>
      <c r="D17" s="18"/>
    </row>
    <row r="18" spans="1:4" ht="17" x14ac:dyDescent="0.2">
      <c r="A18" t="s">
        <v>37</v>
      </c>
      <c r="B18" s="18" t="s">
        <v>567</v>
      </c>
      <c r="D18" s="18"/>
    </row>
    <row r="19" spans="1:4" ht="17" x14ac:dyDescent="0.2">
      <c r="A19" s="42" t="s">
        <v>321</v>
      </c>
      <c r="B19" s="43" t="s">
        <v>553</v>
      </c>
      <c r="D19" s="18"/>
    </row>
    <row r="20" spans="1:4" ht="17" x14ac:dyDescent="0.2">
      <c r="A20" s="42" t="s">
        <v>321</v>
      </c>
      <c r="B20" s="43" t="s">
        <v>554</v>
      </c>
      <c r="D20" s="18"/>
    </row>
    <row r="21" spans="1:4" ht="17" x14ac:dyDescent="0.2">
      <c r="A21" s="42" t="s">
        <v>321</v>
      </c>
      <c r="B21" s="43" t="s">
        <v>555</v>
      </c>
      <c r="D21" s="18"/>
    </row>
    <row r="22" spans="1:4" ht="17" x14ac:dyDescent="0.2">
      <c r="A22" s="42" t="s">
        <v>322</v>
      </c>
      <c r="B22" s="43" t="s">
        <v>556</v>
      </c>
      <c r="D22" s="18"/>
    </row>
    <row r="23" spans="1:4" ht="17" x14ac:dyDescent="0.2">
      <c r="A23" s="42" t="s">
        <v>322</v>
      </c>
      <c r="B23" s="43" t="s">
        <v>557</v>
      </c>
      <c r="D23" s="18"/>
    </row>
    <row r="24" spans="1:4" ht="17" x14ac:dyDescent="0.2">
      <c r="A24" s="42" t="s">
        <v>322</v>
      </c>
      <c r="B24" s="43" t="s">
        <v>558</v>
      </c>
      <c r="D24" s="18"/>
    </row>
    <row r="25" spans="1:4" x14ac:dyDescent="0.2">
      <c r="B25" s="18"/>
      <c r="D25" s="18"/>
    </row>
    <row r="26" spans="1:4" x14ac:dyDescent="0.2">
      <c r="B26" s="18"/>
      <c r="D26" s="18"/>
    </row>
    <row r="27" spans="1:4" x14ac:dyDescent="0.2">
      <c r="B27" s="18"/>
      <c r="D27" s="18"/>
    </row>
    <row r="28" spans="1:4" x14ac:dyDescent="0.2">
      <c r="B28" s="18"/>
      <c r="D28" s="18"/>
    </row>
    <row r="29" spans="1:4" x14ac:dyDescent="0.2">
      <c r="B29" s="18"/>
      <c r="D29" s="18"/>
    </row>
    <row r="30" spans="1:4" x14ac:dyDescent="0.2">
      <c r="B30" s="18"/>
      <c r="C30" s="42"/>
      <c r="D30" s="43"/>
    </row>
    <row r="31" spans="1:4" x14ac:dyDescent="0.2">
      <c r="B31" s="18"/>
      <c r="C31" s="42"/>
      <c r="D31" s="43"/>
    </row>
    <row r="32" spans="1:4" x14ac:dyDescent="0.2">
      <c r="B32" s="18"/>
      <c r="C32" s="42"/>
      <c r="D32" s="43"/>
    </row>
    <row r="33" spans="1:4" x14ac:dyDescent="0.2">
      <c r="B33" s="18"/>
      <c r="C33" s="42"/>
      <c r="D33" s="43"/>
    </row>
    <row r="34" spans="1:4" x14ac:dyDescent="0.2">
      <c r="B34" s="18"/>
      <c r="C34" s="42"/>
      <c r="D34" s="43"/>
    </row>
    <row r="35" spans="1:4" x14ac:dyDescent="0.2">
      <c r="B35" s="18"/>
      <c r="C35" s="42"/>
      <c r="D35" s="43"/>
    </row>
    <row r="36" spans="1:4" x14ac:dyDescent="0.2">
      <c r="A36" s="42"/>
      <c r="B36" s="43"/>
      <c r="C36" s="42"/>
      <c r="D36" s="43"/>
    </row>
    <row r="37" spans="1:4" x14ac:dyDescent="0.2">
      <c r="A37" s="42"/>
      <c r="B37" s="43"/>
      <c r="C37" s="42"/>
      <c r="D37" s="43"/>
    </row>
  </sheetData>
  <sortState xmlns:xlrd2="http://schemas.microsoft.com/office/spreadsheetml/2017/richdata2" ref="A2:B237">
    <sortCondition ref="A2:A237"/>
    <sortCondition ref="B2:B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70DD-530A-5243-BD42-57BDB1E2CE2E}">
  <dimension ref="A3:B11"/>
  <sheetViews>
    <sheetView zoomScale="120" zoomScaleNormal="120" workbookViewId="0">
      <selection activeCell="B10" sqref="B10"/>
    </sheetView>
  </sheetViews>
  <sheetFormatPr baseColWidth="10" defaultRowHeight="16" x14ac:dyDescent="0.2"/>
  <cols>
    <col min="1" max="1" width="14.6640625" bestFit="1" customWidth="1"/>
    <col min="2" max="2" width="5.1640625" bestFit="1" customWidth="1"/>
    <col min="3" max="3" width="13" bestFit="1" customWidth="1"/>
    <col min="4" max="6" width="14.33203125" bestFit="1" customWidth="1"/>
  </cols>
  <sheetData>
    <row r="3" spans="1:2" x14ac:dyDescent="0.2">
      <c r="A3" s="59" t="s">
        <v>1111</v>
      </c>
    </row>
    <row r="4" spans="1:2" x14ac:dyDescent="0.2">
      <c r="A4" s="59" t="s">
        <v>295</v>
      </c>
      <c r="B4" t="s">
        <v>1112</v>
      </c>
    </row>
    <row r="5" spans="1:2" x14ac:dyDescent="0.2">
      <c r="A5" t="s">
        <v>455</v>
      </c>
      <c r="B5" s="132">
        <v>48</v>
      </c>
    </row>
    <row r="6" spans="1:2" x14ac:dyDescent="0.2">
      <c r="A6" t="s">
        <v>385</v>
      </c>
      <c r="B6" s="132">
        <v>144</v>
      </c>
    </row>
    <row r="7" spans="1:2" x14ac:dyDescent="0.2">
      <c r="A7" t="s">
        <v>386</v>
      </c>
      <c r="B7" s="132">
        <v>24</v>
      </c>
    </row>
    <row r="8" spans="1:2" x14ac:dyDescent="0.2">
      <c r="A8" t="s">
        <v>388</v>
      </c>
      <c r="B8" s="132">
        <v>24</v>
      </c>
    </row>
    <row r="9" spans="1:2" x14ac:dyDescent="0.2">
      <c r="A9" t="s">
        <v>387</v>
      </c>
      <c r="B9" s="132">
        <v>24</v>
      </c>
    </row>
    <row r="10" spans="1:2" x14ac:dyDescent="0.2">
      <c r="A10" t="s">
        <v>604</v>
      </c>
      <c r="B10" s="132"/>
    </row>
    <row r="11" spans="1:2" x14ac:dyDescent="0.2">
      <c r="A11" t="s">
        <v>605</v>
      </c>
      <c r="B11" s="132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1938-53DC-5B45-8A41-198B61F2FD93}">
  <sheetPr>
    <tabColor rgb="FFFFFF00"/>
  </sheetPr>
  <dimension ref="A1:BV265"/>
  <sheetViews>
    <sheetView zoomScale="130" zoomScaleNormal="130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R1" sqref="R1:S1048576"/>
    </sheetView>
  </sheetViews>
  <sheetFormatPr baseColWidth="10" defaultRowHeight="16" x14ac:dyDescent="0.2"/>
  <cols>
    <col min="1" max="1" width="16" customWidth="1"/>
    <col min="2" max="2" width="17" customWidth="1"/>
    <col min="3" max="3" width="12.6640625" customWidth="1"/>
    <col min="4" max="4" width="13.5" customWidth="1"/>
    <col min="5" max="5" width="11.5" customWidth="1"/>
    <col min="6" max="6" width="15" customWidth="1"/>
    <col min="7" max="7" width="18.1640625" customWidth="1"/>
    <col min="8" max="8" width="19.5" bestFit="1" customWidth="1"/>
    <col min="9" max="9" width="13.1640625" customWidth="1"/>
    <col min="10" max="10" width="30.6640625" customWidth="1"/>
    <col min="11" max="11" width="27.6640625" bestFit="1" customWidth="1"/>
    <col min="12" max="12" width="16.5" customWidth="1"/>
    <col min="13" max="13" width="14.33203125" customWidth="1"/>
    <col min="14" max="17" width="14.6640625" customWidth="1"/>
    <col min="18" max="18" width="15.83203125" customWidth="1"/>
    <col min="19" max="21" width="14.83203125" customWidth="1"/>
    <col min="22" max="22" width="15" customWidth="1"/>
    <col min="23" max="23" width="18" customWidth="1"/>
    <col min="24" max="24" width="10" customWidth="1"/>
    <col min="25" max="25" width="22.1640625" customWidth="1"/>
    <col min="26" max="26" width="20.83203125" customWidth="1"/>
    <col min="27" max="27" width="16.1640625" customWidth="1"/>
    <col min="28" max="28" width="17.1640625" customWidth="1"/>
    <col min="29" max="29" width="16.33203125" customWidth="1"/>
    <col min="30" max="30" width="19.1640625" customWidth="1"/>
    <col min="31" max="34" width="14.1640625" customWidth="1"/>
    <col min="35" max="35" width="14.33203125" customWidth="1"/>
    <col min="36" max="36" width="15" customWidth="1"/>
    <col min="37" max="37" width="16.1640625" customWidth="1"/>
    <col min="38" max="38" width="14.83203125" customWidth="1"/>
    <col min="39" max="39" width="17.1640625" customWidth="1"/>
    <col min="40" max="40" width="17" customWidth="1"/>
    <col min="41" max="41" width="15.5" customWidth="1"/>
    <col min="42" max="42" width="16" customWidth="1"/>
    <col min="43" max="43" width="15.5" customWidth="1"/>
    <col min="44" max="44" width="16" customWidth="1"/>
    <col min="45" max="45" width="14.83203125" customWidth="1"/>
    <col min="46" max="49" width="16.33203125" customWidth="1"/>
    <col min="50" max="50" width="15.6640625" customWidth="1"/>
    <col min="51" max="52" width="15.83203125" customWidth="1"/>
    <col min="53" max="58" width="16.6640625" customWidth="1"/>
    <col min="59" max="64" width="19" customWidth="1"/>
    <col min="65" max="65" width="20" customWidth="1"/>
    <col min="66" max="66" width="15.83203125" customWidth="1"/>
    <col min="67" max="67" width="22" customWidth="1"/>
    <col min="68" max="68" width="14.6640625" customWidth="1"/>
    <col min="69" max="74" width="14.83203125" customWidth="1"/>
  </cols>
  <sheetData>
    <row r="1" spans="1:74" s="18" customFormat="1" ht="51" x14ac:dyDescent="0.2">
      <c r="A1" s="51" t="s">
        <v>5</v>
      </c>
      <c r="B1" s="51" t="s">
        <v>6</v>
      </c>
      <c r="C1" s="17" t="s">
        <v>35</v>
      </c>
      <c r="D1" s="51" t="s">
        <v>545</v>
      </c>
      <c r="E1" s="51" t="s">
        <v>546</v>
      </c>
      <c r="F1" s="51" t="s">
        <v>1</v>
      </c>
      <c r="G1" s="51" t="s">
        <v>245</v>
      </c>
      <c r="H1" s="17" t="s">
        <v>2</v>
      </c>
      <c r="I1" s="17" t="s">
        <v>13</v>
      </c>
      <c r="J1" s="17" t="s">
        <v>81</v>
      </c>
      <c r="K1" s="17" t="s">
        <v>82</v>
      </c>
      <c r="L1" s="52" t="s">
        <v>660</v>
      </c>
      <c r="M1" s="53" t="s">
        <v>691</v>
      </c>
      <c r="N1" s="101" t="s">
        <v>692</v>
      </c>
      <c r="O1" s="52" t="s">
        <v>693</v>
      </c>
      <c r="P1" s="52" t="s">
        <v>694</v>
      </c>
      <c r="Q1" s="52" t="s">
        <v>695</v>
      </c>
      <c r="R1" s="17" t="s">
        <v>16</v>
      </c>
      <c r="S1" s="17" t="s">
        <v>17</v>
      </c>
      <c r="T1" s="17" t="s">
        <v>68</v>
      </c>
      <c r="U1" s="17" t="s">
        <v>69</v>
      </c>
      <c r="V1" s="17" t="s">
        <v>18</v>
      </c>
      <c r="W1" s="17" t="s">
        <v>19</v>
      </c>
      <c r="X1" s="17" t="s">
        <v>22</v>
      </c>
      <c r="Y1" s="17" t="s">
        <v>20</v>
      </c>
      <c r="Z1" s="17" t="s">
        <v>21</v>
      </c>
      <c r="AA1" s="17" t="s">
        <v>23</v>
      </c>
      <c r="AB1" s="17" t="s">
        <v>24</v>
      </c>
      <c r="AC1" s="17" t="s">
        <v>25</v>
      </c>
      <c r="AD1" s="17" t="s">
        <v>26</v>
      </c>
      <c r="AE1" s="46" t="s">
        <v>295</v>
      </c>
      <c r="AF1" s="46" t="s">
        <v>383</v>
      </c>
      <c r="AG1" s="46" t="s">
        <v>391</v>
      </c>
      <c r="AH1" s="46" t="s">
        <v>394</v>
      </c>
      <c r="AI1" s="18" t="s">
        <v>606</v>
      </c>
      <c r="AJ1" s="18" t="s">
        <v>609</v>
      </c>
      <c r="AK1" s="18" t="s">
        <v>608</v>
      </c>
      <c r="AL1" s="61" t="s">
        <v>607</v>
      </c>
      <c r="AM1" s="61" t="s">
        <v>611</v>
      </c>
      <c r="AN1" s="61" t="s">
        <v>610</v>
      </c>
      <c r="AO1" s="60" t="s">
        <v>612</v>
      </c>
      <c r="AP1" s="60" t="s">
        <v>613</v>
      </c>
      <c r="AQ1" s="60" t="s">
        <v>614</v>
      </c>
      <c r="AR1" s="63" t="s">
        <v>618</v>
      </c>
      <c r="AS1" s="63" t="s">
        <v>615</v>
      </c>
      <c r="AT1" s="63" t="s">
        <v>616</v>
      </c>
      <c r="AU1" s="68" t="s">
        <v>632</v>
      </c>
      <c r="AV1" s="68" t="s">
        <v>633</v>
      </c>
      <c r="AW1" s="68" t="s">
        <v>634</v>
      </c>
      <c r="AX1" s="18" t="s">
        <v>617</v>
      </c>
      <c r="AY1" s="18" t="s">
        <v>619</v>
      </c>
      <c r="AZ1" s="18" t="s">
        <v>620</v>
      </c>
      <c r="BA1" s="58" t="s">
        <v>697</v>
      </c>
      <c r="BB1" s="65" t="s">
        <v>698</v>
      </c>
      <c r="BC1" s="66" t="s">
        <v>699</v>
      </c>
      <c r="BD1" s="67" t="s">
        <v>700</v>
      </c>
      <c r="BE1" s="69" t="s">
        <v>701</v>
      </c>
      <c r="BF1" s="58" t="s">
        <v>702</v>
      </c>
      <c r="BG1" s="53" t="s">
        <v>703</v>
      </c>
      <c r="BH1" s="109" t="s">
        <v>704</v>
      </c>
      <c r="BI1" s="110" t="s">
        <v>705</v>
      </c>
      <c r="BJ1" s="111" t="s">
        <v>706</v>
      </c>
      <c r="BK1" s="112" t="s">
        <v>707</v>
      </c>
      <c r="BL1" s="53" t="s">
        <v>708</v>
      </c>
      <c r="BM1" s="58" t="s">
        <v>801</v>
      </c>
      <c r="BN1" s="99" t="s">
        <v>799</v>
      </c>
      <c r="BO1" s="119" t="s">
        <v>802</v>
      </c>
      <c r="BP1" s="99" t="s">
        <v>800</v>
      </c>
      <c r="BQ1" s="18" t="s">
        <v>1105</v>
      </c>
      <c r="BR1" s="61" t="s">
        <v>1106</v>
      </c>
      <c r="BS1" s="60" t="s">
        <v>1107</v>
      </c>
      <c r="BT1" s="63" t="s">
        <v>1108</v>
      </c>
      <c r="BU1" s="68" t="s">
        <v>1109</v>
      </c>
      <c r="BV1" s="18" t="s">
        <v>1110</v>
      </c>
    </row>
    <row r="2" spans="1:74" s="3" customFormat="1" x14ac:dyDescent="0.2">
      <c r="A2" s="3" t="s">
        <v>83</v>
      </c>
      <c r="B2" s="3" t="s">
        <v>84</v>
      </c>
      <c r="C2" s="3">
        <v>30</v>
      </c>
      <c r="F2" s="3" t="s">
        <v>246</v>
      </c>
      <c r="G2" s="3" t="s">
        <v>248</v>
      </c>
      <c r="H2" s="3" t="s">
        <v>85</v>
      </c>
      <c r="I2" s="3" t="s">
        <v>14</v>
      </c>
      <c r="J2" s="3" t="str">
        <f>"RACKPDU-"&amp;H2&amp;"-A"</f>
        <v>RACKPDU-RACK-R3-Z1W-R1-01-A</v>
      </c>
      <c r="K2" s="3" t="str">
        <f>"RACKPDU-"&amp;H2&amp;"-B"</f>
        <v>RACKPDU-RACK-R3-Z1W-R1-01-B</v>
      </c>
      <c r="L2" s="3">
        <v>30</v>
      </c>
      <c r="M2" s="3">
        <f>VLOOKUP($H2,'Cooling-Rack'!$A$2:$G$265,5,FALSE)</f>
        <v>22.5</v>
      </c>
      <c r="N2" s="3">
        <f>VLOOKUP($H2,'Cooling-Rack'!$A$2:$G$265,7,FALSE)</f>
        <v>7.5</v>
      </c>
      <c r="O2" s="3">
        <v>36</v>
      </c>
      <c r="P2" s="102">
        <v>0.75</v>
      </c>
      <c r="Q2" s="102">
        <v>0.25</v>
      </c>
      <c r="R2" s="3" t="s">
        <v>27</v>
      </c>
      <c r="S2" s="3" t="s">
        <v>29</v>
      </c>
      <c r="T2" s="3" t="s">
        <v>70</v>
      </c>
      <c r="U2" s="3" t="s">
        <v>72</v>
      </c>
      <c r="V2" s="3" t="s">
        <v>293</v>
      </c>
      <c r="W2" s="3" t="s">
        <v>294</v>
      </c>
      <c r="X2" s="3" t="s">
        <v>80</v>
      </c>
      <c r="Y2" s="3" t="s">
        <v>76</v>
      </c>
      <c r="Z2" s="3" t="s">
        <v>77</v>
      </c>
      <c r="AA2" s="3" t="s">
        <v>74</v>
      </c>
      <c r="AB2" s="3" t="s">
        <v>75</v>
      </c>
      <c r="AC2" s="3" t="s">
        <v>78</v>
      </c>
      <c r="AD2" s="3" t="s">
        <v>79</v>
      </c>
      <c r="AE2" s="3" t="s">
        <v>385</v>
      </c>
      <c r="AF2" s="3" t="s">
        <v>384</v>
      </c>
      <c r="AG2" s="3" t="s">
        <v>392</v>
      </c>
      <c r="AH2" s="3" t="s">
        <v>395</v>
      </c>
      <c r="AL2" s="3">
        <v>30</v>
      </c>
      <c r="AM2" s="3">
        <f>AL2/$L2*$M2</f>
        <v>22.5</v>
      </c>
      <c r="AN2" s="3">
        <f>AL2/$L2*$N2</f>
        <v>7.5</v>
      </c>
      <c r="AO2" s="3">
        <v>30</v>
      </c>
      <c r="AP2" s="3">
        <f>AO2/$L2*$M2</f>
        <v>22.5</v>
      </c>
      <c r="AQ2" s="3">
        <f>AO2/$L2*$N2</f>
        <v>7.5</v>
      </c>
      <c r="BA2" s="3">
        <f>$L2-$AI2</f>
        <v>30</v>
      </c>
      <c r="BB2" s="3">
        <f>$L2-$AL2</f>
        <v>0</v>
      </c>
      <c r="BC2" s="3">
        <f>$L2-$AO2</f>
        <v>0</v>
      </c>
      <c r="BD2" s="3">
        <f>$L2-$AR2</f>
        <v>30</v>
      </c>
      <c r="BE2" s="3">
        <f>$L2-$AU2</f>
        <v>30</v>
      </c>
      <c r="BF2" s="3">
        <f>$L2-$AX2</f>
        <v>30</v>
      </c>
      <c r="BG2" s="102">
        <f>BA2/$L2</f>
        <v>1</v>
      </c>
      <c r="BH2" s="102">
        <f t="shared" ref="BH2:BL2" si="0">BB2/$L2</f>
        <v>0</v>
      </c>
      <c r="BI2" s="102">
        <f t="shared" si="0"/>
        <v>0</v>
      </c>
      <c r="BJ2" s="102">
        <f t="shared" si="0"/>
        <v>1</v>
      </c>
      <c r="BK2" s="102">
        <f t="shared" si="0"/>
        <v>1</v>
      </c>
      <c r="BL2" s="102">
        <f t="shared" si="0"/>
        <v>1</v>
      </c>
      <c r="BM2" s="102"/>
      <c r="BO2" s="102" t="s">
        <v>851</v>
      </c>
      <c r="BP2" s="123">
        <f>M2/0.9</f>
        <v>25</v>
      </c>
      <c r="BQ2" s="3">
        <f>IF($AI2&gt;0, 1, 0)</f>
        <v>0</v>
      </c>
      <c r="BR2" s="3">
        <f>IF($AL2&gt;0, 1, 0)</f>
        <v>1</v>
      </c>
      <c r="BS2" s="3">
        <f>IF($AO2&gt;0, 1, 0)</f>
        <v>1</v>
      </c>
      <c r="BT2" s="3">
        <f>IF($AR2&gt;0, 1, 0)</f>
        <v>0</v>
      </c>
      <c r="BU2" s="3">
        <f>IF($AU2&gt;0, 1, 0)</f>
        <v>0</v>
      </c>
      <c r="BV2" s="3">
        <f>IF(AX2&gt;0, 1, 0)</f>
        <v>0</v>
      </c>
    </row>
    <row r="3" spans="1:74" s="3" customFormat="1" x14ac:dyDescent="0.2">
      <c r="A3" s="3" t="s">
        <v>83</v>
      </c>
      <c r="B3" s="3" t="s">
        <v>84</v>
      </c>
      <c r="C3" s="3">
        <v>30</v>
      </c>
      <c r="F3" s="3" t="s">
        <v>246</v>
      </c>
      <c r="G3" s="3" t="s">
        <v>248</v>
      </c>
      <c r="H3" s="3" t="s">
        <v>86</v>
      </c>
      <c r="I3" s="3" t="s">
        <v>14</v>
      </c>
      <c r="J3" s="3" t="str">
        <f t="shared" ref="J3:J66" si="1">"RACKPDU-"&amp;H3&amp;"-A"</f>
        <v>RACKPDU-RACK-R3-Z1W-R1-02-A</v>
      </c>
      <c r="K3" s="3" t="str">
        <f t="shared" ref="K3:K66" si="2">"RACKPDU-"&amp;H3&amp;"-B"</f>
        <v>RACKPDU-RACK-R3-Z1W-R1-02-B</v>
      </c>
      <c r="L3" s="3">
        <v>30</v>
      </c>
      <c r="M3" s="3">
        <f>VLOOKUP($H3,'Cooling-Rack'!$A$2:$G$265,5,FALSE)</f>
        <v>22.5</v>
      </c>
      <c r="N3" s="3">
        <f>VLOOKUP($H3,'Cooling-Rack'!$A$2:$G$265,7,FALSE)</f>
        <v>7.5</v>
      </c>
      <c r="O3" s="3">
        <v>36</v>
      </c>
      <c r="P3" s="102">
        <v>0.75</v>
      </c>
      <c r="Q3" s="102">
        <v>0.25</v>
      </c>
      <c r="R3" s="3" t="s">
        <v>27</v>
      </c>
      <c r="S3" s="3" t="s">
        <v>29</v>
      </c>
      <c r="T3" s="3" t="s">
        <v>70</v>
      </c>
      <c r="U3" s="3" t="s">
        <v>72</v>
      </c>
      <c r="V3" s="3" t="s">
        <v>293</v>
      </c>
      <c r="W3" s="3" t="s">
        <v>294</v>
      </c>
      <c r="X3" s="3" t="s">
        <v>80</v>
      </c>
      <c r="Y3" s="3" t="s">
        <v>76</v>
      </c>
      <c r="Z3" s="3" t="s">
        <v>77</v>
      </c>
      <c r="AA3" s="3" t="s">
        <v>74</v>
      </c>
      <c r="AB3" s="3" t="s">
        <v>75</v>
      </c>
      <c r="AC3" s="3" t="s">
        <v>78</v>
      </c>
      <c r="AD3" s="3" t="s">
        <v>79</v>
      </c>
      <c r="AE3" s="3" t="s">
        <v>385</v>
      </c>
      <c r="AF3" s="3" t="s">
        <v>384</v>
      </c>
      <c r="AG3" s="3" t="s">
        <v>392</v>
      </c>
      <c r="AH3" s="3" t="s">
        <v>395</v>
      </c>
      <c r="AL3" s="3">
        <v>30</v>
      </c>
      <c r="AM3" s="3">
        <f t="shared" ref="AM3:AM66" si="3">AL3/$L3*$M3</f>
        <v>22.5</v>
      </c>
      <c r="AN3" s="3">
        <f t="shared" ref="AN3:AN66" si="4">AL3/$L3*$N3</f>
        <v>7.5</v>
      </c>
      <c r="AO3" s="3">
        <v>30</v>
      </c>
      <c r="AP3" s="3">
        <f t="shared" ref="AP3:AP66" si="5">AO3/$L3*$M3</f>
        <v>22.5</v>
      </c>
      <c r="AQ3" s="3">
        <f t="shared" ref="AQ3:AQ66" si="6">AO3/$L3*$N3</f>
        <v>7.5</v>
      </c>
      <c r="BA3" s="3">
        <f t="shared" ref="BA3:BA66" si="7">$L3-$AI3</f>
        <v>30</v>
      </c>
      <c r="BB3" s="3">
        <f t="shared" ref="BB3:BB66" si="8">$L3-$AL3</f>
        <v>0</v>
      </c>
      <c r="BC3" s="3">
        <f t="shared" ref="BC3:BC66" si="9">$L3-$AO3</f>
        <v>0</v>
      </c>
      <c r="BD3" s="3">
        <f t="shared" ref="BD3:BD66" si="10">$L3-$AR3</f>
        <v>30</v>
      </c>
      <c r="BE3" s="3">
        <f t="shared" ref="BE3:BE66" si="11">$L3-$AU3</f>
        <v>30</v>
      </c>
      <c r="BF3" s="3">
        <f t="shared" ref="BF3:BF66" si="12">$L3-$AX3</f>
        <v>30</v>
      </c>
      <c r="BG3" s="102">
        <f t="shared" ref="BG3:BG66" si="13">BA3/$L3</f>
        <v>1</v>
      </c>
      <c r="BH3" s="102">
        <f t="shared" ref="BH3:BH66" si="14">BB3/$L3</f>
        <v>0</v>
      </c>
      <c r="BI3" s="102">
        <f t="shared" ref="BI3:BI66" si="15">BC3/$L3</f>
        <v>0</v>
      </c>
      <c r="BJ3" s="102">
        <f t="shared" ref="BJ3:BJ66" si="16">BD3/$L3</f>
        <v>1</v>
      </c>
      <c r="BK3" s="102">
        <f t="shared" ref="BK3:BK66" si="17">BE3/$L3</f>
        <v>1</v>
      </c>
      <c r="BL3" s="102">
        <f t="shared" ref="BL3:BL66" si="18">BF3/$L3</f>
        <v>1</v>
      </c>
      <c r="BM3" s="102"/>
      <c r="BO3" s="3" t="s">
        <v>852</v>
      </c>
      <c r="BP3" s="123">
        <f t="shared" ref="BP3:BP66" si="19">M3/0.9</f>
        <v>25</v>
      </c>
      <c r="BQ3" s="3">
        <f t="shared" ref="BQ3:BQ66" si="20">IF($AI3&gt;0, 1, 0)</f>
        <v>0</v>
      </c>
      <c r="BR3" s="3">
        <f t="shared" ref="BR3:BR66" si="21">IF($AL3&gt;0, 1, 0)</f>
        <v>1</v>
      </c>
      <c r="BS3" s="3">
        <f t="shared" ref="BS3:BS66" si="22">IF($AO3&gt;0, 1, 0)</f>
        <v>1</v>
      </c>
      <c r="BT3" s="3">
        <f t="shared" ref="BT3:BT66" si="23">IF($AR3&gt;0, 1, 0)</f>
        <v>0</v>
      </c>
      <c r="BU3" s="3">
        <f t="shared" ref="BU3:BU66" si="24">IF($AU3&gt;0, 1, 0)</f>
        <v>0</v>
      </c>
      <c r="BV3" s="3">
        <f t="shared" ref="BV3:BV66" si="25">IF(AX3&gt;0, 1, 0)</f>
        <v>0</v>
      </c>
    </row>
    <row r="4" spans="1:74" s="3" customFormat="1" x14ac:dyDescent="0.2">
      <c r="A4" s="3" t="s">
        <v>83</v>
      </c>
      <c r="B4" s="3" t="s">
        <v>84</v>
      </c>
      <c r="C4" s="3">
        <v>30</v>
      </c>
      <c r="F4" s="3" t="s">
        <v>246</v>
      </c>
      <c r="G4" s="3" t="s">
        <v>248</v>
      </c>
      <c r="H4" s="3" t="s">
        <v>87</v>
      </c>
      <c r="I4" s="3" t="s">
        <v>14</v>
      </c>
      <c r="J4" s="3" t="str">
        <f t="shared" si="1"/>
        <v>RACKPDU-RACK-R3-Z1W-R1-03-A</v>
      </c>
      <c r="K4" s="3" t="str">
        <f t="shared" si="2"/>
        <v>RACKPDU-RACK-R3-Z1W-R1-03-B</v>
      </c>
      <c r="L4" s="3">
        <v>30</v>
      </c>
      <c r="M4" s="3">
        <f>VLOOKUP($H4,'Cooling-Rack'!$A$2:$G$265,5,FALSE)</f>
        <v>22.5</v>
      </c>
      <c r="N4" s="3">
        <f>VLOOKUP($H4,'Cooling-Rack'!$A$2:$G$265,7,FALSE)</f>
        <v>7.5</v>
      </c>
      <c r="O4" s="3">
        <v>36</v>
      </c>
      <c r="P4" s="102">
        <v>0.75</v>
      </c>
      <c r="Q4" s="102">
        <v>0.25</v>
      </c>
      <c r="R4" s="3" t="s">
        <v>27</v>
      </c>
      <c r="S4" s="3" t="s">
        <v>29</v>
      </c>
      <c r="T4" s="3" t="s">
        <v>70</v>
      </c>
      <c r="U4" s="3" t="s">
        <v>72</v>
      </c>
      <c r="V4" s="3" t="s">
        <v>293</v>
      </c>
      <c r="W4" s="3" t="s">
        <v>294</v>
      </c>
      <c r="X4" s="3" t="s">
        <v>80</v>
      </c>
      <c r="Y4" s="3" t="s">
        <v>76</v>
      </c>
      <c r="Z4" s="3" t="s">
        <v>77</v>
      </c>
      <c r="AA4" s="3" t="s">
        <v>74</v>
      </c>
      <c r="AB4" s="3" t="s">
        <v>75</v>
      </c>
      <c r="AC4" s="3" t="s">
        <v>78</v>
      </c>
      <c r="AD4" s="3" t="s">
        <v>79</v>
      </c>
      <c r="AE4" s="3" t="s">
        <v>385</v>
      </c>
      <c r="AF4" s="3" t="s">
        <v>384</v>
      </c>
      <c r="AG4" s="3" t="s">
        <v>392</v>
      </c>
      <c r="AH4" s="3" t="s">
        <v>395</v>
      </c>
      <c r="AL4" s="3">
        <v>30</v>
      </c>
      <c r="AM4" s="3">
        <f t="shared" si="3"/>
        <v>22.5</v>
      </c>
      <c r="AN4" s="3">
        <f t="shared" si="4"/>
        <v>7.5</v>
      </c>
      <c r="AO4" s="3">
        <v>30</v>
      </c>
      <c r="AP4" s="3">
        <f t="shared" si="5"/>
        <v>22.5</v>
      </c>
      <c r="AQ4" s="3">
        <f t="shared" si="6"/>
        <v>7.5</v>
      </c>
      <c r="BA4" s="3">
        <f t="shared" si="7"/>
        <v>30</v>
      </c>
      <c r="BB4" s="3">
        <f t="shared" si="8"/>
        <v>0</v>
      </c>
      <c r="BC4" s="3">
        <f t="shared" si="9"/>
        <v>0</v>
      </c>
      <c r="BD4" s="3">
        <f t="shared" si="10"/>
        <v>30</v>
      </c>
      <c r="BE4" s="3">
        <f t="shared" si="11"/>
        <v>30</v>
      </c>
      <c r="BF4" s="3">
        <f t="shared" si="12"/>
        <v>30</v>
      </c>
      <c r="BG4" s="102">
        <f t="shared" si="13"/>
        <v>1</v>
      </c>
      <c r="BH4" s="102">
        <f t="shared" si="14"/>
        <v>0</v>
      </c>
      <c r="BI4" s="102">
        <f t="shared" si="15"/>
        <v>0</v>
      </c>
      <c r="BJ4" s="102">
        <f t="shared" si="16"/>
        <v>1</v>
      </c>
      <c r="BK4" s="102">
        <f t="shared" si="17"/>
        <v>1</v>
      </c>
      <c r="BL4" s="102">
        <f t="shared" si="18"/>
        <v>1</v>
      </c>
      <c r="BM4" s="102"/>
      <c r="BO4" s="3" t="s">
        <v>853</v>
      </c>
      <c r="BP4" s="123">
        <f t="shared" si="19"/>
        <v>25</v>
      </c>
      <c r="BQ4" s="3">
        <f t="shared" si="20"/>
        <v>0</v>
      </c>
      <c r="BR4" s="3">
        <f t="shared" si="21"/>
        <v>1</v>
      </c>
      <c r="BS4" s="3">
        <f t="shared" si="22"/>
        <v>1</v>
      </c>
      <c r="BT4" s="3">
        <f t="shared" si="23"/>
        <v>0</v>
      </c>
      <c r="BU4" s="3">
        <f t="shared" si="24"/>
        <v>0</v>
      </c>
      <c r="BV4" s="3">
        <f t="shared" si="25"/>
        <v>0</v>
      </c>
    </row>
    <row r="5" spans="1:74" s="3" customFormat="1" x14ac:dyDescent="0.2">
      <c r="A5" s="3" t="s">
        <v>83</v>
      </c>
      <c r="B5" s="3" t="s">
        <v>84</v>
      </c>
      <c r="C5" s="3">
        <v>30</v>
      </c>
      <c r="F5" s="3" t="s">
        <v>246</v>
      </c>
      <c r="G5" s="3" t="s">
        <v>248</v>
      </c>
      <c r="H5" s="3" t="s">
        <v>88</v>
      </c>
      <c r="I5" s="3" t="s">
        <v>14</v>
      </c>
      <c r="J5" s="3" t="str">
        <f t="shared" si="1"/>
        <v>RACKPDU-RACK-R3-Z1W-R1-04-A</v>
      </c>
      <c r="K5" s="3" t="str">
        <f t="shared" si="2"/>
        <v>RACKPDU-RACK-R3-Z1W-R1-04-B</v>
      </c>
      <c r="L5" s="3">
        <v>30</v>
      </c>
      <c r="M5" s="3">
        <f>VLOOKUP($H5,'Cooling-Rack'!$A$2:$G$265,5,FALSE)</f>
        <v>22.5</v>
      </c>
      <c r="N5" s="3">
        <f>VLOOKUP($H5,'Cooling-Rack'!$A$2:$G$265,7,FALSE)</f>
        <v>7.5</v>
      </c>
      <c r="O5" s="3">
        <v>36</v>
      </c>
      <c r="P5" s="102">
        <v>0.75</v>
      </c>
      <c r="Q5" s="102">
        <v>0.25</v>
      </c>
      <c r="R5" s="3" t="s">
        <v>27</v>
      </c>
      <c r="S5" s="3" t="s">
        <v>29</v>
      </c>
      <c r="T5" s="3" t="s">
        <v>70</v>
      </c>
      <c r="U5" s="3" t="s">
        <v>72</v>
      </c>
      <c r="V5" s="3" t="s">
        <v>293</v>
      </c>
      <c r="W5" s="3" t="s">
        <v>294</v>
      </c>
      <c r="X5" s="3" t="s">
        <v>80</v>
      </c>
      <c r="Y5" s="3" t="s">
        <v>76</v>
      </c>
      <c r="Z5" s="3" t="s">
        <v>77</v>
      </c>
      <c r="AA5" s="3" t="s">
        <v>74</v>
      </c>
      <c r="AB5" s="3" t="s">
        <v>75</v>
      </c>
      <c r="AC5" s="3" t="s">
        <v>78</v>
      </c>
      <c r="AD5" s="3" t="s">
        <v>79</v>
      </c>
      <c r="AE5" s="3" t="s">
        <v>385</v>
      </c>
      <c r="AF5" s="3" t="s">
        <v>384</v>
      </c>
      <c r="AG5" s="3" t="s">
        <v>392</v>
      </c>
      <c r="AH5" s="3" t="s">
        <v>395</v>
      </c>
      <c r="AL5" s="3">
        <v>30</v>
      </c>
      <c r="AM5" s="3">
        <f t="shared" si="3"/>
        <v>22.5</v>
      </c>
      <c r="AN5" s="3">
        <f t="shared" si="4"/>
        <v>7.5</v>
      </c>
      <c r="AO5" s="3">
        <v>30</v>
      </c>
      <c r="AP5" s="3">
        <f t="shared" si="5"/>
        <v>22.5</v>
      </c>
      <c r="AQ5" s="3">
        <f t="shared" si="6"/>
        <v>7.5</v>
      </c>
      <c r="BA5" s="3">
        <f t="shared" si="7"/>
        <v>30</v>
      </c>
      <c r="BB5" s="3">
        <f t="shared" si="8"/>
        <v>0</v>
      </c>
      <c r="BC5" s="3">
        <f t="shared" si="9"/>
        <v>0</v>
      </c>
      <c r="BD5" s="3">
        <f t="shared" si="10"/>
        <v>30</v>
      </c>
      <c r="BE5" s="3">
        <f t="shared" si="11"/>
        <v>30</v>
      </c>
      <c r="BF5" s="3">
        <f t="shared" si="12"/>
        <v>30</v>
      </c>
      <c r="BG5" s="102">
        <f t="shared" si="13"/>
        <v>1</v>
      </c>
      <c r="BH5" s="102">
        <f t="shared" si="14"/>
        <v>0</v>
      </c>
      <c r="BI5" s="102">
        <f t="shared" si="15"/>
        <v>0</v>
      </c>
      <c r="BJ5" s="102">
        <f t="shared" si="16"/>
        <v>1</v>
      </c>
      <c r="BK5" s="102">
        <f t="shared" si="17"/>
        <v>1</v>
      </c>
      <c r="BL5" s="102">
        <f t="shared" si="18"/>
        <v>1</v>
      </c>
      <c r="BM5" s="102"/>
      <c r="BO5" s="3" t="s">
        <v>854</v>
      </c>
      <c r="BP5" s="123">
        <f t="shared" si="19"/>
        <v>25</v>
      </c>
      <c r="BQ5" s="3">
        <f t="shared" si="20"/>
        <v>0</v>
      </c>
      <c r="BR5" s="3">
        <f t="shared" si="21"/>
        <v>1</v>
      </c>
      <c r="BS5" s="3">
        <f t="shared" si="22"/>
        <v>1</v>
      </c>
      <c r="BT5" s="3">
        <f t="shared" si="23"/>
        <v>0</v>
      </c>
      <c r="BU5" s="3">
        <f t="shared" si="24"/>
        <v>0</v>
      </c>
      <c r="BV5" s="3">
        <f t="shared" si="25"/>
        <v>0</v>
      </c>
    </row>
    <row r="6" spans="1:74" s="3" customFormat="1" x14ac:dyDescent="0.2">
      <c r="A6" s="3" t="s">
        <v>83</v>
      </c>
      <c r="B6" s="3" t="s">
        <v>84</v>
      </c>
      <c r="C6" s="3">
        <v>30</v>
      </c>
      <c r="F6" s="3" t="s">
        <v>246</v>
      </c>
      <c r="G6" s="3" t="s">
        <v>248</v>
      </c>
      <c r="H6" s="3" t="s">
        <v>89</v>
      </c>
      <c r="I6" s="3" t="s">
        <v>14</v>
      </c>
      <c r="J6" s="3" t="str">
        <f t="shared" si="1"/>
        <v>RACKPDU-RACK-R3-Z1W-R1-05-A</v>
      </c>
      <c r="K6" s="3" t="str">
        <f t="shared" si="2"/>
        <v>RACKPDU-RACK-R3-Z1W-R1-05-B</v>
      </c>
      <c r="L6" s="3">
        <v>30</v>
      </c>
      <c r="M6" s="3">
        <f>VLOOKUP($H6,'Cooling-Rack'!$A$2:$G$265,5,FALSE)</f>
        <v>22.5</v>
      </c>
      <c r="N6" s="3">
        <f>VLOOKUP($H6,'Cooling-Rack'!$A$2:$G$265,7,FALSE)</f>
        <v>7.5</v>
      </c>
      <c r="O6" s="3">
        <v>36</v>
      </c>
      <c r="P6" s="102">
        <v>0.75</v>
      </c>
      <c r="Q6" s="102">
        <v>0.25</v>
      </c>
      <c r="R6" s="8" t="s">
        <v>30</v>
      </c>
      <c r="S6" s="8" t="s">
        <v>28</v>
      </c>
      <c r="T6" s="3" t="s">
        <v>70</v>
      </c>
      <c r="U6" s="3" t="s">
        <v>72</v>
      </c>
      <c r="V6" s="3" t="s">
        <v>293</v>
      </c>
      <c r="W6" s="3" t="s">
        <v>294</v>
      </c>
      <c r="X6" s="3" t="s">
        <v>80</v>
      </c>
      <c r="Y6" s="3" t="s">
        <v>76</v>
      </c>
      <c r="Z6" s="3" t="s">
        <v>77</v>
      </c>
      <c r="AA6" s="3" t="s">
        <v>74</v>
      </c>
      <c r="AB6" s="3" t="s">
        <v>75</v>
      </c>
      <c r="AC6" s="3" t="s">
        <v>78</v>
      </c>
      <c r="AD6" s="3" t="s">
        <v>79</v>
      </c>
      <c r="AE6" s="3" t="s">
        <v>385</v>
      </c>
      <c r="AF6" s="3" t="s">
        <v>384</v>
      </c>
      <c r="AG6" s="3" t="s">
        <v>392</v>
      </c>
      <c r="AH6" s="3" t="s">
        <v>395</v>
      </c>
      <c r="AL6" s="3">
        <v>30</v>
      </c>
      <c r="AM6" s="3">
        <f t="shared" si="3"/>
        <v>22.5</v>
      </c>
      <c r="AN6" s="3">
        <f t="shared" si="4"/>
        <v>7.5</v>
      </c>
      <c r="AO6" s="3">
        <v>30</v>
      </c>
      <c r="AP6" s="3">
        <f t="shared" si="5"/>
        <v>22.5</v>
      </c>
      <c r="AQ6" s="3">
        <f t="shared" si="6"/>
        <v>7.5</v>
      </c>
      <c r="BA6" s="3">
        <f t="shared" si="7"/>
        <v>30</v>
      </c>
      <c r="BB6" s="3">
        <f t="shared" si="8"/>
        <v>0</v>
      </c>
      <c r="BC6" s="3">
        <f t="shared" si="9"/>
        <v>0</v>
      </c>
      <c r="BD6" s="3">
        <f t="shared" si="10"/>
        <v>30</v>
      </c>
      <c r="BE6" s="3">
        <f t="shared" si="11"/>
        <v>30</v>
      </c>
      <c r="BF6" s="3">
        <f t="shared" si="12"/>
        <v>30</v>
      </c>
      <c r="BG6" s="102">
        <f t="shared" si="13"/>
        <v>1</v>
      </c>
      <c r="BH6" s="102">
        <f t="shared" si="14"/>
        <v>0</v>
      </c>
      <c r="BI6" s="102">
        <f t="shared" si="15"/>
        <v>0</v>
      </c>
      <c r="BJ6" s="102">
        <f t="shared" si="16"/>
        <v>1</v>
      </c>
      <c r="BK6" s="102">
        <f t="shared" si="17"/>
        <v>1</v>
      </c>
      <c r="BL6" s="102">
        <f t="shared" si="18"/>
        <v>1</v>
      </c>
      <c r="BM6" s="102"/>
      <c r="BO6" s="3" t="s">
        <v>855</v>
      </c>
      <c r="BP6" s="123">
        <f t="shared" si="19"/>
        <v>25</v>
      </c>
      <c r="BQ6" s="3">
        <f t="shared" si="20"/>
        <v>0</v>
      </c>
      <c r="BR6" s="3">
        <f t="shared" si="21"/>
        <v>1</v>
      </c>
      <c r="BS6" s="3">
        <f t="shared" si="22"/>
        <v>1</v>
      </c>
      <c r="BT6" s="3">
        <f t="shared" si="23"/>
        <v>0</v>
      </c>
      <c r="BU6" s="3">
        <f t="shared" si="24"/>
        <v>0</v>
      </c>
      <c r="BV6" s="3">
        <f t="shared" si="25"/>
        <v>0</v>
      </c>
    </row>
    <row r="7" spans="1:74" s="3" customFormat="1" x14ac:dyDescent="0.2">
      <c r="A7" s="3" t="s">
        <v>83</v>
      </c>
      <c r="B7" s="3" t="s">
        <v>84</v>
      </c>
      <c r="C7" s="3">
        <v>30</v>
      </c>
      <c r="F7" s="3" t="s">
        <v>246</v>
      </c>
      <c r="G7" s="3" t="s">
        <v>248</v>
      </c>
      <c r="H7" s="3" t="s">
        <v>90</v>
      </c>
      <c r="I7" s="3" t="s">
        <v>14</v>
      </c>
      <c r="J7" s="3" t="str">
        <f t="shared" si="1"/>
        <v>RACKPDU-RACK-R3-Z1W-R1-06-A</v>
      </c>
      <c r="K7" s="3" t="str">
        <f t="shared" si="2"/>
        <v>RACKPDU-RACK-R3-Z1W-R1-06-B</v>
      </c>
      <c r="L7" s="3">
        <v>30</v>
      </c>
      <c r="M7" s="3">
        <f>VLOOKUP($H7,'Cooling-Rack'!$A$2:$G$265,5,FALSE)</f>
        <v>22.5</v>
      </c>
      <c r="N7" s="3">
        <f>VLOOKUP($H7,'Cooling-Rack'!$A$2:$G$265,7,FALSE)</f>
        <v>7.5</v>
      </c>
      <c r="O7" s="3">
        <v>36</v>
      </c>
      <c r="P7" s="102">
        <v>0.75</v>
      </c>
      <c r="Q7" s="102">
        <v>0.25</v>
      </c>
      <c r="R7" s="8" t="s">
        <v>30</v>
      </c>
      <c r="S7" s="8" t="s">
        <v>28</v>
      </c>
      <c r="T7" s="3" t="s">
        <v>70</v>
      </c>
      <c r="U7" s="3" t="s">
        <v>72</v>
      </c>
      <c r="V7" s="3" t="s">
        <v>293</v>
      </c>
      <c r="W7" s="3" t="s">
        <v>294</v>
      </c>
      <c r="X7" s="3" t="s">
        <v>80</v>
      </c>
      <c r="Y7" s="3" t="s">
        <v>76</v>
      </c>
      <c r="Z7" s="3" t="s">
        <v>77</v>
      </c>
      <c r="AA7" s="3" t="s">
        <v>74</v>
      </c>
      <c r="AB7" s="3" t="s">
        <v>75</v>
      </c>
      <c r="AC7" s="3" t="s">
        <v>78</v>
      </c>
      <c r="AD7" s="3" t="s">
        <v>79</v>
      </c>
      <c r="AE7" s="3" t="s">
        <v>385</v>
      </c>
      <c r="AF7" s="3" t="s">
        <v>384</v>
      </c>
      <c r="AG7" s="3" t="s">
        <v>392</v>
      </c>
      <c r="AH7" s="3" t="s">
        <v>395</v>
      </c>
      <c r="AL7" s="3">
        <v>30</v>
      </c>
      <c r="AM7" s="3">
        <f t="shared" si="3"/>
        <v>22.5</v>
      </c>
      <c r="AN7" s="3">
        <f t="shared" si="4"/>
        <v>7.5</v>
      </c>
      <c r="AO7" s="3">
        <v>30</v>
      </c>
      <c r="AP7" s="3">
        <f t="shared" si="5"/>
        <v>22.5</v>
      </c>
      <c r="AQ7" s="3">
        <f t="shared" si="6"/>
        <v>7.5</v>
      </c>
      <c r="BA7" s="3">
        <f t="shared" si="7"/>
        <v>30</v>
      </c>
      <c r="BB7" s="3">
        <f t="shared" si="8"/>
        <v>0</v>
      </c>
      <c r="BC7" s="3">
        <f t="shared" si="9"/>
        <v>0</v>
      </c>
      <c r="BD7" s="3">
        <f t="shared" si="10"/>
        <v>30</v>
      </c>
      <c r="BE7" s="3">
        <f t="shared" si="11"/>
        <v>30</v>
      </c>
      <c r="BF7" s="3">
        <f t="shared" si="12"/>
        <v>30</v>
      </c>
      <c r="BG7" s="102">
        <f t="shared" si="13"/>
        <v>1</v>
      </c>
      <c r="BH7" s="102">
        <f t="shared" si="14"/>
        <v>0</v>
      </c>
      <c r="BI7" s="102">
        <f t="shared" si="15"/>
        <v>0</v>
      </c>
      <c r="BJ7" s="102">
        <f t="shared" si="16"/>
        <v>1</v>
      </c>
      <c r="BK7" s="102">
        <f t="shared" si="17"/>
        <v>1</v>
      </c>
      <c r="BL7" s="102">
        <f t="shared" si="18"/>
        <v>1</v>
      </c>
      <c r="BM7" s="102"/>
      <c r="BO7" s="3" t="s">
        <v>856</v>
      </c>
      <c r="BP7" s="123">
        <f t="shared" si="19"/>
        <v>25</v>
      </c>
      <c r="BQ7" s="3">
        <f t="shared" si="20"/>
        <v>0</v>
      </c>
      <c r="BR7" s="3">
        <f t="shared" si="21"/>
        <v>1</v>
      </c>
      <c r="BS7" s="3">
        <f t="shared" si="22"/>
        <v>1</v>
      </c>
      <c r="BT7" s="3">
        <f t="shared" si="23"/>
        <v>0</v>
      </c>
      <c r="BU7" s="3">
        <f t="shared" si="24"/>
        <v>0</v>
      </c>
      <c r="BV7" s="3">
        <f t="shared" si="25"/>
        <v>0</v>
      </c>
    </row>
    <row r="8" spans="1:74" s="3" customFormat="1" x14ac:dyDescent="0.2">
      <c r="A8" s="3" t="s">
        <v>83</v>
      </c>
      <c r="B8" s="3" t="s">
        <v>84</v>
      </c>
      <c r="C8" s="3">
        <v>30</v>
      </c>
      <c r="F8" s="3" t="s">
        <v>246</v>
      </c>
      <c r="G8" s="3" t="s">
        <v>248</v>
      </c>
      <c r="H8" s="3" t="s">
        <v>91</v>
      </c>
      <c r="I8" s="3" t="s">
        <v>14</v>
      </c>
      <c r="J8" s="3" t="str">
        <f t="shared" si="1"/>
        <v>RACKPDU-RACK-R3-Z1W-R1-07-A</v>
      </c>
      <c r="K8" s="3" t="str">
        <f t="shared" si="2"/>
        <v>RACKPDU-RACK-R3-Z1W-R1-07-B</v>
      </c>
      <c r="L8" s="3">
        <v>30</v>
      </c>
      <c r="M8" s="3">
        <f>VLOOKUP($H8,'Cooling-Rack'!$A$2:$G$265,5,FALSE)</f>
        <v>22.5</v>
      </c>
      <c r="N8" s="3">
        <f>VLOOKUP($H8,'Cooling-Rack'!$A$2:$G$265,7,FALSE)</f>
        <v>7.5</v>
      </c>
      <c r="O8" s="3">
        <v>36</v>
      </c>
      <c r="P8" s="102">
        <v>0.75</v>
      </c>
      <c r="Q8" s="102">
        <v>0.25</v>
      </c>
      <c r="R8" s="8" t="s">
        <v>30</v>
      </c>
      <c r="S8" s="10" t="s">
        <v>31</v>
      </c>
      <c r="T8" s="3" t="s">
        <v>70</v>
      </c>
      <c r="U8" s="24" t="s">
        <v>71</v>
      </c>
      <c r="V8" s="3" t="s">
        <v>293</v>
      </c>
      <c r="W8" s="24" t="s">
        <v>294</v>
      </c>
      <c r="X8" s="3" t="s">
        <v>80</v>
      </c>
      <c r="Y8" s="3" t="s">
        <v>76</v>
      </c>
      <c r="Z8" s="3" t="s">
        <v>77</v>
      </c>
      <c r="AA8" s="3" t="s">
        <v>74</v>
      </c>
      <c r="AB8" s="3" t="s">
        <v>75</v>
      </c>
      <c r="AC8" s="3" t="s">
        <v>78</v>
      </c>
      <c r="AD8" s="3" t="s">
        <v>79</v>
      </c>
      <c r="AE8" s="3" t="s">
        <v>385</v>
      </c>
      <c r="AF8" s="3" t="s">
        <v>384</v>
      </c>
      <c r="AG8" s="3" t="s">
        <v>392</v>
      </c>
      <c r="AH8" s="3" t="s">
        <v>395</v>
      </c>
      <c r="AL8" s="3">
        <v>30</v>
      </c>
      <c r="AM8" s="3">
        <f t="shared" si="3"/>
        <v>22.5</v>
      </c>
      <c r="AN8" s="3">
        <f t="shared" si="4"/>
        <v>7.5</v>
      </c>
      <c r="AO8" s="3">
        <v>30</v>
      </c>
      <c r="AP8" s="3">
        <f t="shared" si="5"/>
        <v>22.5</v>
      </c>
      <c r="AQ8" s="3">
        <f t="shared" si="6"/>
        <v>7.5</v>
      </c>
      <c r="BA8" s="3">
        <f t="shared" si="7"/>
        <v>30</v>
      </c>
      <c r="BB8" s="3">
        <f t="shared" si="8"/>
        <v>0</v>
      </c>
      <c r="BC8" s="3">
        <f t="shared" si="9"/>
        <v>0</v>
      </c>
      <c r="BD8" s="3">
        <f t="shared" si="10"/>
        <v>30</v>
      </c>
      <c r="BE8" s="3">
        <f t="shared" si="11"/>
        <v>30</v>
      </c>
      <c r="BF8" s="3">
        <f t="shared" si="12"/>
        <v>30</v>
      </c>
      <c r="BG8" s="102">
        <f t="shared" si="13"/>
        <v>1</v>
      </c>
      <c r="BH8" s="102">
        <f t="shared" si="14"/>
        <v>0</v>
      </c>
      <c r="BI8" s="102">
        <f t="shared" si="15"/>
        <v>0</v>
      </c>
      <c r="BJ8" s="102">
        <f t="shared" si="16"/>
        <v>1</v>
      </c>
      <c r="BK8" s="102">
        <f t="shared" si="17"/>
        <v>1</v>
      </c>
      <c r="BL8" s="102">
        <f t="shared" si="18"/>
        <v>1</v>
      </c>
      <c r="BM8" s="102"/>
      <c r="BO8" s="3" t="s">
        <v>857</v>
      </c>
      <c r="BP8" s="123">
        <f t="shared" si="19"/>
        <v>25</v>
      </c>
      <c r="BQ8" s="3">
        <f t="shared" si="20"/>
        <v>0</v>
      </c>
      <c r="BR8" s="3">
        <f t="shared" si="21"/>
        <v>1</v>
      </c>
      <c r="BS8" s="3">
        <f t="shared" si="22"/>
        <v>1</v>
      </c>
      <c r="BT8" s="3">
        <f t="shared" si="23"/>
        <v>0</v>
      </c>
      <c r="BU8" s="3">
        <f t="shared" si="24"/>
        <v>0</v>
      </c>
      <c r="BV8" s="3">
        <f t="shared" si="25"/>
        <v>0</v>
      </c>
    </row>
    <row r="9" spans="1:74" s="3" customFormat="1" x14ac:dyDescent="0.2">
      <c r="A9" s="3" t="s">
        <v>83</v>
      </c>
      <c r="B9" s="3" t="s">
        <v>84</v>
      </c>
      <c r="C9" s="3">
        <v>30</v>
      </c>
      <c r="F9" s="3" t="s">
        <v>246</v>
      </c>
      <c r="G9" s="3" t="s">
        <v>248</v>
      </c>
      <c r="H9" s="3" t="s">
        <v>92</v>
      </c>
      <c r="I9" s="3" t="s">
        <v>14</v>
      </c>
      <c r="J9" s="3" t="str">
        <f t="shared" si="1"/>
        <v>RACKPDU-RACK-R3-Z1W-R1-08-A</v>
      </c>
      <c r="K9" s="3" t="str">
        <f t="shared" si="2"/>
        <v>RACKPDU-RACK-R3-Z1W-R1-08-B</v>
      </c>
      <c r="L9" s="3">
        <v>30</v>
      </c>
      <c r="M9" s="3">
        <f>VLOOKUP($H9,'Cooling-Rack'!$A$2:$G$265,5,FALSE)</f>
        <v>22.5</v>
      </c>
      <c r="N9" s="3">
        <f>VLOOKUP($H9,'Cooling-Rack'!$A$2:$G$265,7,FALSE)</f>
        <v>7.5</v>
      </c>
      <c r="O9" s="3">
        <v>36</v>
      </c>
      <c r="P9" s="102">
        <v>0.75</v>
      </c>
      <c r="Q9" s="102">
        <v>0.25</v>
      </c>
      <c r="R9" s="8" t="s">
        <v>30</v>
      </c>
      <c r="S9" s="10" t="s">
        <v>31</v>
      </c>
      <c r="T9" s="3" t="s">
        <v>70</v>
      </c>
      <c r="U9" s="24" t="s">
        <v>71</v>
      </c>
      <c r="V9" s="3" t="s">
        <v>293</v>
      </c>
      <c r="W9" s="24" t="s">
        <v>294</v>
      </c>
      <c r="X9" s="3" t="s">
        <v>80</v>
      </c>
      <c r="Y9" s="3" t="s">
        <v>76</v>
      </c>
      <c r="Z9" s="3" t="s">
        <v>77</v>
      </c>
      <c r="AA9" s="3" t="s">
        <v>74</v>
      </c>
      <c r="AB9" s="3" t="s">
        <v>75</v>
      </c>
      <c r="AC9" s="3" t="s">
        <v>78</v>
      </c>
      <c r="AD9" s="3" t="s">
        <v>79</v>
      </c>
      <c r="AE9" s="3" t="s">
        <v>385</v>
      </c>
      <c r="AF9" s="3" t="s">
        <v>384</v>
      </c>
      <c r="AG9" s="3" t="s">
        <v>392</v>
      </c>
      <c r="AH9" s="3" t="s">
        <v>395</v>
      </c>
      <c r="AL9" s="3">
        <v>30</v>
      </c>
      <c r="AM9" s="3">
        <f t="shared" si="3"/>
        <v>22.5</v>
      </c>
      <c r="AN9" s="3">
        <f t="shared" si="4"/>
        <v>7.5</v>
      </c>
      <c r="AO9" s="3">
        <v>30</v>
      </c>
      <c r="AP9" s="3">
        <f t="shared" si="5"/>
        <v>22.5</v>
      </c>
      <c r="AQ9" s="3">
        <f t="shared" si="6"/>
        <v>7.5</v>
      </c>
      <c r="BA9" s="3">
        <f t="shared" si="7"/>
        <v>30</v>
      </c>
      <c r="BB9" s="3">
        <f t="shared" si="8"/>
        <v>0</v>
      </c>
      <c r="BC9" s="3">
        <f t="shared" si="9"/>
        <v>0</v>
      </c>
      <c r="BD9" s="3">
        <f t="shared" si="10"/>
        <v>30</v>
      </c>
      <c r="BE9" s="3">
        <f t="shared" si="11"/>
        <v>30</v>
      </c>
      <c r="BF9" s="3">
        <f t="shared" si="12"/>
        <v>30</v>
      </c>
      <c r="BG9" s="102">
        <f t="shared" si="13"/>
        <v>1</v>
      </c>
      <c r="BH9" s="102">
        <f t="shared" si="14"/>
        <v>0</v>
      </c>
      <c r="BI9" s="102">
        <f t="shared" si="15"/>
        <v>0</v>
      </c>
      <c r="BJ9" s="102">
        <f t="shared" si="16"/>
        <v>1</v>
      </c>
      <c r="BK9" s="102">
        <f t="shared" si="17"/>
        <v>1</v>
      </c>
      <c r="BL9" s="102">
        <f t="shared" si="18"/>
        <v>1</v>
      </c>
      <c r="BM9" s="102"/>
      <c r="BO9" s="3" t="s">
        <v>858</v>
      </c>
      <c r="BP9" s="123">
        <f t="shared" si="19"/>
        <v>25</v>
      </c>
      <c r="BQ9" s="3">
        <f t="shared" si="20"/>
        <v>0</v>
      </c>
      <c r="BR9" s="3">
        <f t="shared" si="21"/>
        <v>1</v>
      </c>
      <c r="BS9" s="3">
        <f t="shared" si="22"/>
        <v>1</v>
      </c>
      <c r="BT9" s="3">
        <f t="shared" si="23"/>
        <v>0</v>
      </c>
      <c r="BU9" s="3">
        <f t="shared" si="24"/>
        <v>0</v>
      </c>
      <c r="BV9" s="3">
        <f t="shared" si="25"/>
        <v>0</v>
      </c>
    </row>
    <row r="10" spans="1:74" s="3" customFormat="1" x14ac:dyDescent="0.2">
      <c r="A10" s="3" t="s">
        <v>83</v>
      </c>
      <c r="B10" s="3" t="s">
        <v>84</v>
      </c>
      <c r="C10" s="3">
        <v>30</v>
      </c>
      <c r="F10" s="3" t="s">
        <v>246</v>
      </c>
      <c r="G10" s="3" t="s">
        <v>248</v>
      </c>
      <c r="H10" s="3" t="s">
        <v>93</v>
      </c>
      <c r="I10" s="3" t="s">
        <v>14</v>
      </c>
      <c r="J10" s="3" t="str">
        <f t="shared" si="1"/>
        <v>RACKPDU-RACK-R3-Z1W-R1-09-A</v>
      </c>
      <c r="K10" s="3" t="str">
        <f t="shared" si="2"/>
        <v>RACKPDU-RACK-R3-Z1W-R1-09-B</v>
      </c>
      <c r="L10" s="3">
        <v>30</v>
      </c>
      <c r="M10" s="3">
        <f>VLOOKUP($H10,'Cooling-Rack'!$A$2:$G$265,5,FALSE)</f>
        <v>22.5</v>
      </c>
      <c r="N10" s="3">
        <f>VLOOKUP($H10,'Cooling-Rack'!$A$2:$G$265,7,FALSE)</f>
        <v>7.5</v>
      </c>
      <c r="O10" s="3">
        <v>36</v>
      </c>
      <c r="P10" s="102">
        <v>0.75</v>
      </c>
      <c r="Q10" s="102">
        <v>0.25</v>
      </c>
      <c r="R10" s="3" t="s">
        <v>27</v>
      </c>
      <c r="S10" s="10" t="s">
        <v>31</v>
      </c>
      <c r="T10" s="3" t="s">
        <v>70</v>
      </c>
      <c r="U10" s="24" t="s">
        <v>71</v>
      </c>
      <c r="V10" s="3" t="s">
        <v>293</v>
      </c>
      <c r="W10" s="24" t="s">
        <v>294</v>
      </c>
      <c r="X10" s="3" t="s">
        <v>80</v>
      </c>
      <c r="Y10" s="3" t="s">
        <v>76</v>
      </c>
      <c r="Z10" s="3" t="s">
        <v>77</v>
      </c>
      <c r="AA10" s="3" t="s">
        <v>74</v>
      </c>
      <c r="AB10" s="3" t="s">
        <v>75</v>
      </c>
      <c r="AC10" s="3" t="s">
        <v>78</v>
      </c>
      <c r="AD10" s="3" t="s">
        <v>79</v>
      </c>
      <c r="AE10" s="3" t="s">
        <v>385</v>
      </c>
      <c r="AF10" s="3" t="s">
        <v>384</v>
      </c>
      <c r="AG10" s="3" t="s">
        <v>392</v>
      </c>
      <c r="AH10" s="3" t="s">
        <v>395</v>
      </c>
      <c r="AL10" s="3">
        <v>30</v>
      </c>
      <c r="AM10" s="3">
        <f t="shared" si="3"/>
        <v>22.5</v>
      </c>
      <c r="AN10" s="3">
        <f t="shared" si="4"/>
        <v>7.5</v>
      </c>
      <c r="AO10" s="3">
        <v>0</v>
      </c>
      <c r="AP10" s="3">
        <f t="shared" si="5"/>
        <v>0</v>
      </c>
      <c r="AQ10" s="3">
        <f t="shared" si="6"/>
        <v>0</v>
      </c>
      <c r="BA10" s="3">
        <f t="shared" si="7"/>
        <v>30</v>
      </c>
      <c r="BB10" s="3">
        <f t="shared" si="8"/>
        <v>0</v>
      </c>
      <c r="BC10" s="3">
        <f t="shared" si="9"/>
        <v>30</v>
      </c>
      <c r="BD10" s="3">
        <f t="shared" si="10"/>
        <v>30</v>
      </c>
      <c r="BE10" s="3">
        <f t="shared" si="11"/>
        <v>30</v>
      </c>
      <c r="BF10" s="3">
        <f t="shared" si="12"/>
        <v>30</v>
      </c>
      <c r="BG10" s="102">
        <f t="shared" si="13"/>
        <v>1</v>
      </c>
      <c r="BH10" s="102">
        <f t="shared" si="14"/>
        <v>0</v>
      </c>
      <c r="BI10" s="102">
        <f t="shared" si="15"/>
        <v>1</v>
      </c>
      <c r="BJ10" s="102">
        <f t="shared" si="16"/>
        <v>1</v>
      </c>
      <c r="BK10" s="102">
        <f t="shared" si="17"/>
        <v>1</v>
      </c>
      <c r="BL10" s="102">
        <f t="shared" si="18"/>
        <v>1</v>
      </c>
      <c r="BM10" s="102"/>
      <c r="BO10" s="3" t="s">
        <v>859</v>
      </c>
      <c r="BP10" s="123">
        <f t="shared" si="19"/>
        <v>25</v>
      </c>
      <c r="BQ10" s="3">
        <f t="shared" si="20"/>
        <v>0</v>
      </c>
      <c r="BR10" s="3">
        <f t="shared" si="21"/>
        <v>1</v>
      </c>
      <c r="BS10" s="3">
        <f t="shared" si="22"/>
        <v>0</v>
      </c>
      <c r="BT10" s="3">
        <f t="shared" si="23"/>
        <v>0</v>
      </c>
      <c r="BU10" s="3">
        <f t="shared" si="24"/>
        <v>0</v>
      </c>
      <c r="BV10" s="3">
        <f t="shared" si="25"/>
        <v>0</v>
      </c>
    </row>
    <row r="11" spans="1:74" s="3" customFormat="1" x14ac:dyDescent="0.2">
      <c r="A11" s="3" t="s">
        <v>83</v>
      </c>
      <c r="B11" s="3" t="s">
        <v>84</v>
      </c>
      <c r="C11" s="3">
        <v>30</v>
      </c>
      <c r="F11" s="3" t="s">
        <v>246</v>
      </c>
      <c r="G11" s="3" t="s">
        <v>248</v>
      </c>
      <c r="H11" s="3" t="s">
        <v>94</v>
      </c>
      <c r="I11" s="3" t="s">
        <v>14</v>
      </c>
      <c r="J11" s="3" t="str">
        <f t="shared" si="1"/>
        <v>RACKPDU-RACK-R3-Z1W-R1-10-A</v>
      </c>
      <c r="K11" s="3" t="str">
        <f t="shared" si="2"/>
        <v>RACKPDU-RACK-R3-Z1W-R1-10-B</v>
      </c>
      <c r="L11" s="3">
        <v>30</v>
      </c>
      <c r="M11" s="3">
        <f>VLOOKUP($H11,'Cooling-Rack'!$A$2:$G$265,5,FALSE)</f>
        <v>22.5</v>
      </c>
      <c r="N11" s="3">
        <f>VLOOKUP($H11,'Cooling-Rack'!$A$2:$G$265,7,FALSE)</f>
        <v>7.5</v>
      </c>
      <c r="O11" s="3">
        <v>36</v>
      </c>
      <c r="P11" s="102">
        <v>0.75</v>
      </c>
      <c r="Q11" s="102">
        <v>0.25</v>
      </c>
      <c r="R11" s="3" t="s">
        <v>27</v>
      </c>
      <c r="S11" s="10" t="s">
        <v>31</v>
      </c>
      <c r="T11" s="3" t="s">
        <v>70</v>
      </c>
      <c r="U11" s="24" t="s">
        <v>71</v>
      </c>
      <c r="V11" s="3" t="s">
        <v>293</v>
      </c>
      <c r="W11" s="24" t="s">
        <v>294</v>
      </c>
      <c r="X11" s="3" t="s">
        <v>80</v>
      </c>
      <c r="Y11" s="3" t="s">
        <v>76</v>
      </c>
      <c r="Z11" s="3" t="s">
        <v>77</v>
      </c>
      <c r="AA11" s="3" t="s">
        <v>74</v>
      </c>
      <c r="AB11" s="3" t="s">
        <v>75</v>
      </c>
      <c r="AC11" s="3" t="s">
        <v>78</v>
      </c>
      <c r="AD11" s="3" t="s">
        <v>79</v>
      </c>
      <c r="AE11" s="3" t="s">
        <v>385</v>
      </c>
      <c r="AF11" s="3" t="s">
        <v>384</v>
      </c>
      <c r="AG11" s="3" t="s">
        <v>392</v>
      </c>
      <c r="AH11" s="3" t="s">
        <v>395</v>
      </c>
      <c r="AL11" s="3">
        <v>30</v>
      </c>
      <c r="AM11" s="3">
        <f t="shared" si="3"/>
        <v>22.5</v>
      </c>
      <c r="AN11" s="3">
        <f t="shared" si="4"/>
        <v>7.5</v>
      </c>
      <c r="AO11" s="3">
        <v>0</v>
      </c>
      <c r="AP11" s="3">
        <f t="shared" si="5"/>
        <v>0</v>
      </c>
      <c r="AQ11" s="3">
        <f t="shared" si="6"/>
        <v>0</v>
      </c>
      <c r="BA11" s="3">
        <f t="shared" si="7"/>
        <v>30</v>
      </c>
      <c r="BB11" s="3">
        <f t="shared" si="8"/>
        <v>0</v>
      </c>
      <c r="BC11" s="3">
        <f t="shared" si="9"/>
        <v>30</v>
      </c>
      <c r="BD11" s="3">
        <f t="shared" si="10"/>
        <v>30</v>
      </c>
      <c r="BE11" s="3">
        <f t="shared" si="11"/>
        <v>30</v>
      </c>
      <c r="BF11" s="3">
        <f t="shared" si="12"/>
        <v>30</v>
      </c>
      <c r="BG11" s="102">
        <f t="shared" si="13"/>
        <v>1</v>
      </c>
      <c r="BH11" s="102">
        <f t="shared" si="14"/>
        <v>0</v>
      </c>
      <c r="BI11" s="102">
        <f t="shared" si="15"/>
        <v>1</v>
      </c>
      <c r="BJ11" s="102">
        <f t="shared" si="16"/>
        <v>1</v>
      </c>
      <c r="BK11" s="102">
        <f t="shared" si="17"/>
        <v>1</v>
      </c>
      <c r="BL11" s="102">
        <f t="shared" si="18"/>
        <v>1</v>
      </c>
      <c r="BM11" s="102"/>
      <c r="BO11" s="3" t="s">
        <v>860</v>
      </c>
      <c r="BP11" s="123">
        <f t="shared" si="19"/>
        <v>25</v>
      </c>
      <c r="BQ11" s="3">
        <f t="shared" si="20"/>
        <v>0</v>
      </c>
      <c r="BR11" s="3">
        <f t="shared" si="21"/>
        <v>1</v>
      </c>
      <c r="BS11" s="3">
        <f t="shared" si="22"/>
        <v>0</v>
      </c>
      <c r="BT11" s="3">
        <f t="shared" si="23"/>
        <v>0</v>
      </c>
      <c r="BU11" s="3">
        <f t="shared" si="24"/>
        <v>0</v>
      </c>
      <c r="BV11" s="3">
        <f t="shared" si="25"/>
        <v>0</v>
      </c>
    </row>
    <row r="12" spans="1:74" s="3" customFormat="1" x14ac:dyDescent="0.2">
      <c r="A12" s="3" t="s">
        <v>83</v>
      </c>
      <c r="B12" s="3" t="s">
        <v>84</v>
      </c>
      <c r="C12" s="3">
        <v>30</v>
      </c>
      <c r="F12" s="3" t="s">
        <v>246</v>
      </c>
      <c r="G12" s="3" t="s">
        <v>248</v>
      </c>
      <c r="H12" s="3" t="s">
        <v>95</v>
      </c>
      <c r="I12" s="3" t="s">
        <v>14</v>
      </c>
      <c r="J12" s="3" t="str">
        <f t="shared" si="1"/>
        <v>RACKPDU-RACK-R3-Z1W-R1-11-A</v>
      </c>
      <c r="K12" s="3" t="str">
        <f t="shared" si="2"/>
        <v>RACKPDU-RACK-R3-Z1W-R1-11-B</v>
      </c>
      <c r="L12" s="3">
        <v>30</v>
      </c>
      <c r="M12" s="3">
        <f>VLOOKUP($H12,'Cooling-Rack'!$A$2:$G$265,5,FALSE)</f>
        <v>22.5</v>
      </c>
      <c r="N12" s="3">
        <f>VLOOKUP($H12,'Cooling-Rack'!$A$2:$G$265,7,FALSE)</f>
        <v>7.5</v>
      </c>
      <c r="O12" s="3">
        <v>36</v>
      </c>
      <c r="P12" s="102">
        <v>0.75</v>
      </c>
      <c r="Q12" s="102">
        <v>0.25</v>
      </c>
      <c r="R12" s="3" t="s">
        <v>27</v>
      </c>
      <c r="S12" s="10" t="s">
        <v>31</v>
      </c>
      <c r="T12" s="3" t="s">
        <v>70</v>
      </c>
      <c r="U12" s="24" t="s">
        <v>71</v>
      </c>
      <c r="V12" s="3" t="s">
        <v>293</v>
      </c>
      <c r="W12" s="24" t="s">
        <v>294</v>
      </c>
      <c r="X12" s="3" t="s">
        <v>80</v>
      </c>
      <c r="Y12" s="3" t="s">
        <v>76</v>
      </c>
      <c r="Z12" s="3" t="s">
        <v>77</v>
      </c>
      <c r="AA12" s="3" t="s">
        <v>74</v>
      </c>
      <c r="AB12" s="3" t="s">
        <v>75</v>
      </c>
      <c r="AC12" s="3" t="s">
        <v>78</v>
      </c>
      <c r="AD12" s="3" t="s">
        <v>79</v>
      </c>
      <c r="AE12" s="3" t="s">
        <v>385</v>
      </c>
      <c r="AF12" s="3" t="s">
        <v>384</v>
      </c>
      <c r="AG12" s="3" t="s">
        <v>392</v>
      </c>
      <c r="AH12" s="3" t="s">
        <v>395</v>
      </c>
      <c r="AL12" s="3">
        <v>30</v>
      </c>
      <c r="AM12" s="3">
        <f t="shared" si="3"/>
        <v>22.5</v>
      </c>
      <c r="AN12" s="3">
        <f t="shared" si="4"/>
        <v>7.5</v>
      </c>
      <c r="AO12" s="3">
        <v>0</v>
      </c>
      <c r="AP12" s="3">
        <f t="shared" si="5"/>
        <v>0</v>
      </c>
      <c r="AQ12" s="3">
        <f t="shared" si="6"/>
        <v>0</v>
      </c>
      <c r="BA12" s="3">
        <f t="shared" si="7"/>
        <v>30</v>
      </c>
      <c r="BB12" s="3">
        <f t="shared" si="8"/>
        <v>0</v>
      </c>
      <c r="BC12" s="3">
        <f t="shared" si="9"/>
        <v>30</v>
      </c>
      <c r="BD12" s="3">
        <f t="shared" si="10"/>
        <v>30</v>
      </c>
      <c r="BE12" s="3">
        <f t="shared" si="11"/>
        <v>30</v>
      </c>
      <c r="BF12" s="3">
        <f t="shared" si="12"/>
        <v>30</v>
      </c>
      <c r="BG12" s="102">
        <f t="shared" si="13"/>
        <v>1</v>
      </c>
      <c r="BH12" s="102">
        <f t="shared" si="14"/>
        <v>0</v>
      </c>
      <c r="BI12" s="102">
        <f t="shared" si="15"/>
        <v>1</v>
      </c>
      <c r="BJ12" s="102">
        <f t="shared" si="16"/>
        <v>1</v>
      </c>
      <c r="BK12" s="102">
        <f t="shared" si="17"/>
        <v>1</v>
      </c>
      <c r="BL12" s="102">
        <f t="shared" si="18"/>
        <v>1</v>
      </c>
      <c r="BM12" s="102"/>
      <c r="BO12" s="3" t="s">
        <v>861</v>
      </c>
      <c r="BP12" s="123">
        <f t="shared" si="19"/>
        <v>25</v>
      </c>
      <c r="BQ12" s="3">
        <f t="shared" si="20"/>
        <v>0</v>
      </c>
      <c r="BR12" s="3">
        <f t="shared" si="21"/>
        <v>1</v>
      </c>
      <c r="BS12" s="3">
        <f t="shared" si="22"/>
        <v>0</v>
      </c>
      <c r="BT12" s="3">
        <f t="shared" si="23"/>
        <v>0</v>
      </c>
      <c r="BU12" s="3">
        <f t="shared" si="24"/>
        <v>0</v>
      </c>
      <c r="BV12" s="3">
        <f t="shared" si="25"/>
        <v>0</v>
      </c>
    </row>
    <row r="13" spans="1:74" s="3" customFormat="1" x14ac:dyDescent="0.2">
      <c r="A13" s="3" t="s">
        <v>83</v>
      </c>
      <c r="B13" s="3" t="s">
        <v>84</v>
      </c>
      <c r="C13" s="3">
        <v>30</v>
      </c>
      <c r="F13" s="3" t="s">
        <v>246</v>
      </c>
      <c r="G13" s="3" t="s">
        <v>248</v>
      </c>
      <c r="H13" s="3" t="s">
        <v>96</v>
      </c>
      <c r="I13" s="3" t="s">
        <v>14</v>
      </c>
      <c r="J13" s="3" t="str">
        <f t="shared" si="1"/>
        <v>RACKPDU-RACK-R3-Z1W-R1-12-A</v>
      </c>
      <c r="K13" s="3" t="str">
        <f t="shared" si="2"/>
        <v>RACKPDU-RACK-R3-Z1W-R1-12-B</v>
      </c>
      <c r="L13" s="3">
        <v>30</v>
      </c>
      <c r="M13" s="3">
        <f>VLOOKUP($H13,'Cooling-Rack'!$A$2:$G$265,5,FALSE)</f>
        <v>22.5</v>
      </c>
      <c r="N13" s="3">
        <f>VLOOKUP($H13,'Cooling-Rack'!$A$2:$G$265,7,FALSE)</f>
        <v>7.5</v>
      </c>
      <c r="O13" s="3">
        <v>36</v>
      </c>
      <c r="P13" s="102">
        <v>0.75</v>
      </c>
      <c r="Q13" s="102">
        <v>0.25</v>
      </c>
      <c r="R13" s="3" t="s">
        <v>27</v>
      </c>
      <c r="S13" s="10" t="s">
        <v>31</v>
      </c>
      <c r="T13" s="3" t="s">
        <v>70</v>
      </c>
      <c r="U13" s="24" t="s">
        <v>71</v>
      </c>
      <c r="V13" s="3" t="s">
        <v>293</v>
      </c>
      <c r="W13" s="24" t="s">
        <v>294</v>
      </c>
      <c r="X13" s="3" t="s">
        <v>80</v>
      </c>
      <c r="Y13" s="3" t="s">
        <v>76</v>
      </c>
      <c r="Z13" s="3" t="s">
        <v>77</v>
      </c>
      <c r="AA13" s="3" t="s">
        <v>74</v>
      </c>
      <c r="AB13" s="3" t="s">
        <v>75</v>
      </c>
      <c r="AC13" s="3" t="s">
        <v>78</v>
      </c>
      <c r="AD13" s="3" t="s">
        <v>79</v>
      </c>
      <c r="AE13" s="3" t="s">
        <v>385</v>
      </c>
      <c r="AF13" s="3" t="s">
        <v>384</v>
      </c>
      <c r="AG13" s="3" t="s">
        <v>392</v>
      </c>
      <c r="AH13" s="3" t="s">
        <v>395</v>
      </c>
      <c r="AL13" s="3">
        <v>30</v>
      </c>
      <c r="AM13" s="3">
        <f t="shared" si="3"/>
        <v>22.5</v>
      </c>
      <c r="AN13" s="3">
        <f t="shared" si="4"/>
        <v>7.5</v>
      </c>
      <c r="AO13" s="3">
        <v>0</v>
      </c>
      <c r="AP13" s="3">
        <f t="shared" si="5"/>
        <v>0</v>
      </c>
      <c r="AQ13" s="3">
        <f t="shared" si="6"/>
        <v>0</v>
      </c>
      <c r="BA13" s="3">
        <f t="shared" si="7"/>
        <v>30</v>
      </c>
      <c r="BB13" s="3">
        <f t="shared" si="8"/>
        <v>0</v>
      </c>
      <c r="BC13" s="3">
        <f t="shared" si="9"/>
        <v>30</v>
      </c>
      <c r="BD13" s="3">
        <f t="shared" si="10"/>
        <v>30</v>
      </c>
      <c r="BE13" s="3">
        <f t="shared" si="11"/>
        <v>30</v>
      </c>
      <c r="BF13" s="3">
        <f t="shared" si="12"/>
        <v>30</v>
      </c>
      <c r="BG13" s="102">
        <f t="shared" si="13"/>
        <v>1</v>
      </c>
      <c r="BH13" s="102">
        <f t="shared" si="14"/>
        <v>0</v>
      </c>
      <c r="BI13" s="102">
        <f t="shared" si="15"/>
        <v>1</v>
      </c>
      <c r="BJ13" s="102">
        <f t="shared" si="16"/>
        <v>1</v>
      </c>
      <c r="BK13" s="102">
        <f t="shared" si="17"/>
        <v>1</v>
      </c>
      <c r="BL13" s="102">
        <f t="shared" si="18"/>
        <v>1</v>
      </c>
      <c r="BM13" s="102"/>
      <c r="BO13" s="3" t="s">
        <v>862</v>
      </c>
      <c r="BP13" s="123">
        <f t="shared" si="19"/>
        <v>25</v>
      </c>
      <c r="BQ13" s="3">
        <f t="shared" si="20"/>
        <v>0</v>
      </c>
      <c r="BR13" s="3">
        <f t="shared" si="21"/>
        <v>1</v>
      </c>
      <c r="BS13" s="3">
        <f t="shared" si="22"/>
        <v>0</v>
      </c>
      <c r="BT13" s="3">
        <f t="shared" si="23"/>
        <v>0</v>
      </c>
      <c r="BU13" s="3">
        <f t="shared" si="24"/>
        <v>0</v>
      </c>
      <c r="BV13" s="3">
        <f t="shared" si="25"/>
        <v>0</v>
      </c>
    </row>
    <row r="14" spans="1:74" s="5" customFormat="1" x14ac:dyDescent="0.2">
      <c r="A14" s="5" t="s">
        <v>83</v>
      </c>
      <c r="B14" s="5" t="s">
        <v>97</v>
      </c>
      <c r="C14" s="5">
        <v>30</v>
      </c>
      <c r="F14" s="5" t="s">
        <v>246</v>
      </c>
      <c r="G14" s="5" t="s">
        <v>248</v>
      </c>
      <c r="H14" s="5" t="s">
        <v>98</v>
      </c>
      <c r="I14" s="5" t="s">
        <v>14</v>
      </c>
      <c r="J14" s="5" t="str">
        <f t="shared" si="1"/>
        <v>RACKPDU-RACK-R3-Z1W-R2-01-A</v>
      </c>
      <c r="K14" s="5" t="str">
        <f t="shared" si="2"/>
        <v>RACKPDU-RACK-R3-Z1W-R2-01-B</v>
      </c>
      <c r="L14" s="5">
        <v>30</v>
      </c>
      <c r="M14" s="5">
        <f>VLOOKUP($H14,'Cooling-Rack'!$A$2:$G$265,5,FALSE)</f>
        <v>22.5</v>
      </c>
      <c r="N14" s="5">
        <f>VLOOKUP($H14,'Cooling-Rack'!$A$2:$G$265,7,FALSE)</f>
        <v>7.5</v>
      </c>
      <c r="O14" s="5">
        <v>36</v>
      </c>
      <c r="P14" s="103">
        <v>0.75</v>
      </c>
      <c r="Q14" s="103">
        <v>0.25</v>
      </c>
      <c r="R14" s="9" t="s">
        <v>30</v>
      </c>
      <c r="S14" s="11" t="s">
        <v>31</v>
      </c>
      <c r="T14" s="5" t="s">
        <v>70</v>
      </c>
      <c r="U14" s="25" t="s">
        <v>71</v>
      </c>
      <c r="V14" s="5" t="s">
        <v>293</v>
      </c>
      <c r="W14" s="25" t="s">
        <v>294</v>
      </c>
      <c r="X14" s="5" t="s">
        <v>80</v>
      </c>
      <c r="Y14" s="5" t="s">
        <v>76</v>
      </c>
      <c r="Z14" s="5" t="s">
        <v>77</v>
      </c>
      <c r="AA14" s="5" t="s">
        <v>74</v>
      </c>
      <c r="AB14" s="5" t="s">
        <v>75</v>
      </c>
      <c r="AC14" s="5" t="s">
        <v>78</v>
      </c>
      <c r="AD14" s="5" t="s">
        <v>79</v>
      </c>
      <c r="AE14" s="5" t="s">
        <v>385</v>
      </c>
      <c r="AF14" s="5" t="s">
        <v>384</v>
      </c>
      <c r="AG14" s="5" t="s">
        <v>392</v>
      </c>
      <c r="AH14" s="5" t="s">
        <v>395</v>
      </c>
      <c r="AL14" s="5">
        <v>0</v>
      </c>
      <c r="AM14" s="5">
        <f t="shared" si="3"/>
        <v>0</v>
      </c>
      <c r="AN14" s="5">
        <f t="shared" si="4"/>
        <v>0</v>
      </c>
      <c r="AO14" s="5">
        <v>30</v>
      </c>
      <c r="AP14" s="5">
        <f t="shared" si="5"/>
        <v>22.5</v>
      </c>
      <c r="AQ14" s="5">
        <f t="shared" si="6"/>
        <v>7.5</v>
      </c>
      <c r="BA14" s="5">
        <f t="shared" si="7"/>
        <v>30</v>
      </c>
      <c r="BB14" s="5">
        <f t="shared" si="8"/>
        <v>30</v>
      </c>
      <c r="BC14" s="5">
        <f t="shared" si="9"/>
        <v>0</v>
      </c>
      <c r="BD14" s="5">
        <f t="shared" si="10"/>
        <v>30</v>
      </c>
      <c r="BE14" s="5">
        <f t="shared" si="11"/>
        <v>30</v>
      </c>
      <c r="BF14" s="5">
        <f t="shared" si="12"/>
        <v>30</v>
      </c>
      <c r="BG14" s="103">
        <f t="shared" si="13"/>
        <v>1</v>
      </c>
      <c r="BH14" s="103">
        <f t="shared" si="14"/>
        <v>1</v>
      </c>
      <c r="BI14" s="103">
        <f t="shared" si="15"/>
        <v>0</v>
      </c>
      <c r="BJ14" s="103">
        <f t="shared" si="16"/>
        <v>1</v>
      </c>
      <c r="BK14" s="103">
        <f t="shared" si="17"/>
        <v>1</v>
      </c>
      <c r="BL14" s="103">
        <f t="shared" si="18"/>
        <v>1</v>
      </c>
      <c r="BM14" s="103"/>
      <c r="BO14" s="5" t="s">
        <v>863</v>
      </c>
      <c r="BP14" s="124">
        <f t="shared" si="19"/>
        <v>25</v>
      </c>
      <c r="BQ14" s="5">
        <f t="shared" si="20"/>
        <v>0</v>
      </c>
      <c r="BR14" s="5">
        <f t="shared" si="21"/>
        <v>0</v>
      </c>
      <c r="BS14" s="5">
        <f t="shared" si="22"/>
        <v>1</v>
      </c>
      <c r="BT14" s="5">
        <f t="shared" si="23"/>
        <v>0</v>
      </c>
      <c r="BU14" s="5">
        <f t="shared" si="24"/>
        <v>0</v>
      </c>
      <c r="BV14" s="5">
        <f t="shared" si="25"/>
        <v>0</v>
      </c>
    </row>
    <row r="15" spans="1:74" s="5" customFormat="1" x14ac:dyDescent="0.2">
      <c r="A15" s="5" t="s">
        <v>83</v>
      </c>
      <c r="B15" s="5" t="s">
        <v>97</v>
      </c>
      <c r="C15" s="5">
        <v>30</v>
      </c>
      <c r="F15" s="5" t="s">
        <v>246</v>
      </c>
      <c r="G15" s="5" t="s">
        <v>248</v>
      </c>
      <c r="H15" s="5" t="s">
        <v>99</v>
      </c>
      <c r="I15" s="5" t="s">
        <v>14</v>
      </c>
      <c r="J15" s="5" t="str">
        <f t="shared" si="1"/>
        <v>RACKPDU-RACK-R3-Z1W-R2-02-A</v>
      </c>
      <c r="K15" s="5" t="str">
        <f t="shared" si="2"/>
        <v>RACKPDU-RACK-R3-Z1W-R2-02-B</v>
      </c>
      <c r="L15" s="5">
        <v>30</v>
      </c>
      <c r="M15" s="5">
        <f>VLOOKUP($H15,'Cooling-Rack'!$A$2:$G$265,5,FALSE)</f>
        <v>22.5</v>
      </c>
      <c r="N15" s="5">
        <f>VLOOKUP($H15,'Cooling-Rack'!$A$2:$G$265,7,FALSE)</f>
        <v>7.5</v>
      </c>
      <c r="O15" s="5">
        <v>36</v>
      </c>
      <c r="P15" s="103">
        <v>0.75</v>
      </c>
      <c r="Q15" s="103">
        <v>0.25</v>
      </c>
      <c r="R15" s="9" t="s">
        <v>30</v>
      </c>
      <c r="S15" s="11" t="s">
        <v>31</v>
      </c>
      <c r="T15" s="5" t="s">
        <v>70</v>
      </c>
      <c r="U15" s="25" t="s">
        <v>71</v>
      </c>
      <c r="V15" s="5" t="s">
        <v>293</v>
      </c>
      <c r="W15" s="25" t="s">
        <v>294</v>
      </c>
      <c r="X15" s="5" t="s">
        <v>80</v>
      </c>
      <c r="Y15" s="5" t="s">
        <v>76</v>
      </c>
      <c r="Z15" s="5" t="s">
        <v>77</v>
      </c>
      <c r="AA15" s="5" t="s">
        <v>74</v>
      </c>
      <c r="AB15" s="5" t="s">
        <v>75</v>
      </c>
      <c r="AC15" s="5" t="s">
        <v>78</v>
      </c>
      <c r="AD15" s="5" t="s">
        <v>79</v>
      </c>
      <c r="AE15" s="5" t="s">
        <v>385</v>
      </c>
      <c r="AF15" s="5" t="s">
        <v>384</v>
      </c>
      <c r="AG15" s="5" t="s">
        <v>392</v>
      </c>
      <c r="AH15" s="5" t="s">
        <v>395</v>
      </c>
      <c r="AL15" s="5">
        <v>0</v>
      </c>
      <c r="AM15" s="5">
        <f t="shared" si="3"/>
        <v>0</v>
      </c>
      <c r="AN15" s="5">
        <f t="shared" si="4"/>
        <v>0</v>
      </c>
      <c r="AO15" s="5">
        <v>30</v>
      </c>
      <c r="AP15" s="5">
        <f t="shared" si="5"/>
        <v>22.5</v>
      </c>
      <c r="AQ15" s="5">
        <f t="shared" si="6"/>
        <v>7.5</v>
      </c>
      <c r="BA15" s="5">
        <f t="shared" si="7"/>
        <v>30</v>
      </c>
      <c r="BB15" s="5">
        <f t="shared" si="8"/>
        <v>30</v>
      </c>
      <c r="BC15" s="5">
        <f t="shared" si="9"/>
        <v>0</v>
      </c>
      <c r="BD15" s="5">
        <f t="shared" si="10"/>
        <v>30</v>
      </c>
      <c r="BE15" s="5">
        <f t="shared" si="11"/>
        <v>30</v>
      </c>
      <c r="BF15" s="5">
        <f t="shared" si="12"/>
        <v>30</v>
      </c>
      <c r="BG15" s="103">
        <f t="shared" si="13"/>
        <v>1</v>
      </c>
      <c r="BH15" s="103">
        <f t="shared" si="14"/>
        <v>1</v>
      </c>
      <c r="BI15" s="103">
        <f t="shared" si="15"/>
        <v>0</v>
      </c>
      <c r="BJ15" s="103">
        <f t="shared" si="16"/>
        <v>1</v>
      </c>
      <c r="BK15" s="103">
        <f t="shared" si="17"/>
        <v>1</v>
      </c>
      <c r="BL15" s="103">
        <f t="shared" si="18"/>
        <v>1</v>
      </c>
      <c r="BM15" s="103"/>
      <c r="BO15" s="5" t="s">
        <v>864</v>
      </c>
      <c r="BP15" s="124">
        <f t="shared" si="19"/>
        <v>25</v>
      </c>
      <c r="BQ15" s="5">
        <f t="shared" si="20"/>
        <v>0</v>
      </c>
      <c r="BR15" s="5">
        <f t="shared" si="21"/>
        <v>0</v>
      </c>
      <c r="BS15" s="5">
        <f t="shared" si="22"/>
        <v>1</v>
      </c>
      <c r="BT15" s="5">
        <f t="shared" si="23"/>
        <v>0</v>
      </c>
      <c r="BU15" s="5">
        <f t="shared" si="24"/>
        <v>0</v>
      </c>
      <c r="BV15" s="5">
        <f t="shared" si="25"/>
        <v>0</v>
      </c>
    </row>
    <row r="16" spans="1:74" s="5" customFormat="1" x14ac:dyDescent="0.2">
      <c r="A16" s="5" t="s">
        <v>83</v>
      </c>
      <c r="B16" s="5" t="s">
        <v>97</v>
      </c>
      <c r="C16" s="5">
        <v>30</v>
      </c>
      <c r="F16" s="5" t="s">
        <v>246</v>
      </c>
      <c r="G16" s="5" t="s">
        <v>248</v>
      </c>
      <c r="H16" s="5" t="s">
        <v>100</v>
      </c>
      <c r="I16" s="5" t="s">
        <v>14</v>
      </c>
      <c r="J16" s="5" t="str">
        <f t="shared" si="1"/>
        <v>RACKPDU-RACK-R3-Z1W-R2-03-A</v>
      </c>
      <c r="K16" s="5" t="str">
        <f t="shared" si="2"/>
        <v>RACKPDU-RACK-R3-Z1W-R2-03-B</v>
      </c>
      <c r="L16" s="5">
        <v>30</v>
      </c>
      <c r="M16" s="5">
        <f>VLOOKUP($H16,'Cooling-Rack'!$A$2:$G$265,5,FALSE)</f>
        <v>22.5</v>
      </c>
      <c r="N16" s="5">
        <f>VLOOKUP($H16,'Cooling-Rack'!$A$2:$G$265,7,FALSE)</f>
        <v>7.5</v>
      </c>
      <c r="O16" s="5">
        <v>36</v>
      </c>
      <c r="P16" s="103">
        <v>0.75</v>
      </c>
      <c r="Q16" s="103">
        <v>0.25</v>
      </c>
      <c r="R16" s="9" t="s">
        <v>30</v>
      </c>
      <c r="S16" s="11" t="s">
        <v>31</v>
      </c>
      <c r="T16" s="5" t="s">
        <v>70</v>
      </c>
      <c r="U16" s="25" t="s">
        <v>71</v>
      </c>
      <c r="V16" s="5" t="s">
        <v>293</v>
      </c>
      <c r="W16" s="25" t="s">
        <v>294</v>
      </c>
      <c r="X16" s="5" t="s">
        <v>80</v>
      </c>
      <c r="Y16" s="5" t="s">
        <v>76</v>
      </c>
      <c r="Z16" s="5" t="s">
        <v>77</v>
      </c>
      <c r="AA16" s="5" t="s">
        <v>74</v>
      </c>
      <c r="AB16" s="5" t="s">
        <v>75</v>
      </c>
      <c r="AC16" s="5" t="s">
        <v>78</v>
      </c>
      <c r="AD16" s="5" t="s">
        <v>79</v>
      </c>
      <c r="AE16" s="5" t="s">
        <v>385</v>
      </c>
      <c r="AF16" s="5" t="s">
        <v>384</v>
      </c>
      <c r="AG16" s="5" t="s">
        <v>392</v>
      </c>
      <c r="AH16" s="5" t="s">
        <v>395</v>
      </c>
      <c r="AL16" s="5">
        <v>0</v>
      </c>
      <c r="AM16" s="5">
        <f t="shared" si="3"/>
        <v>0</v>
      </c>
      <c r="AN16" s="5">
        <f t="shared" si="4"/>
        <v>0</v>
      </c>
      <c r="AO16" s="5">
        <v>30</v>
      </c>
      <c r="AP16" s="5">
        <f t="shared" si="5"/>
        <v>22.5</v>
      </c>
      <c r="AQ16" s="5">
        <f t="shared" si="6"/>
        <v>7.5</v>
      </c>
      <c r="BA16" s="5">
        <f t="shared" si="7"/>
        <v>30</v>
      </c>
      <c r="BB16" s="5">
        <f t="shared" si="8"/>
        <v>30</v>
      </c>
      <c r="BC16" s="5">
        <f t="shared" si="9"/>
        <v>0</v>
      </c>
      <c r="BD16" s="5">
        <f t="shared" si="10"/>
        <v>30</v>
      </c>
      <c r="BE16" s="5">
        <f t="shared" si="11"/>
        <v>30</v>
      </c>
      <c r="BF16" s="5">
        <f t="shared" si="12"/>
        <v>30</v>
      </c>
      <c r="BG16" s="103">
        <f t="shared" si="13"/>
        <v>1</v>
      </c>
      <c r="BH16" s="103">
        <f t="shared" si="14"/>
        <v>1</v>
      </c>
      <c r="BI16" s="103">
        <f t="shared" si="15"/>
        <v>0</v>
      </c>
      <c r="BJ16" s="103">
        <f t="shared" si="16"/>
        <v>1</v>
      </c>
      <c r="BK16" s="103">
        <f t="shared" si="17"/>
        <v>1</v>
      </c>
      <c r="BL16" s="103">
        <f t="shared" si="18"/>
        <v>1</v>
      </c>
      <c r="BM16" s="103"/>
      <c r="BO16" s="5" t="s">
        <v>865</v>
      </c>
      <c r="BP16" s="124">
        <f t="shared" si="19"/>
        <v>25</v>
      </c>
      <c r="BQ16" s="5">
        <f t="shared" si="20"/>
        <v>0</v>
      </c>
      <c r="BR16" s="5">
        <f t="shared" si="21"/>
        <v>0</v>
      </c>
      <c r="BS16" s="5">
        <f t="shared" si="22"/>
        <v>1</v>
      </c>
      <c r="BT16" s="5">
        <f t="shared" si="23"/>
        <v>0</v>
      </c>
      <c r="BU16" s="5">
        <f t="shared" si="24"/>
        <v>0</v>
      </c>
      <c r="BV16" s="5">
        <f t="shared" si="25"/>
        <v>0</v>
      </c>
    </row>
    <row r="17" spans="1:74" s="5" customFormat="1" x14ac:dyDescent="0.2">
      <c r="A17" s="5" t="s">
        <v>83</v>
      </c>
      <c r="B17" s="5" t="s">
        <v>97</v>
      </c>
      <c r="C17" s="5">
        <v>30</v>
      </c>
      <c r="F17" s="5" t="s">
        <v>246</v>
      </c>
      <c r="G17" s="5" t="s">
        <v>248</v>
      </c>
      <c r="H17" s="5" t="s">
        <v>101</v>
      </c>
      <c r="I17" s="5" t="s">
        <v>14</v>
      </c>
      <c r="J17" s="5" t="str">
        <f t="shared" si="1"/>
        <v>RACKPDU-RACK-R3-Z1W-R2-04-A</v>
      </c>
      <c r="K17" s="5" t="str">
        <f t="shared" si="2"/>
        <v>RACKPDU-RACK-R3-Z1W-R2-04-B</v>
      </c>
      <c r="L17" s="5">
        <v>30</v>
      </c>
      <c r="M17" s="5">
        <f>VLOOKUP($H17,'Cooling-Rack'!$A$2:$G$265,5,FALSE)</f>
        <v>22.5</v>
      </c>
      <c r="N17" s="5">
        <f>VLOOKUP($H17,'Cooling-Rack'!$A$2:$G$265,7,FALSE)</f>
        <v>7.5</v>
      </c>
      <c r="O17" s="5">
        <v>36</v>
      </c>
      <c r="P17" s="103">
        <v>0.75</v>
      </c>
      <c r="Q17" s="103">
        <v>0.25</v>
      </c>
      <c r="R17" s="9" t="s">
        <v>30</v>
      </c>
      <c r="S17" s="11" t="s">
        <v>31</v>
      </c>
      <c r="T17" s="5" t="s">
        <v>70</v>
      </c>
      <c r="U17" s="25" t="s">
        <v>71</v>
      </c>
      <c r="V17" s="5" t="s">
        <v>293</v>
      </c>
      <c r="W17" s="25" t="s">
        <v>294</v>
      </c>
      <c r="X17" s="5" t="s">
        <v>80</v>
      </c>
      <c r="Y17" s="5" t="s">
        <v>76</v>
      </c>
      <c r="Z17" s="5" t="s">
        <v>77</v>
      </c>
      <c r="AA17" s="5" t="s">
        <v>74</v>
      </c>
      <c r="AB17" s="5" t="s">
        <v>75</v>
      </c>
      <c r="AC17" s="5" t="s">
        <v>78</v>
      </c>
      <c r="AD17" s="5" t="s">
        <v>79</v>
      </c>
      <c r="AE17" s="5" t="s">
        <v>385</v>
      </c>
      <c r="AF17" s="5" t="s">
        <v>384</v>
      </c>
      <c r="AG17" s="5" t="s">
        <v>392</v>
      </c>
      <c r="AH17" s="5" t="s">
        <v>395</v>
      </c>
      <c r="AL17" s="5">
        <v>0</v>
      </c>
      <c r="AM17" s="5">
        <f t="shared" si="3"/>
        <v>0</v>
      </c>
      <c r="AN17" s="5">
        <f t="shared" si="4"/>
        <v>0</v>
      </c>
      <c r="AO17" s="5">
        <v>30</v>
      </c>
      <c r="AP17" s="5">
        <f t="shared" si="5"/>
        <v>22.5</v>
      </c>
      <c r="AQ17" s="5">
        <f t="shared" si="6"/>
        <v>7.5</v>
      </c>
      <c r="BA17" s="5">
        <f t="shared" si="7"/>
        <v>30</v>
      </c>
      <c r="BB17" s="5">
        <f t="shared" si="8"/>
        <v>30</v>
      </c>
      <c r="BC17" s="5">
        <f t="shared" si="9"/>
        <v>0</v>
      </c>
      <c r="BD17" s="5">
        <f t="shared" si="10"/>
        <v>30</v>
      </c>
      <c r="BE17" s="5">
        <f t="shared" si="11"/>
        <v>30</v>
      </c>
      <c r="BF17" s="5">
        <f t="shared" si="12"/>
        <v>30</v>
      </c>
      <c r="BG17" s="103">
        <f t="shared" si="13"/>
        <v>1</v>
      </c>
      <c r="BH17" s="103">
        <f t="shared" si="14"/>
        <v>1</v>
      </c>
      <c r="BI17" s="103">
        <f t="shared" si="15"/>
        <v>0</v>
      </c>
      <c r="BJ17" s="103">
        <f t="shared" si="16"/>
        <v>1</v>
      </c>
      <c r="BK17" s="103">
        <f t="shared" si="17"/>
        <v>1</v>
      </c>
      <c r="BL17" s="103">
        <f t="shared" si="18"/>
        <v>1</v>
      </c>
      <c r="BM17" s="103"/>
      <c r="BO17" s="5" t="s">
        <v>866</v>
      </c>
      <c r="BP17" s="124">
        <f t="shared" si="19"/>
        <v>25</v>
      </c>
      <c r="BQ17" s="5">
        <f t="shared" si="20"/>
        <v>0</v>
      </c>
      <c r="BR17" s="5">
        <f t="shared" si="21"/>
        <v>0</v>
      </c>
      <c r="BS17" s="5">
        <f t="shared" si="22"/>
        <v>1</v>
      </c>
      <c r="BT17" s="5">
        <f t="shared" si="23"/>
        <v>0</v>
      </c>
      <c r="BU17" s="5">
        <f t="shared" si="24"/>
        <v>0</v>
      </c>
      <c r="BV17" s="5">
        <f t="shared" si="25"/>
        <v>0</v>
      </c>
    </row>
    <row r="18" spans="1:74" s="5" customFormat="1" x14ac:dyDescent="0.2">
      <c r="A18" s="5" t="s">
        <v>83</v>
      </c>
      <c r="B18" s="5" t="s">
        <v>97</v>
      </c>
      <c r="C18" s="5">
        <v>30</v>
      </c>
      <c r="F18" s="5" t="s">
        <v>246</v>
      </c>
      <c r="G18" s="5" t="s">
        <v>248</v>
      </c>
      <c r="H18" s="5" t="s">
        <v>102</v>
      </c>
      <c r="I18" s="5" t="s">
        <v>14</v>
      </c>
      <c r="J18" s="5" t="str">
        <f t="shared" si="1"/>
        <v>RACKPDU-RACK-R3-Z1W-R2-05-A</v>
      </c>
      <c r="K18" s="5" t="str">
        <f t="shared" si="2"/>
        <v>RACKPDU-RACK-R3-Z1W-R2-05-B</v>
      </c>
      <c r="L18" s="5">
        <v>30</v>
      </c>
      <c r="M18" s="5">
        <f>VLOOKUP($H18,'Cooling-Rack'!$A$2:$G$265,5,FALSE)</f>
        <v>22.5</v>
      </c>
      <c r="N18" s="5">
        <f>VLOOKUP($H18,'Cooling-Rack'!$A$2:$G$265,7,FALSE)</f>
        <v>7.5</v>
      </c>
      <c r="O18" s="5">
        <v>36</v>
      </c>
      <c r="P18" s="103">
        <v>0.75</v>
      </c>
      <c r="Q18" s="103">
        <v>0.25</v>
      </c>
      <c r="R18" s="5" t="s">
        <v>27</v>
      </c>
      <c r="S18" s="11" t="s">
        <v>31</v>
      </c>
      <c r="T18" s="5" t="s">
        <v>70</v>
      </c>
      <c r="U18" s="25" t="s">
        <v>71</v>
      </c>
      <c r="V18" s="5" t="s">
        <v>293</v>
      </c>
      <c r="W18" s="25" t="s">
        <v>294</v>
      </c>
      <c r="X18" s="5" t="s">
        <v>80</v>
      </c>
      <c r="Y18" s="5" t="s">
        <v>76</v>
      </c>
      <c r="Z18" s="5" t="s">
        <v>77</v>
      </c>
      <c r="AA18" s="5" t="s">
        <v>74</v>
      </c>
      <c r="AB18" s="5" t="s">
        <v>75</v>
      </c>
      <c r="AC18" s="5" t="s">
        <v>78</v>
      </c>
      <c r="AD18" s="5" t="s">
        <v>79</v>
      </c>
      <c r="AE18" s="5" t="s">
        <v>385</v>
      </c>
      <c r="AF18" s="5" t="s">
        <v>384</v>
      </c>
      <c r="AG18" s="5" t="s">
        <v>392</v>
      </c>
      <c r="AH18" s="5" t="s">
        <v>395</v>
      </c>
      <c r="AL18" s="5">
        <v>30</v>
      </c>
      <c r="AM18" s="5">
        <f t="shared" si="3"/>
        <v>22.5</v>
      </c>
      <c r="AN18" s="5">
        <f t="shared" si="4"/>
        <v>7.5</v>
      </c>
      <c r="AO18" s="5">
        <v>30</v>
      </c>
      <c r="AP18" s="5">
        <f t="shared" si="5"/>
        <v>22.5</v>
      </c>
      <c r="AQ18" s="5">
        <f t="shared" si="6"/>
        <v>7.5</v>
      </c>
      <c r="BA18" s="5">
        <f t="shared" si="7"/>
        <v>30</v>
      </c>
      <c r="BB18" s="5">
        <f t="shared" si="8"/>
        <v>0</v>
      </c>
      <c r="BC18" s="5">
        <f t="shared" si="9"/>
        <v>0</v>
      </c>
      <c r="BD18" s="5">
        <f t="shared" si="10"/>
        <v>30</v>
      </c>
      <c r="BE18" s="5">
        <f t="shared" si="11"/>
        <v>30</v>
      </c>
      <c r="BF18" s="5">
        <f t="shared" si="12"/>
        <v>30</v>
      </c>
      <c r="BG18" s="103">
        <f t="shared" si="13"/>
        <v>1</v>
      </c>
      <c r="BH18" s="103">
        <f t="shared" si="14"/>
        <v>0</v>
      </c>
      <c r="BI18" s="103">
        <f t="shared" si="15"/>
        <v>0</v>
      </c>
      <c r="BJ18" s="103">
        <f t="shared" si="16"/>
        <v>1</v>
      </c>
      <c r="BK18" s="103">
        <f t="shared" si="17"/>
        <v>1</v>
      </c>
      <c r="BL18" s="103">
        <f t="shared" si="18"/>
        <v>1</v>
      </c>
      <c r="BM18" s="103"/>
      <c r="BO18" s="5" t="s">
        <v>867</v>
      </c>
      <c r="BP18" s="124">
        <f t="shared" si="19"/>
        <v>25</v>
      </c>
      <c r="BQ18" s="5">
        <f t="shared" si="20"/>
        <v>0</v>
      </c>
      <c r="BR18" s="5">
        <f t="shared" si="21"/>
        <v>1</v>
      </c>
      <c r="BS18" s="5">
        <f t="shared" si="22"/>
        <v>1</v>
      </c>
      <c r="BT18" s="5">
        <f t="shared" si="23"/>
        <v>0</v>
      </c>
      <c r="BU18" s="5">
        <f t="shared" si="24"/>
        <v>0</v>
      </c>
      <c r="BV18" s="5">
        <f t="shared" si="25"/>
        <v>0</v>
      </c>
    </row>
    <row r="19" spans="1:74" s="5" customFormat="1" x14ac:dyDescent="0.2">
      <c r="A19" s="5" t="s">
        <v>83</v>
      </c>
      <c r="B19" s="5" t="s">
        <v>97</v>
      </c>
      <c r="C19" s="5">
        <v>30</v>
      </c>
      <c r="F19" s="5" t="s">
        <v>246</v>
      </c>
      <c r="G19" s="5" t="s">
        <v>248</v>
      </c>
      <c r="H19" s="5" t="s">
        <v>103</v>
      </c>
      <c r="I19" s="5" t="s">
        <v>14</v>
      </c>
      <c r="J19" s="5" t="str">
        <f t="shared" si="1"/>
        <v>RACKPDU-RACK-R3-Z1W-R2-06-A</v>
      </c>
      <c r="K19" s="5" t="str">
        <f t="shared" si="2"/>
        <v>RACKPDU-RACK-R3-Z1W-R2-06-B</v>
      </c>
      <c r="L19" s="5">
        <v>30</v>
      </c>
      <c r="M19" s="5">
        <f>VLOOKUP($H19,'Cooling-Rack'!$A$2:$G$265,5,FALSE)</f>
        <v>22.5</v>
      </c>
      <c r="N19" s="5">
        <f>VLOOKUP($H19,'Cooling-Rack'!$A$2:$G$265,7,FALSE)</f>
        <v>7.5</v>
      </c>
      <c r="O19" s="5">
        <v>36</v>
      </c>
      <c r="P19" s="103">
        <v>0.75</v>
      </c>
      <c r="Q19" s="103">
        <v>0.25</v>
      </c>
      <c r="R19" s="5" t="s">
        <v>27</v>
      </c>
      <c r="S19" s="11" t="s">
        <v>31</v>
      </c>
      <c r="T19" s="5" t="s">
        <v>70</v>
      </c>
      <c r="U19" s="25" t="s">
        <v>71</v>
      </c>
      <c r="V19" s="5" t="s">
        <v>293</v>
      </c>
      <c r="W19" s="25" t="s">
        <v>294</v>
      </c>
      <c r="X19" s="5" t="s">
        <v>80</v>
      </c>
      <c r="Y19" s="5" t="s">
        <v>76</v>
      </c>
      <c r="Z19" s="5" t="s">
        <v>77</v>
      </c>
      <c r="AA19" s="5" t="s">
        <v>74</v>
      </c>
      <c r="AB19" s="5" t="s">
        <v>75</v>
      </c>
      <c r="AC19" s="5" t="s">
        <v>78</v>
      </c>
      <c r="AD19" s="5" t="s">
        <v>79</v>
      </c>
      <c r="AE19" s="5" t="s">
        <v>385</v>
      </c>
      <c r="AF19" s="5" t="s">
        <v>384</v>
      </c>
      <c r="AG19" s="5" t="s">
        <v>392</v>
      </c>
      <c r="AH19" s="5" t="s">
        <v>395</v>
      </c>
      <c r="AL19" s="5">
        <v>30</v>
      </c>
      <c r="AM19" s="5">
        <f t="shared" si="3"/>
        <v>22.5</v>
      </c>
      <c r="AN19" s="5">
        <f t="shared" si="4"/>
        <v>7.5</v>
      </c>
      <c r="AO19" s="5">
        <v>30</v>
      </c>
      <c r="AP19" s="5">
        <f t="shared" si="5"/>
        <v>22.5</v>
      </c>
      <c r="AQ19" s="5">
        <f t="shared" si="6"/>
        <v>7.5</v>
      </c>
      <c r="BA19" s="5">
        <f t="shared" si="7"/>
        <v>30</v>
      </c>
      <c r="BB19" s="5">
        <f t="shared" si="8"/>
        <v>0</v>
      </c>
      <c r="BC19" s="5">
        <f t="shared" si="9"/>
        <v>0</v>
      </c>
      <c r="BD19" s="5">
        <f t="shared" si="10"/>
        <v>30</v>
      </c>
      <c r="BE19" s="5">
        <f t="shared" si="11"/>
        <v>30</v>
      </c>
      <c r="BF19" s="5">
        <f t="shared" si="12"/>
        <v>30</v>
      </c>
      <c r="BG19" s="103">
        <f t="shared" si="13"/>
        <v>1</v>
      </c>
      <c r="BH19" s="103">
        <f t="shared" si="14"/>
        <v>0</v>
      </c>
      <c r="BI19" s="103">
        <f t="shared" si="15"/>
        <v>0</v>
      </c>
      <c r="BJ19" s="103">
        <f t="shared" si="16"/>
        <v>1</v>
      </c>
      <c r="BK19" s="103">
        <f t="shared" si="17"/>
        <v>1</v>
      </c>
      <c r="BL19" s="103">
        <f t="shared" si="18"/>
        <v>1</v>
      </c>
      <c r="BM19" s="103"/>
      <c r="BO19" s="5" t="s">
        <v>868</v>
      </c>
      <c r="BP19" s="124">
        <f t="shared" si="19"/>
        <v>25</v>
      </c>
      <c r="BQ19" s="5">
        <f t="shared" si="20"/>
        <v>0</v>
      </c>
      <c r="BR19" s="5">
        <f t="shared" si="21"/>
        <v>1</v>
      </c>
      <c r="BS19" s="5">
        <f t="shared" si="22"/>
        <v>1</v>
      </c>
      <c r="BT19" s="5">
        <f t="shared" si="23"/>
        <v>0</v>
      </c>
      <c r="BU19" s="5">
        <f t="shared" si="24"/>
        <v>0</v>
      </c>
      <c r="BV19" s="5">
        <f t="shared" si="25"/>
        <v>0</v>
      </c>
    </row>
    <row r="20" spans="1:74" s="5" customFormat="1" x14ac:dyDescent="0.2">
      <c r="A20" s="5" t="s">
        <v>83</v>
      </c>
      <c r="B20" s="5" t="s">
        <v>97</v>
      </c>
      <c r="C20" s="5">
        <v>30</v>
      </c>
      <c r="F20" s="5" t="s">
        <v>246</v>
      </c>
      <c r="G20" s="5" t="s">
        <v>248</v>
      </c>
      <c r="H20" s="5" t="s">
        <v>104</v>
      </c>
      <c r="I20" s="5" t="s">
        <v>14</v>
      </c>
      <c r="J20" s="5" t="str">
        <f t="shared" si="1"/>
        <v>RACKPDU-RACK-R3-Z1W-R2-07-A</v>
      </c>
      <c r="K20" s="5" t="str">
        <f t="shared" si="2"/>
        <v>RACKPDU-RACK-R3-Z1W-R2-07-B</v>
      </c>
      <c r="L20" s="5">
        <v>30</v>
      </c>
      <c r="M20" s="5">
        <f>VLOOKUP($H20,'Cooling-Rack'!$A$2:$G$265,5,FALSE)</f>
        <v>22.5</v>
      </c>
      <c r="N20" s="5">
        <f>VLOOKUP($H20,'Cooling-Rack'!$A$2:$G$265,7,FALSE)</f>
        <v>7.5</v>
      </c>
      <c r="O20" s="5">
        <v>36</v>
      </c>
      <c r="P20" s="103">
        <v>0.75</v>
      </c>
      <c r="Q20" s="103">
        <v>0.25</v>
      </c>
      <c r="R20" s="5" t="s">
        <v>27</v>
      </c>
      <c r="S20" s="5" t="s">
        <v>29</v>
      </c>
      <c r="T20" s="5" t="s">
        <v>70</v>
      </c>
      <c r="U20" s="5" t="s">
        <v>72</v>
      </c>
      <c r="V20" s="5" t="s">
        <v>293</v>
      </c>
      <c r="W20" s="5" t="s">
        <v>294</v>
      </c>
      <c r="X20" s="5" t="s">
        <v>80</v>
      </c>
      <c r="Y20" s="5" t="s">
        <v>76</v>
      </c>
      <c r="Z20" s="5" t="s">
        <v>77</v>
      </c>
      <c r="AA20" s="5" t="s">
        <v>74</v>
      </c>
      <c r="AB20" s="5" t="s">
        <v>75</v>
      </c>
      <c r="AC20" s="5" t="s">
        <v>78</v>
      </c>
      <c r="AD20" s="5" t="s">
        <v>79</v>
      </c>
      <c r="AE20" s="5" t="s">
        <v>385</v>
      </c>
      <c r="AF20" s="5" t="s">
        <v>384</v>
      </c>
      <c r="AG20" s="5" t="s">
        <v>392</v>
      </c>
      <c r="AH20" s="5" t="s">
        <v>395</v>
      </c>
      <c r="AL20" s="5">
        <v>30</v>
      </c>
      <c r="AM20" s="5">
        <f t="shared" si="3"/>
        <v>22.5</v>
      </c>
      <c r="AN20" s="5">
        <f t="shared" si="4"/>
        <v>7.5</v>
      </c>
      <c r="AO20" s="5">
        <v>0</v>
      </c>
      <c r="AP20" s="5">
        <f t="shared" si="5"/>
        <v>0</v>
      </c>
      <c r="AQ20" s="5">
        <f t="shared" si="6"/>
        <v>0</v>
      </c>
      <c r="BA20" s="5">
        <f t="shared" si="7"/>
        <v>30</v>
      </c>
      <c r="BB20" s="5">
        <f t="shared" si="8"/>
        <v>0</v>
      </c>
      <c r="BC20" s="5">
        <f t="shared" si="9"/>
        <v>30</v>
      </c>
      <c r="BD20" s="5">
        <f t="shared" si="10"/>
        <v>30</v>
      </c>
      <c r="BE20" s="5">
        <f t="shared" si="11"/>
        <v>30</v>
      </c>
      <c r="BF20" s="5">
        <f t="shared" si="12"/>
        <v>30</v>
      </c>
      <c r="BG20" s="103">
        <f t="shared" si="13"/>
        <v>1</v>
      </c>
      <c r="BH20" s="103">
        <f t="shared" si="14"/>
        <v>0</v>
      </c>
      <c r="BI20" s="103">
        <f t="shared" si="15"/>
        <v>1</v>
      </c>
      <c r="BJ20" s="103">
        <f t="shared" si="16"/>
        <v>1</v>
      </c>
      <c r="BK20" s="103">
        <f t="shared" si="17"/>
        <v>1</v>
      </c>
      <c r="BL20" s="103">
        <f t="shared" si="18"/>
        <v>1</v>
      </c>
      <c r="BM20" s="103"/>
      <c r="BO20" s="5" t="s">
        <v>869</v>
      </c>
      <c r="BP20" s="124">
        <f t="shared" si="19"/>
        <v>25</v>
      </c>
      <c r="BQ20" s="5">
        <f t="shared" si="20"/>
        <v>0</v>
      </c>
      <c r="BR20" s="5">
        <f t="shared" si="21"/>
        <v>1</v>
      </c>
      <c r="BS20" s="5">
        <f t="shared" si="22"/>
        <v>0</v>
      </c>
      <c r="BT20" s="5">
        <f t="shared" si="23"/>
        <v>0</v>
      </c>
      <c r="BU20" s="5">
        <f t="shared" si="24"/>
        <v>0</v>
      </c>
      <c r="BV20" s="5">
        <f t="shared" si="25"/>
        <v>0</v>
      </c>
    </row>
    <row r="21" spans="1:74" s="5" customFormat="1" x14ac:dyDescent="0.2">
      <c r="A21" s="5" t="s">
        <v>83</v>
      </c>
      <c r="B21" s="5" t="s">
        <v>97</v>
      </c>
      <c r="C21" s="5">
        <v>30</v>
      </c>
      <c r="F21" s="5" t="s">
        <v>246</v>
      </c>
      <c r="G21" s="5" t="s">
        <v>248</v>
      </c>
      <c r="H21" s="5" t="s">
        <v>105</v>
      </c>
      <c r="I21" s="5" t="s">
        <v>14</v>
      </c>
      <c r="J21" s="5" t="str">
        <f t="shared" si="1"/>
        <v>RACKPDU-RACK-R3-Z1W-R2-08-A</v>
      </c>
      <c r="K21" s="5" t="str">
        <f t="shared" si="2"/>
        <v>RACKPDU-RACK-R3-Z1W-R2-08-B</v>
      </c>
      <c r="L21" s="5">
        <v>30</v>
      </c>
      <c r="M21" s="5">
        <f>VLOOKUP($H21,'Cooling-Rack'!$A$2:$G$265,5,FALSE)</f>
        <v>22.5</v>
      </c>
      <c r="N21" s="5">
        <f>VLOOKUP($H21,'Cooling-Rack'!$A$2:$G$265,7,FALSE)</f>
        <v>7.5</v>
      </c>
      <c r="O21" s="5">
        <v>36</v>
      </c>
      <c r="P21" s="103">
        <v>0.75</v>
      </c>
      <c r="Q21" s="103">
        <v>0.25</v>
      </c>
      <c r="R21" s="5" t="s">
        <v>27</v>
      </c>
      <c r="S21" s="5" t="s">
        <v>29</v>
      </c>
      <c r="T21" s="5" t="s">
        <v>70</v>
      </c>
      <c r="U21" s="5" t="s">
        <v>72</v>
      </c>
      <c r="V21" s="5" t="s">
        <v>293</v>
      </c>
      <c r="W21" s="5" t="s">
        <v>294</v>
      </c>
      <c r="X21" s="5" t="s">
        <v>80</v>
      </c>
      <c r="Y21" s="5" t="s">
        <v>76</v>
      </c>
      <c r="Z21" s="5" t="s">
        <v>77</v>
      </c>
      <c r="AA21" s="5" t="s">
        <v>74</v>
      </c>
      <c r="AB21" s="5" t="s">
        <v>75</v>
      </c>
      <c r="AC21" s="5" t="s">
        <v>78</v>
      </c>
      <c r="AD21" s="5" t="s">
        <v>79</v>
      </c>
      <c r="AE21" s="5" t="s">
        <v>385</v>
      </c>
      <c r="AF21" s="5" t="s">
        <v>384</v>
      </c>
      <c r="AG21" s="5" t="s">
        <v>392</v>
      </c>
      <c r="AH21" s="5" t="s">
        <v>395</v>
      </c>
      <c r="AL21" s="5">
        <v>30</v>
      </c>
      <c r="AM21" s="5">
        <f t="shared" si="3"/>
        <v>22.5</v>
      </c>
      <c r="AN21" s="5">
        <f t="shared" si="4"/>
        <v>7.5</v>
      </c>
      <c r="AO21" s="5">
        <v>0</v>
      </c>
      <c r="AP21" s="5">
        <f t="shared" si="5"/>
        <v>0</v>
      </c>
      <c r="AQ21" s="5">
        <f t="shared" si="6"/>
        <v>0</v>
      </c>
      <c r="BA21" s="5">
        <f t="shared" si="7"/>
        <v>30</v>
      </c>
      <c r="BB21" s="5">
        <f t="shared" si="8"/>
        <v>0</v>
      </c>
      <c r="BC21" s="5">
        <f t="shared" si="9"/>
        <v>30</v>
      </c>
      <c r="BD21" s="5">
        <f t="shared" si="10"/>
        <v>30</v>
      </c>
      <c r="BE21" s="5">
        <f t="shared" si="11"/>
        <v>30</v>
      </c>
      <c r="BF21" s="5">
        <f t="shared" si="12"/>
        <v>30</v>
      </c>
      <c r="BG21" s="103">
        <f t="shared" si="13"/>
        <v>1</v>
      </c>
      <c r="BH21" s="103">
        <f t="shared" si="14"/>
        <v>0</v>
      </c>
      <c r="BI21" s="103">
        <f t="shared" si="15"/>
        <v>1</v>
      </c>
      <c r="BJ21" s="103">
        <f t="shared" si="16"/>
        <v>1</v>
      </c>
      <c r="BK21" s="103">
        <f t="shared" si="17"/>
        <v>1</v>
      </c>
      <c r="BL21" s="103">
        <f t="shared" si="18"/>
        <v>1</v>
      </c>
      <c r="BM21" s="103"/>
      <c r="BO21" s="5" t="s">
        <v>870</v>
      </c>
      <c r="BP21" s="124">
        <f t="shared" si="19"/>
        <v>25</v>
      </c>
      <c r="BQ21" s="5">
        <f t="shared" si="20"/>
        <v>0</v>
      </c>
      <c r="BR21" s="5">
        <f t="shared" si="21"/>
        <v>1</v>
      </c>
      <c r="BS21" s="5">
        <f t="shared" si="22"/>
        <v>0</v>
      </c>
      <c r="BT21" s="5">
        <f t="shared" si="23"/>
        <v>0</v>
      </c>
      <c r="BU21" s="5">
        <f t="shared" si="24"/>
        <v>0</v>
      </c>
      <c r="BV21" s="5">
        <f t="shared" si="25"/>
        <v>0</v>
      </c>
    </row>
    <row r="22" spans="1:74" s="5" customFormat="1" x14ac:dyDescent="0.2">
      <c r="A22" s="5" t="s">
        <v>83</v>
      </c>
      <c r="B22" s="5" t="s">
        <v>97</v>
      </c>
      <c r="C22" s="5">
        <v>30</v>
      </c>
      <c r="F22" s="5" t="s">
        <v>246</v>
      </c>
      <c r="G22" s="5" t="s">
        <v>248</v>
      </c>
      <c r="H22" s="5" t="s">
        <v>106</v>
      </c>
      <c r="I22" s="5" t="s">
        <v>14</v>
      </c>
      <c r="J22" s="5" t="str">
        <f t="shared" si="1"/>
        <v>RACKPDU-RACK-R3-Z1W-R2-09-A</v>
      </c>
      <c r="K22" s="5" t="str">
        <f t="shared" si="2"/>
        <v>RACKPDU-RACK-R3-Z1W-R2-09-B</v>
      </c>
      <c r="L22" s="5">
        <v>30</v>
      </c>
      <c r="M22" s="5">
        <f>VLOOKUP($H22,'Cooling-Rack'!$A$2:$G$265,5,FALSE)</f>
        <v>22.5</v>
      </c>
      <c r="N22" s="5">
        <f>VLOOKUP($H22,'Cooling-Rack'!$A$2:$G$265,7,FALSE)</f>
        <v>7.5</v>
      </c>
      <c r="O22" s="5">
        <v>36</v>
      </c>
      <c r="P22" s="103">
        <v>0.75</v>
      </c>
      <c r="Q22" s="103">
        <v>0.25</v>
      </c>
      <c r="R22" s="9" t="s">
        <v>30</v>
      </c>
      <c r="S22" s="9" t="s">
        <v>28</v>
      </c>
      <c r="T22" s="5" t="s">
        <v>70</v>
      </c>
      <c r="U22" s="5" t="s">
        <v>72</v>
      </c>
      <c r="V22" s="5" t="s">
        <v>293</v>
      </c>
      <c r="W22" s="5" t="s">
        <v>294</v>
      </c>
      <c r="X22" s="5" t="s">
        <v>80</v>
      </c>
      <c r="Y22" s="5" t="s">
        <v>76</v>
      </c>
      <c r="Z22" s="5" t="s">
        <v>77</v>
      </c>
      <c r="AA22" s="5" t="s">
        <v>74</v>
      </c>
      <c r="AB22" s="5" t="s">
        <v>75</v>
      </c>
      <c r="AC22" s="5" t="s">
        <v>78</v>
      </c>
      <c r="AD22" s="5" t="s">
        <v>79</v>
      </c>
      <c r="AE22" s="5" t="s">
        <v>385</v>
      </c>
      <c r="AF22" s="5" t="s">
        <v>384</v>
      </c>
      <c r="AG22" s="5" t="s">
        <v>392</v>
      </c>
      <c r="AH22" s="5" t="s">
        <v>395</v>
      </c>
      <c r="AL22" s="5">
        <v>0</v>
      </c>
      <c r="AM22" s="5">
        <f t="shared" si="3"/>
        <v>0</v>
      </c>
      <c r="AN22" s="5">
        <f t="shared" si="4"/>
        <v>0</v>
      </c>
      <c r="AO22" s="5">
        <v>30</v>
      </c>
      <c r="AP22" s="5">
        <f t="shared" si="5"/>
        <v>22.5</v>
      </c>
      <c r="AQ22" s="5">
        <f t="shared" si="6"/>
        <v>7.5</v>
      </c>
      <c r="BA22" s="5">
        <f t="shared" si="7"/>
        <v>30</v>
      </c>
      <c r="BB22" s="5">
        <f t="shared" si="8"/>
        <v>30</v>
      </c>
      <c r="BC22" s="5">
        <f t="shared" si="9"/>
        <v>0</v>
      </c>
      <c r="BD22" s="5">
        <f t="shared" si="10"/>
        <v>30</v>
      </c>
      <c r="BE22" s="5">
        <f t="shared" si="11"/>
        <v>30</v>
      </c>
      <c r="BF22" s="5">
        <f t="shared" si="12"/>
        <v>30</v>
      </c>
      <c r="BG22" s="103">
        <f t="shared" si="13"/>
        <v>1</v>
      </c>
      <c r="BH22" s="103">
        <f t="shared" si="14"/>
        <v>1</v>
      </c>
      <c r="BI22" s="103">
        <f t="shared" si="15"/>
        <v>0</v>
      </c>
      <c r="BJ22" s="103">
        <f t="shared" si="16"/>
        <v>1</v>
      </c>
      <c r="BK22" s="103">
        <f t="shared" si="17"/>
        <v>1</v>
      </c>
      <c r="BL22" s="103">
        <f t="shared" si="18"/>
        <v>1</v>
      </c>
      <c r="BM22" s="103"/>
      <c r="BO22" s="5" t="s">
        <v>871</v>
      </c>
      <c r="BP22" s="124">
        <f t="shared" si="19"/>
        <v>25</v>
      </c>
      <c r="BQ22" s="5">
        <f t="shared" si="20"/>
        <v>0</v>
      </c>
      <c r="BR22" s="5">
        <f t="shared" si="21"/>
        <v>0</v>
      </c>
      <c r="BS22" s="5">
        <f t="shared" si="22"/>
        <v>1</v>
      </c>
      <c r="BT22" s="5">
        <f t="shared" si="23"/>
        <v>0</v>
      </c>
      <c r="BU22" s="5">
        <f t="shared" si="24"/>
        <v>0</v>
      </c>
      <c r="BV22" s="5">
        <f t="shared" si="25"/>
        <v>0</v>
      </c>
    </row>
    <row r="23" spans="1:74" s="5" customFormat="1" x14ac:dyDescent="0.2">
      <c r="A23" s="5" t="s">
        <v>83</v>
      </c>
      <c r="B23" s="5" t="s">
        <v>97</v>
      </c>
      <c r="C23" s="5">
        <v>30</v>
      </c>
      <c r="F23" s="5" t="s">
        <v>246</v>
      </c>
      <c r="G23" s="5" t="s">
        <v>248</v>
      </c>
      <c r="H23" s="5" t="s">
        <v>107</v>
      </c>
      <c r="I23" s="5" t="s">
        <v>14</v>
      </c>
      <c r="J23" s="5" t="str">
        <f t="shared" si="1"/>
        <v>RACKPDU-RACK-R3-Z1W-R2-10-A</v>
      </c>
      <c r="K23" s="5" t="str">
        <f t="shared" si="2"/>
        <v>RACKPDU-RACK-R3-Z1W-R2-10-B</v>
      </c>
      <c r="L23" s="5">
        <v>30</v>
      </c>
      <c r="M23" s="5">
        <f>VLOOKUP($H23,'Cooling-Rack'!$A$2:$G$265,5,FALSE)</f>
        <v>22.5</v>
      </c>
      <c r="N23" s="5">
        <f>VLOOKUP($H23,'Cooling-Rack'!$A$2:$G$265,7,FALSE)</f>
        <v>7.5</v>
      </c>
      <c r="O23" s="5">
        <v>36</v>
      </c>
      <c r="P23" s="103">
        <v>0.75</v>
      </c>
      <c r="Q23" s="103">
        <v>0.25</v>
      </c>
      <c r="R23" s="9" t="s">
        <v>30</v>
      </c>
      <c r="S23" s="9" t="s">
        <v>28</v>
      </c>
      <c r="T23" s="5" t="s">
        <v>70</v>
      </c>
      <c r="U23" s="5" t="s">
        <v>72</v>
      </c>
      <c r="V23" s="5" t="s">
        <v>293</v>
      </c>
      <c r="W23" s="5" t="s">
        <v>294</v>
      </c>
      <c r="X23" s="5" t="s">
        <v>80</v>
      </c>
      <c r="Y23" s="5" t="s">
        <v>76</v>
      </c>
      <c r="Z23" s="5" t="s">
        <v>77</v>
      </c>
      <c r="AA23" s="5" t="s">
        <v>74</v>
      </c>
      <c r="AB23" s="5" t="s">
        <v>75</v>
      </c>
      <c r="AC23" s="5" t="s">
        <v>78</v>
      </c>
      <c r="AD23" s="5" t="s">
        <v>79</v>
      </c>
      <c r="AE23" s="5" t="s">
        <v>385</v>
      </c>
      <c r="AF23" s="5" t="s">
        <v>384</v>
      </c>
      <c r="AG23" s="5" t="s">
        <v>392</v>
      </c>
      <c r="AH23" s="5" t="s">
        <v>395</v>
      </c>
      <c r="AL23" s="5">
        <v>0</v>
      </c>
      <c r="AM23" s="5">
        <f t="shared" si="3"/>
        <v>0</v>
      </c>
      <c r="AN23" s="5">
        <f t="shared" si="4"/>
        <v>0</v>
      </c>
      <c r="AO23" s="5">
        <v>30</v>
      </c>
      <c r="AP23" s="5">
        <f t="shared" si="5"/>
        <v>22.5</v>
      </c>
      <c r="AQ23" s="5">
        <f t="shared" si="6"/>
        <v>7.5</v>
      </c>
      <c r="BA23" s="5">
        <f t="shared" si="7"/>
        <v>30</v>
      </c>
      <c r="BB23" s="5">
        <f t="shared" si="8"/>
        <v>30</v>
      </c>
      <c r="BC23" s="5">
        <f t="shared" si="9"/>
        <v>0</v>
      </c>
      <c r="BD23" s="5">
        <f t="shared" si="10"/>
        <v>30</v>
      </c>
      <c r="BE23" s="5">
        <f t="shared" si="11"/>
        <v>30</v>
      </c>
      <c r="BF23" s="5">
        <f t="shared" si="12"/>
        <v>30</v>
      </c>
      <c r="BG23" s="103">
        <f t="shared" si="13"/>
        <v>1</v>
      </c>
      <c r="BH23" s="103">
        <f t="shared" si="14"/>
        <v>1</v>
      </c>
      <c r="BI23" s="103">
        <f t="shared" si="15"/>
        <v>0</v>
      </c>
      <c r="BJ23" s="103">
        <f t="shared" si="16"/>
        <v>1</v>
      </c>
      <c r="BK23" s="103">
        <f t="shared" si="17"/>
        <v>1</v>
      </c>
      <c r="BL23" s="103">
        <f t="shared" si="18"/>
        <v>1</v>
      </c>
      <c r="BM23" s="103"/>
      <c r="BO23" s="5" t="s">
        <v>872</v>
      </c>
      <c r="BP23" s="124">
        <f t="shared" si="19"/>
        <v>25</v>
      </c>
      <c r="BQ23" s="5">
        <f t="shared" si="20"/>
        <v>0</v>
      </c>
      <c r="BR23" s="5">
        <f t="shared" si="21"/>
        <v>0</v>
      </c>
      <c r="BS23" s="5">
        <f t="shared" si="22"/>
        <v>1</v>
      </c>
      <c r="BT23" s="5">
        <f t="shared" si="23"/>
        <v>0</v>
      </c>
      <c r="BU23" s="5">
        <f t="shared" si="24"/>
        <v>0</v>
      </c>
      <c r="BV23" s="5">
        <f t="shared" si="25"/>
        <v>0</v>
      </c>
    </row>
    <row r="24" spans="1:74" s="5" customFormat="1" x14ac:dyDescent="0.2">
      <c r="A24" s="5" t="s">
        <v>83</v>
      </c>
      <c r="B24" s="5" t="s">
        <v>97</v>
      </c>
      <c r="C24" s="5">
        <v>30</v>
      </c>
      <c r="F24" s="5" t="s">
        <v>246</v>
      </c>
      <c r="G24" s="5" t="s">
        <v>248</v>
      </c>
      <c r="H24" s="5" t="s">
        <v>108</v>
      </c>
      <c r="I24" s="5" t="s">
        <v>14</v>
      </c>
      <c r="J24" s="5" t="str">
        <f t="shared" si="1"/>
        <v>RACKPDU-RACK-R3-Z1W-R2-11-A</v>
      </c>
      <c r="K24" s="5" t="str">
        <f t="shared" si="2"/>
        <v>RACKPDU-RACK-R3-Z1W-R2-11-B</v>
      </c>
      <c r="L24" s="5">
        <v>30</v>
      </c>
      <c r="M24" s="5">
        <f>VLOOKUP($H24,'Cooling-Rack'!$A$2:$G$265,5,FALSE)</f>
        <v>22.5</v>
      </c>
      <c r="N24" s="5">
        <f>VLOOKUP($H24,'Cooling-Rack'!$A$2:$G$265,7,FALSE)</f>
        <v>7.5</v>
      </c>
      <c r="O24" s="5">
        <v>36</v>
      </c>
      <c r="P24" s="103">
        <v>0.75</v>
      </c>
      <c r="Q24" s="103">
        <v>0.25</v>
      </c>
      <c r="R24" s="9" t="s">
        <v>30</v>
      </c>
      <c r="S24" s="9" t="s">
        <v>28</v>
      </c>
      <c r="T24" s="5" t="s">
        <v>70</v>
      </c>
      <c r="U24" s="5" t="s">
        <v>72</v>
      </c>
      <c r="V24" s="5" t="s">
        <v>293</v>
      </c>
      <c r="W24" s="5" t="s">
        <v>294</v>
      </c>
      <c r="X24" s="5" t="s">
        <v>80</v>
      </c>
      <c r="Y24" s="5" t="s">
        <v>76</v>
      </c>
      <c r="Z24" s="5" t="s">
        <v>77</v>
      </c>
      <c r="AA24" s="5" t="s">
        <v>74</v>
      </c>
      <c r="AB24" s="5" t="s">
        <v>75</v>
      </c>
      <c r="AC24" s="5" t="s">
        <v>78</v>
      </c>
      <c r="AD24" s="5" t="s">
        <v>79</v>
      </c>
      <c r="AE24" s="5" t="s">
        <v>385</v>
      </c>
      <c r="AF24" s="5" t="s">
        <v>384</v>
      </c>
      <c r="AG24" s="5" t="s">
        <v>392</v>
      </c>
      <c r="AH24" s="5" t="s">
        <v>395</v>
      </c>
      <c r="AL24" s="5">
        <v>0</v>
      </c>
      <c r="AM24" s="5">
        <f t="shared" si="3"/>
        <v>0</v>
      </c>
      <c r="AN24" s="5">
        <f t="shared" si="4"/>
        <v>0</v>
      </c>
      <c r="AO24" s="5">
        <v>30</v>
      </c>
      <c r="AP24" s="5">
        <f t="shared" si="5"/>
        <v>22.5</v>
      </c>
      <c r="AQ24" s="5">
        <f t="shared" si="6"/>
        <v>7.5</v>
      </c>
      <c r="BA24" s="5">
        <f t="shared" si="7"/>
        <v>30</v>
      </c>
      <c r="BB24" s="5">
        <f t="shared" si="8"/>
        <v>30</v>
      </c>
      <c r="BC24" s="5">
        <f t="shared" si="9"/>
        <v>0</v>
      </c>
      <c r="BD24" s="5">
        <f t="shared" si="10"/>
        <v>30</v>
      </c>
      <c r="BE24" s="5">
        <f t="shared" si="11"/>
        <v>30</v>
      </c>
      <c r="BF24" s="5">
        <f t="shared" si="12"/>
        <v>30</v>
      </c>
      <c r="BG24" s="103">
        <f t="shared" si="13"/>
        <v>1</v>
      </c>
      <c r="BH24" s="103">
        <f t="shared" si="14"/>
        <v>1</v>
      </c>
      <c r="BI24" s="103">
        <f t="shared" si="15"/>
        <v>0</v>
      </c>
      <c r="BJ24" s="103">
        <f t="shared" si="16"/>
        <v>1</v>
      </c>
      <c r="BK24" s="103">
        <f t="shared" si="17"/>
        <v>1</v>
      </c>
      <c r="BL24" s="103">
        <f t="shared" si="18"/>
        <v>1</v>
      </c>
      <c r="BM24" s="103"/>
      <c r="BO24" s="5" t="s">
        <v>873</v>
      </c>
      <c r="BP24" s="124">
        <f t="shared" si="19"/>
        <v>25</v>
      </c>
      <c r="BQ24" s="5">
        <f t="shared" si="20"/>
        <v>0</v>
      </c>
      <c r="BR24" s="5">
        <f t="shared" si="21"/>
        <v>0</v>
      </c>
      <c r="BS24" s="5">
        <f t="shared" si="22"/>
        <v>1</v>
      </c>
      <c r="BT24" s="5">
        <f t="shared" si="23"/>
        <v>0</v>
      </c>
      <c r="BU24" s="5">
        <f t="shared" si="24"/>
        <v>0</v>
      </c>
      <c r="BV24" s="5">
        <f t="shared" si="25"/>
        <v>0</v>
      </c>
    </row>
    <row r="25" spans="1:74" s="5" customFormat="1" x14ac:dyDescent="0.2">
      <c r="A25" s="5" t="s">
        <v>83</v>
      </c>
      <c r="B25" s="5" t="s">
        <v>97</v>
      </c>
      <c r="C25" s="5">
        <v>30</v>
      </c>
      <c r="F25" s="5" t="s">
        <v>246</v>
      </c>
      <c r="G25" s="5" t="s">
        <v>248</v>
      </c>
      <c r="H25" s="5" t="s">
        <v>109</v>
      </c>
      <c r="I25" s="5" t="s">
        <v>14</v>
      </c>
      <c r="J25" s="5" t="str">
        <f t="shared" si="1"/>
        <v>RACKPDU-RACK-R3-Z1W-R2-12-A</v>
      </c>
      <c r="K25" s="5" t="str">
        <f t="shared" si="2"/>
        <v>RACKPDU-RACK-R3-Z1W-R2-12-B</v>
      </c>
      <c r="L25" s="5">
        <v>30</v>
      </c>
      <c r="M25" s="5">
        <f>VLOOKUP($H25,'Cooling-Rack'!$A$2:$G$265,5,FALSE)</f>
        <v>22.5</v>
      </c>
      <c r="N25" s="5">
        <f>VLOOKUP($H25,'Cooling-Rack'!$A$2:$G$265,7,FALSE)</f>
        <v>7.5</v>
      </c>
      <c r="O25" s="5">
        <v>36</v>
      </c>
      <c r="P25" s="103">
        <v>0.75</v>
      </c>
      <c r="Q25" s="103">
        <v>0.25</v>
      </c>
      <c r="R25" s="9" t="s">
        <v>30</v>
      </c>
      <c r="S25" s="9" t="s">
        <v>28</v>
      </c>
      <c r="T25" s="5" t="s">
        <v>70</v>
      </c>
      <c r="U25" s="5" t="s">
        <v>72</v>
      </c>
      <c r="V25" s="5" t="s">
        <v>293</v>
      </c>
      <c r="W25" s="5" t="s">
        <v>294</v>
      </c>
      <c r="X25" s="5" t="s">
        <v>80</v>
      </c>
      <c r="Y25" s="5" t="s">
        <v>76</v>
      </c>
      <c r="Z25" s="5" t="s">
        <v>77</v>
      </c>
      <c r="AA25" s="5" t="s">
        <v>74</v>
      </c>
      <c r="AB25" s="5" t="s">
        <v>75</v>
      </c>
      <c r="AC25" s="5" t="s">
        <v>78</v>
      </c>
      <c r="AD25" s="5" t="s">
        <v>79</v>
      </c>
      <c r="AE25" s="5" t="s">
        <v>385</v>
      </c>
      <c r="AF25" s="5" t="s">
        <v>384</v>
      </c>
      <c r="AG25" s="5" t="s">
        <v>392</v>
      </c>
      <c r="AH25" s="5" t="s">
        <v>395</v>
      </c>
      <c r="AL25" s="5">
        <v>0</v>
      </c>
      <c r="AM25" s="5">
        <f t="shared" si="3"/>
        <v>0</v>
      </c>
      <c r="AN25" s="5">
        <f t="shared" si="4"/>
        <v>0</v>
      </c>
      <c r="AO25" s="5">
        <v>30</v>
      </c>
      <c r="AP25" s="5">
        <f t="shared" si="5"/>
        <v>22.5</v>
      </c>
      <c r="AQ25" s="5">
        <f t="shared" si="6"/>
        <v>7.5</v>
      </c>
      <c r="BA25" s="5">
        <f t="shared" si="7"/>
        <v>30</v>
      </c>
      <c r="BB25" s="5">
        <f t="shared" si="8"/>
        <v>30</v>
      </c>
      <c r="BC25" s="5">
        <f t="shared" si="9"/>
        <v>0</v>
      </c>
      <c r="BD25" s="5">
        <f t="shared" si="10"/>
        <v>30</v>
      </c>
      <c r="BE25" s="5">
        <f t="shared" si="11"/>
        <v>30</v>
      </c>
      <c r="BF25" s="5">
        <f t="shared" si="12"/>
        <v>30</v>
      </c>
      <c r="BG25" s="103">
        <f t="shared" si="13"/>
        <v>1</v>
      </c>
      <c r="BH25" s="103">
        <f t="shared" si="14"/>
        <v>1</v>
      </c>
      <c r="BI25" s="103">
        <f t="shared" si="15"/>
        <v>0</v>
      </c>
      <c r="BJ25" s="103">
        <f t="shared" si="16"/>
        <v>1</v>
      </c>
      <c r="BK25" s="103">
        <f t="shared" si="17"/>
        <v>1</v>
      </c>
      <c r="BL25" s="103">
        <f t="shared" si="18"/>
        <v>1</v>
      </c>
      <c r="BM25" s="103"/>
      <c r="BO25" s="5" t="s">
        <v>874</v>
      </c>
      <c r="BP25" s="124">
        <f t="shared" si="19"/>
        <v>25</v>
      </c>
      <c r="BQ25" s="5">
        <f t="shared" si="20"/>
        <v>0</v>
      </c>
      <c r="BR25" s="5">
        <f t="shared" si="21"/>
        <v>0</v>
      </c>
      <c r="BS25" s="5">
        <f t="shared" si="22"/>
        <v>1</v>
      </c>
      <c r="BT25" s="5">
        <f t="shared" si="23"/>
        <v>0</v>
      </c>
      <c r="BU25" s="5">
        <f t="shared" si="24"/>
        <v>0</v>
      </c>
      <c r="BV25" s="5">
        <f t="shared" si="25"/>
        <v>0</v>
      </c>
    </row>
    <row r="26" spans="1:74" s="3" customFormat="1" x14ac:dyDescent="0.2">
      <c r="A26" s="3" t="s">
        <v>110</v>
      </c>
      <c r="B26" s="3" t="s">
        <v>111</v>
      </c>
      <c r="C26" s="3">
        <v>30</v>
      </c>
      <c r="F26" s="3" t="s">
        <v>246</v>
      </c>
      <c r="G26" s="3" t="s">
        <v>248</v>
      </c>
      <c r="H26" s="3" t="s">
        <v>112</v>
      </c>
      <c r="I26" s="3" t="s">
        <v>14</v>
      </c>
      <c r="J26" s="3" t="str">
        <f t="shared" si="1"/>
        <v>RACKPDU-RACK-R3-Z2W-R1-01-A</v>
      </c>
      <c r="K26" s="3" t="str">
        <f t="shared" si="2"/>
        <v>RACKPDU-RACK-R3-Z2W-R1-01-B</v>
      </c>
      <c r="L26" s="3">
        <v>30</v>
      </c>
      <c r="M26" s="3">
        <f>VLOOKUP($H26,'Cooling-Rack'!$A$2:$G$265,5,FALSE)</f>
        <v>22.5</v>
      </c>
      <c r="N26" s="3">
        <f>VLOOKUP($H26,'Cooling-Rack'!$A$2:$G$265,7,FALSE)</f>
        <v>7.5</v>
      </c>
      <c r="O26" s="3">
        <v>36</v>
      </c>
      <c r="P26" s="102">
        <v>0.75</v>
      </c>
      <c r="Q26" s="102">
        <v>0.25</v>
      </c>
      <c r="R26" s="3" t="s">
        <v>27</v>
      </c>
      <c r="S26" s="3" t="s">
        <v>29</v>
      </c>
      <c r="T26" s="3" t="s">
        <v>70</v>
      </c>
      <c r="U26" s="3" t="s">
        <v>72</v>
      </c>
      <c r="V26" s="3" t="s">
        <v>293</v>
      </c>
      <c r="W26" s="3" t="s">
        <v>294</v>
      </c>
      <c r="X26" s="3" t="s">
        <v>80</v>
      </c>
      <c r="Y26" s="3" t="s">
        <v>76</v>
      </c>
      <c r="Z26" s="3" t="s">
        <v>77</v>
      </c>
      <c r="AA26" s="3" t="s">
        <v>74</v>
      </c>
      <c r="AB26" s="3" t="s">
        <v>75</v>
      </c>
      <c r="AC26" s="3" t="s">
        <v>78</v>
      </c>
      <c r="AD26" s="3" t="s">
        <v>79</v>
      </c>
      <c r="AE26" s="3" t="s">
        <v>385</v>
      </c>
      <c r="AF26" s="3" t="s">
        <v>384</v>
      </c>
      <c r="AG26" s="3" t="s">
        <v>392</v>
      </c>
      <c r="AH26" s="3" t="s">
        <v>395</v>
      </c>
      <c r="AL26" s="3">
        <v>30</v>
      </c>
      <c r="AM26" s="3">
        <f t="shared" si="3"/>
        <v>22.5</v>
      </c>
      <c r="AN26" s="3">
        <f t="shared" si="4"/>
        <v>7.5</v>
      </c>
      <c r="AO26" s="3">
        <v>0</v>
      </c>
      <c r="AP26" s="3">
        <f t="shared" si="5"/>
        <v>0</v>
      </c>
      <c r="AQ26" s="3">
        <f t="shared" si="6"/>
        <v>0</v>
      </c>
      <c r="BA26" s="3">
        <f t="shared" si="7"/>
        <v>30</v>
      </c>
      <c r="BB26" s="3">
        <f t="shared" si="8"/>
        <v>0</v>
      </c>
      <c r="BC26" s="3">
        <f t="shared" si="9"/>
        <v>30</v>
      </c>
      <c r="BD26" s="3">
        <f t="shared" si="10"/>
        <v>30</v>
      </c>
      <c r="BE26" s="3">
        <f t="shared" si="11"/>
        <v>30</v>
      </c>
      <c r="BF26" s="3">
        <f t="shared" si="12"/>
        <v>30</v>
      </c>
      <c r="BG26" s="102">
        <f t="shared" si="13"/>
        <v>1</v>
      </c>
      <c r="BH26" s="102">
        <f t="shared" si="14"/>
        <v>0</v>
      </c>
      <c r="BI26" s="102">
        <f t="shared" si="15"/>
        <v>1</v>
      </c>
      <c r="BJ26" s="102">
        <f t="shared" si="16"/>
        <v>1</v>
      </c>
      <c r="BK26" s="102">
        <f t="shared" si="17"/>
        <v>1</v>
      </c>
      <c r="BL26" s="102">
        <f t="shared" si="18"/>
        <v>1</v>
      </c>
      <c r="BM26" s="102"/>
      <c r="BO26" s="3" t="s">
        <v>875</v>
      </c>
      <c r="BP26" s="123">
        <f t="shared" si="19"/>
        <v>25</v>
      </c>
      <c r="BQ26" s="3">
        <f t="shared" si="20"/>
        <v>0</v>
      </c>
      <c r="BR26" s="3">
        <f t="shared" si="21"/>
        <v>1</v>
      </c>
      <c r="BS26" s="3">
        <f t="shared" si="22"/>
        <v>0</v>
      </c>
      <c r="BT26" s="3">
        <f t="shared" si="23"/>
        <v>0</v>
      </c>
      <c r="BU26" s="3">
        <f t="shared" si="24"/>
        <v>0</v>
      </c>
      <c r="BV26" s="3">
        <f t="shared" si="25"/>
        <v>0</v>
      </c>
    </row>
    <row r="27" spans="1:74" s="3" customFormat="1" x14ac:dyDescent="0.2">
      <c r="A27" s="3" t="s">
        <v>110</v>
      </c>
      <c r="B27" s="3" t="s">
        <v>111</v>
      </c>
      <c r="C27" s="3">
        <v>30</v>
      </c>
      <c r="F27" s="3" t="s">
        <v>246</v>
      </c>
      <c r="G27" s="3" t="s">
        <v>248</v>
      </c>
      <c r="H27" s="3" t="s">
        <v>113</v>
      </c>
      <c r="I27" s="3" t="s">
        <v>14</v>
      </c>
      <c r="J27" s="3" t="str">
        <f t="shared" si="1"/>
        <v>RACKPDU-RACK-R3-Z2W-R1-02-A</v>
      </c>
      <c r="K27" s="3" t="str">
        <f t="shared" si="2"/>
        <v>RACKPDU-RACK-R3-Z2W-R1-02-B</v>
      </c>
      <c r="L27" s="3">
        <v>30</v>
      </c>
      <c r="M27" s="3">
        <f>VLOOKUP($H27,'Cooling-Rack'!$A$2:$G$265,5,FALSE)</f>
        <v>22.5</v>
      </c>
      <c r="N27" s="3">
        <f>VLOOKUP($H27,'Cooling-Rack'!$A$2:$G$265,7,FALSE)</f>
        <v>7.5</v>
      </c>
      <c r="O27" s="3">
        <v>36</v>
      </c>
      <c r="P27" s="102">
        <v>0.75</v>
      </c>
      <c r="Q27" s="102">
        <v>0.25</v>
      </c>
      <c r="R27" s="3" t="s">
        <v>27</v>
      </c>
      <c r="S27" s="3" t="s">
        <v>29</v>
      </c>
      <c r="T27" s="3" t="s">
        <v>70</v>
      </c>
      <c r="U27" s="3" t="s">
        <v>72</v>
      </c>
      <c r="V27" s="3" t="s">
        <v>293</v>
      </c>
      <c r="W27" s="3" t="s">
        <v>294</v>
      </c>
      <c r="X27" s="3" t="s">
        <v>80</v>
      </c>
      <c r="Y27" s="3" t="s">
        <v>76</v>
      </c>
      <c r="Z27" s="3" t="s">
        <v>77</v>
      </c>
      <c r="AA27" s="3" t="s">
        <v>74</v>
      </c>
      <c r="AB27" s="3" t="s">
        <v>75</v>
      </c>
      <c r="AC27" s="3" t="s">
        <v>78</v>
      </c>
      <c r="AD27" s="3" t="s">
        <v>79</v>
      </c>
      <c r="AE27" s="3" t="s">
        <v>385</v>
      </c>
      <c r="AF27" s="3" t="s">
        <v>384</v>
      </c>
      <c r="AG27" s="3" t="s">
        <v>392</v>
      </c>
      <c r="AH27" s="3" t="s">
        <v>395</v>
      </c>
      <c r="AL27" s="3">
        <v>30</v>
      </c>
      <c r="AM27" s="3">
        <f t="shared" si="3"/>
        <v>22.5</v>
      </c>
      <c r="AN27" s="3">
        <f t="shared" si="4"/>
        <v>7.5</v>
      </c>
      <c r="AO27" s="3">
        <v>0</v>
      </c>
      <c r="AP27" s="3">
        <f t="shared" si="5"/>
        <v>0</v>
      </c>
      <c r="AQ27" s="3">
        <f t="shared" si="6"/>
        <v>0</v>
      </c>
      <c r="BA27" s="3">
        <f t="shared" si="7"/>
        <v>30</v>
      </c>
      <c r="BB27" s="3">
        <f t="shared" si="8"/>
        <v>0</v>
      </c>
      <c r="BC27" s="3">
        <f t="shared" si="9"/>
        <v>30</v>
      </c>
      <c r="BD27" s="3">
        <f t="shared" si="10"/>
        <v>30</v>
      </c>
      <c r="BE27" s="3">
        <f t="shared" si="11"/>
        <v>30</v>
      </c>
      <c r="BF27" s="3">
        <f t="shared" si="12"/>
        <v>30</v>
      </c>
      <c r="BG27" s="102">
        <f t="shared" si="13"/>
        <v>1</v>
      </c>
      <c r="BH27" s="102">
        <f t="shared" si="14"/>
        <v>0</v>
      </c>
      <c r="BI27" s="102">
        <f t="shared" si="15"/>
        <v>1</v>
      </c>
      <c r="BJ27" s="102">
        <f t="shared" si="16"/>
        <v>1</v>
      </c>
      <c r="BK27" s="102">
        <f t="shared" si="17"/>
        <v>1</v>
      </c>
      <c r="BL27" s="102">
        <f t="shared" si="18"/>
        <v>1</v>
      </c>
      <c r="BM27" s="102"/>
      <c r="BO27" s="3" t="s">
        <v>876</v>
      </c>
      <c r="BP27" s="123">
        <f t="shared" si="19"/>
        <v>25</v>
      </c>
      <c r="BQ27" s="3">
        <f t="shared" si="20"/>
        <v>0</v>
      </c>
      <c r="BR27" s="3">
        <f t="shared" si="21"/>
        <v>1</v>
      </c>
      <c r="BS27" s="3">
        <f t="shared" si="22"/>
        <v>0</v>
      </c>
      <c r="BT27" s="3">
        <f t="shared" si="23"/>
        <v>0</v>
      </c>
      <c r="BU27" s="3">
        <f t="shared" si="24"/>
        <v>0</v>
      </c>
      <c r="BV27" s="3">
        <f t="shared" si="25"/>
        <v>0</v>
      </c>
    </row>
    <row r="28" spans="1:74" s="3" customFormat="1" x14ac:dyDescent="0.2">
      <c r="A28" s="3" t="s">
        <v>110</v>
      </c>
      <c r="B28" s="3" t="s">
        <v>111</v>
      </c>
      <c r="C28" s="3">
        <v>30</v>
      </c>
      <c r="F28" s="3" t="s">
        <v>246</v>
      </c>
      <c r="G28" s="3" t="s">
        <v>248</v>
      </c>
      <c r="H28" s="3" t="s">
        <v>114</v>
      </c>
      <c r="I28" s="3" t="s">
        <v>14</v>
      </c>
      <c r="J28" s="3" t="str">
        <f t="shared" si="1"/>
        <v>RACKPDU-RACK-R3-Z2W-R1-03-A</v>
      </c>
      <c r="K28" s="3" t="str">
        <f t="shared" si="2"/>
        <v>RACKPDU-RACK-R3-Z2W-R1-03-B</v>
      </c>
      <c r="L28" s="3">
        <v>30</v>
      </c>
      <c r="M28" s="3">
        <f>VLOOKUP($H28,'Cooling-Rack'!$A$2:$G$265,5,FALSE)</f>
        <v>22.5</v>
      </c>
      <c r="N28" s="3">
        <f>VLOOKUP($H28,'Cooling-Rack'!$A$2:$G$265,7,FALSE)</f>
        <v>7.5</v>
      </c>
      <c r="O28" s="3">
        <v>36</v>
      </c>
      <c r="P28" s="102">
        <v>0.75</v>
      </c>
      <c r="Q28" s="102">
        <v>0.25</v>
      </c>
      <c r="R28" s="3" t="s">
        <v>27</v>
      </c>
      <c r="S28" s="3" t="s">
        <v>29</v>
      </c>
      <c r="T28" s="3" t="s">
        <v>70</v>
      </c>
      <c r="U28" s="3" t="s">
        <v>72</v>
      </c>
      <c r="V28" s="3" t="s">
        <v>293</v>
      </c>
      <c r="W28" s="3" t="s">
        <v>294</v>
      </c>
      <c r="X28" s="3" t="s">
        <v>80</v>
      </c>
      <c r="Y28" s="3" t="s">
        <v>76</v>
      </c>
      <c r="Z28" s="3" t="s">
        <v>77</v>
      </c>
      <c r="AA28" s="3" t="s">
        <v>74</v>
      </c>
      <c r="AB28" s="3" t="s">
        <v>75</v>
      </c>
      <c r="AC28" s="3" t="s">
        <v>78</v>
      </c>
      <c r="AD28" s="3" t="s">
        <v>79</v>
      </c>
      <c r="AE28" s="3" t="s">
        <v>385</v>
      </c>
      <c r="AF28" s="3" t="s">
        <v>384</v>
      </c>
      <c r="AG28" s="3" t="s">
        <v>392</v>
      </c>
      <c r="AH28" s="3" t="s">
        <v>395</v>
      </c>
      <c r="AL28" s="3">
        <v>30</v>
      </c>
      <c r="AM28" s="3">
        <f t="shared" si="3"/>
        <v>22.5</v>
      </c>
      <c r="AN28" s="3">
        <f t="shared" si="4"/>
        <v>7.5</v>
      </c>
      <c r="AO28" s="3">
        <v>0</v>
      </c>
      <c r="AP28" s="3">
        <f t="shared" si="5"/>
        <v>0</v>
      </c>
      <c r="AQ28" s="3">
        <f t="shared" si="6"/>
        <v>0</v>
      </c>
      <c r="BA28" s="3">
        <f t="shared" si="7"/>
        <v>30</v>
      </c>
      <c r="BB28" s="3">
        <f t="shared" si="8"/>
        <v>0</v>
      </c>
      <c r="BC28" s="3">
        <f t="shared" si="9"/>
        <v>30</v>
      </c>
      <c r="BD28" s="3">
        <f t="shared" si="10"/>
        <v>30</v>
      </c>
      <c r="BE28" s="3">
        <f t="shared" si="11"/>
        <v>30</v>
      </c>
      <c r="BF28" s="3">
        <f t="shared" si="12"/>
        <v>30</v>
      </c>
      <c r="BG28" s="102">
        <f t="shared" si="13"/>
        <v>1</v>
      </c>
      <c r="BH28" s="102">
        <f t="shared" si="14"/>
        <v>0</v>
      </c>
      <c r="BI28" s="102">
        <f t="shared" si="15"/>
        <v>1</v>
      </c>
      <c r="BJ28" s="102">
        <f t="shared" si="16"/>
        <v>1</v>
      </c>
      <c r="BK28" s="102">
        <f t="shared" si="17"/>
        <v>1</v>
      </c>
      <c r="BL28" s="102">
        <f t="shared" si="18"/>
        <v>1</v>
      </c>
      <c r="BM28" s="102"/>
      <c r="BO28" s="3" t="s">
        <v>877</v>
      </c>
      <c r="BP28" s="123">
        <f t="shared" si="19"/>
        <v>25</v>
      </c>
      <c r="BQ28" s="3">
        <f t="shared" si="20"/>
        <v>0</v>
      </c>
      <c r="BR28" s="3">
        <f t="shared" si="21"/>
        <v>1</v>
      </c>
      <c r="BS28" s="3">
        <f t="shared" si="22"/>
        <v>0</v>
      </c>
      <c r="BT28" s="3">
        <f t="shared" si="23"/>
        <v>0</v>
      </c>
      <c r="BU28" s="3">
        <f t="shared" si="24"/>
        <v>0</v>
      </c>
      <c r="BV28" s="3">
        <f t="shared" si="25"/>
        <v>0</v>
      </c>
    </row>
    <row r="29" spans="1:74" s="3" customFormat="1" x14ac:dyDescent="0.2">
      <c r="A29" s="3" t="s">
        <v>110</v>
      </c>
      <c r="B29" s="3" t="s">
        <v>111</v>
      </c>
      <c r="C29" s="3">
        <v>30</v>
      </c>
      <c r="F29" s="3" t="s">
        <v>246</v>
      </c>
      <c r="G29" s="3" t="s">
        <v>248</v>
      </c>
      <c r="H29" s="3" t="s">
        <v>115</v>
      </c>
      <c r="I29" s="3" t="s">
        <v>14</v>
      </c>
      <c r="J29" s="3" t="str">
        <f t="shared" si="1"/>
        <v>RACKPDU-RACK-R3-Z2W-R1-04-A</v>
      </c>
      <c r="K29" s="3" t="str">
        <f t="shared" si="2"/>
        <v>RACKPDU-RACK-R3-Z2W-R1-04-B</v>
      </c>
      <c r="L29" s="3">
        <v>30</v>
      </c>
      <c r="M29" s="3">
        <f>VLOOKUP($H29,'Cooling-Rack'!$A$2:$G$265,5,FALSE)</f>
        <v>22.5</v>
      </c>
      <c r="N29" s="3">
        <f>VLOOKUP($H29,'Cooling-Rack'!$A$2:$G$265,7,FALSE)</f>
        <v>7.5</v>
      </c>
      <c r="O29" s="3">
        <v>36</v>
      </c>
      <c r="P29" s="102">
        <v>0.75</v>
      </c>
      <c r="Q29" s="102">
        <v>0.25</v>
      </c>
      <c r="R29" s="3" t="s">
        <v>27</v>
      </c>
      <c r="S29" s="3" t="s">
        <v>29</v>
      </c>
      <c r="T29" s="3" t="s">
        <v>70</v>
      </c>
      <c r="U29" s="3" t="s">
        <v>72</v>
      </c>
      <c r="V29" s="3" t="s">
        <v>293</v>
      </c>
      <c r="W29" s="3" t="s">
        <v>294</v>
      </c>
      <c r="X29" s="3" t="s">
        <v>80</v>
      </c>
      <c r="Y29" s="3" t="s">
        <v>76</v>
      </c>
      <c r="Z29" s="3" t="s">
        <v>77</v>
      </c>
      <c r="AA29" s="3" t="s">
        <v>74</v>
      </c>
      <c r="AB29" s="3" t="s">
        <v>75</v>
      </c>
      <c r="AC29" s="3" t="s">
        <v>78</v>
      </c>
      <c r="AD29" s="3" t="s">
        <v>79</v>
      </c>
      <c r="AE29" s="3" t="s">
        <v>385</v>
      </c>
      <c r="AF29" s="3" t="s">
        <v>384</v>
      </c>
      <c r="AG29" s="3" t="s">
        <v>392</v>
      </c>
      <c r="AH29" s="3" t="s">
        <v>395</v>
      </c>
      <c r="AL29" s="3">
        <v>30</v>
      </c>
      <c r="AM29" s="3">
        <f t="shared" si="3"/>
        <v>22.5</v>
      </c>
      <c r="AN29" s="3">
        <f t="shared" si="4"/>
        <v>7.5</v>
      </c>
      <c r="AO29" s="3">
        <v>0</v>
      </c>
      <c r="AP29" s="3">
        <f t="shared" si="5"/>
        <v>0</v>
      </c>
      <c r="AQ29" s="3">
        <f t="shared" si="6"/>
        <v>0</v>
      </c>
      <c r="BA29" s="3">
        <f t="shared" si="7"/>
        <v>30</v>
      </c>
      <c r="BB29" s="3">
        <f t="shared" si="8"/>
        <v>0</v>
      </c>
      <c r="BC29" s="3">
        <f t="shared" si="9"/>
        <v>30</v>
      </c>
      <c r="BD29" s="3">
        <f t="shared" si="10"/>
        <v>30</v>
      </c>
      <c r="BE29" s="3">
        <f t="shared" si="11"/>
        <v>30</v>
      </c>
      <c r="BF29" s="3">
        <f t="shared" si="12"/>
        <v>30</v>
      </c>
      <c r="BG29" s="102">
        <f t="shared" si="13"/>
        <v>1</v>
      </c>
      <c r="BH29" s="102">
        <f t="shared" si="14"/>
        <v>0</v>
      </c>
      <c r="BI29" s="102">
        <f t="shared" si="15"/>
        <v>1</v>
      </c>
      <c r="BJ29" s="102">
        <f t="shared" si="16"/>
        <v>1</v>
      </c>
      <c r="BK29" s="102">
        <f t="shared" si="17"/>
        <v>1</v>
      </c>
      <c r="BL29" s="102">
        <f t="shared" si="18"/>
        <v>1</v>
      </c>
      <c r="BM29" s="102"/>
      <c r="BO29" s="3" t="s">
        <v>878</v>
      </c>
      <c r="BP29" s="123">
        <f t="shared" si="19"/>
        <v>25</v>
      </c>
      <c r="BQ29" s="3">
        <f t="shared" si="20"/>
        <v>0</v>
      </c>
      <c r="BR29" s="3">
        <f t="shared" si="21"/>
        <v>1</v>
      </c>
      <c r="BS29" s="3">
        <f t="shared" si="22"/>
        <v>0</v>
      </c>
      <c r="BT29" s="3">
        <f t="shared" si="23"/>
        <v>0</v>
      </c>
      <c r="BU29" s="3">
        <f t="shared" si="24"/>
        <v>0</v>
      </c>
      <c r="BV29" s="3">
        <f t="shared" si="25"/>
        <v>0</v>
      </c>
    </row>
    <row r="30" spans="1:74" s="3" customFormat="1" x14ac:dyDescent="0.2">
      <c r="A30" s="3" t="s">
        <v>110</v>
      </c>
      <c r="B30" s="3" t="s">
        <v>111</v>
      </c>
      <c r="C30" s="3">
        <v>30</v>
      </c>
      <c r="F30" s="3" t="s">
        <v>246</v>
      </c>
      <c r="G30" s="3" t="s">
        <v>248</v>
      </c>
      <c r="H30" s="3" t="s">
        <v>116</v>
      </c>
      <c r="I30" s="3" t="s">
        <v>14</v>
      </c>
      <c r="J30" s="3" t="str">
        <f t="shared" si="1"/>
        <v>RACKPDU-RACK-R3-Z2W-R1-05-A</v>
      </c>
      <c r="K30" s="3" t="str">
        <f t="shared" si="2"/>
        <v>RACKPDU-RACK-R3-Z2W-R1-05-B</v>
      </c>
      <c r="L30" s="3">
        <v>30</v>
      </c>
      <c r="M30" s="3">
        <f>VLOOKUP($H30,'Cooling-Rack'!$A$2:$G$265,5,FALSE)</f>
        <v>22.5</v>
      </c>
      <c r="N30" s="3">
        <f>VLOOKUP($H30,'Cooling-Rack'!$A$2:$G$265,7,FALSE)</f>
        <v>7.5</v>
      </c>
      <c r="O30" s="3">
        <v>36</v>
      </c>
      <c r="P30" s="102">
        <v>0.75</v>
      </c>
      <c r="Q30" s="102">
        <v>0.25</v>
      </c>
      <c r="R30" s="8" t="s">
        <v>30</v>
      </c>
      <c r="S30" s="3" t="s">
        <v>29</v>
      </c>
      <c r="T30" s="3" t="s">
        <v>70</v>
      </c>
      <c r="U30" s="3" t="s">
        <v>72</v>
      </c>
      <c r="V30" s="3" t="s">
        <v>293</v>
      </c>
      <c r="W30" s="3" t="s">
        <v>294</v>
      </c>
      <c r="X30" s="3" t="s">
        <v>80</v>
      </c>
      <c r="Y30" s="3" t="s">
        <v>76</v>
      </c>
      <c r="Z30" s="3" t="s">
        <v>77</v>
      </c>
      <c r="AA30" s="3" t="s">
        <v>74</v>
      </c>
      <c r="AB30" s="3" t="s">
        <v>75</v>
      </c>
      <c r="AC30" s="3" t="s">
        <v>78</v>
      </c>
      <c r="AD30" s="3" t="s">
        <v>79</v>
      </c>
      <c r="AE30" s="3" t="s">
        <v>385</v>
      </c>
      <c r="AF30" s="3" t="s">
        <v>384</v>
      </c>
      <c r="AG30" s="3" t="s">
        <v>392</v>
      </c>
      <c r="AH30" s="3" t="s">
        <v>395</v>
      </c>
      <c r="AL30" s="3">
        <v>30</v>
      </c>
      <c r="AM30" s="3">
        <f t="shared" si="3"/>
        <v>22.5</v>
      </c>
      <c r="AN30" s="3">
        <f t="shared" si="4"/>
        <v>7.5</v>
      </c>
      <c r="AO30" s="3">
        <v>30</v>
      </c>
      <c r="AP30" s="3">
        <f t="shared" si="5"/>
        <v>22.5</v>
      </c>
      <c r="AQ30" s="3">
        <f t="shared" si="6"/>
        <v>7.5</v>
      </c>
      <c r="BA30" s="3">
        <f t="shared" si="7"/>
        <v>30</v>
      </c>
      <c r="BB30" s="3">
        <f t="shared" si="8"/>
        <v>0</v>
      </c>
      <c r="BC30" s="3">
        <f t="shared" si="9"/>
        <v>0</v>
      </c>
      <c r="BD30" s="3">
        <f t="shared" si="10"/>
        <v>30</v>
      </c>
      <c r="BE30" s="3">
        <f t="shared" si="11"/>
        <v>30</v>
      </c>
      <c r="BF30" s="3">
        <f t="shared" si="12"/>
        <v>30</v>
      </c>
      <c r="BG30" s="102">
        <f>BA30/$L30</f>
        <v>1</v>
      </c>
      <c r="BH30" s="102">
        <f t="shared" si="14"/>
        <v>0</v>
      </c>
      <c r="BI30" s="102">
        <f t="shared" si="15"/>
        <v>0</v>
      </c>
      <c r="BJ30" s="102">
        <f t="shared" si="16"/>
        <v>1</v>
      </c>
      <c r="BK30" s="102">
        <f t="shared" si="17"/>
        <v>1</v>
      </c>
      <c r="BL30" s="102">
        <f t="shared" si="18"/>
        <v>1</v>
      </c>
      <c r="BM30" s="102"/>
      <c r="BO30" s="3" t="s">
        <v>879</v>
      </c>
      <c r="BP30" s="123">
        <f t="shared" si="19"/>
        <v>25</v>
      </c>
      <c r="BQ30" s="3">
        <f t="shared" si="20"/>
        <v>0</v>
      </c>
      <c r="BR30" s="3">
        <f t="shared" si="21"/>
        <v>1</v>
      </c>
      <c r="BS30" s="3">
        <f t="shared" si="22"/>
        <v>1</v>
      </c>
      <c r="BT30" s="3">
        <f t="shared" si="23"/>
        <v>0</v>
      </c>
      <c r="BU30" s="3">
        <f t="shared" si="24"/>
        <v>0</v>
      </c>
      <c r="BV30" s="3">
        <f t="shared" si="25"/>
        <v>0</v>
      </c>
    </row>
    <row r="31" spans="1:74" s="3" customFormat="1" x14ac:dyDescent="0.2">
      <c r="A31" s="3" t="s">
        <v>110</v>
      </c>
      <c r="B31" s="3" t="s">
        <v>111</v>
      </c>
      <c r="C31" s="3">
        <v>30</v>
      </c>
      <c r="F31" s="3" t="s">
        <v>246</v>
      </c>
      <c r="G31" s="3" t="s">
        <v>248</v>
      </c>
      <c r="H31" s="3" t="s">
        <v>117</v>
      </c>
      <c r="I31" s="3" t="s">
        <v>14</v>
      </c>
      <c r="J31" s="3" t="str">
        <f t="shared" si="1"/>
        <v>RACKPDU-RACK-R3-Z2W-R1-06-A</v>
      </c>
      <c r="K31" s="3" t="str">
        <f t="shared" si="2"/>
        <v>RACKPDU-RACK-R3-Z2W-R1-06-B</v>
      </c>
      <c r="L31" s="3">
        <v>30</v>
      </c>
      <c r="M31" s="3">
        <f>VLOOKUP($H31,'Cooling-Rack'!$A$2:$G$265,5,FALSE)</f>
        <v>22.5</v>
      </c>
      <c r="N31" s="3">
        <f>VLOOKUP($H31,'Cooling-Rack'!$A$2:$G$265,7,FALSE)</f>
        <v>7.5</v>
      </c>
      <c r="O31" s="3">
        <v>36</v>
      </c>
      <c r="P31" s="102">
        <v>0.75</v>
      </c>
      <c r="Q31" s="102">
        <v>0.25</v>
      </c>
      <c r="R31" s="8" t="s">
        <v>30</v>
      </c>
      <c r="S31" s="3" t="s">
        <v>29</v>
      </c>
      <c r="T31" s="3" t="s">
        <v>70</v>
      </c>
      <c r="U31" s="3" t="s">
        <v>72</v>
      </c>
      <c r="V31" s="3" t="s">
        <v>293</v>
      </c>
      <c r="W31" s="3" t="s">
        <v>294</v>
      </c>
      <c r="X31" s="3" t="s">
        <v>80</v>
      </c>
      <c r="Y31" s="3" t="s">
        <v>76</v>
      </c>
      <c r="Z31" s="3" t="s">
        <v>77</v>
      </c>
      <c r="AA31" s="3" t="s">
        <v>74</v>
      </c>
      <c r="AB31" s="3" t="s">
        <v>75</v>
      </c>
      <c r="AC31" s="3" t="s">
        <v>78</v>
      </c>
      <c r="AD31" s="3" t="s">
        <v>79</v>
      </c>
      <c r="AE31" s="3" t="s">
        <v>385</v>
      </c>
      <c r="AF31" s="3" t="s">
        <v>384</v>
      </c>
      <c r="AG31" s="3" t="s">
        <v>392</v>
      </c>
      <c r="AH31" s="3" t="s">
        <v>395</v>
      </c>
      <c r="AL31" s="3">
        <v>30</v>
      </c>
      <c r="AM31" s="3">
        <f t="shared" si="3"/>
        <v>22.5</v>
      </c>
      <c r="AN31" s="3">
        <f t="shared" si="4"/>
        <v>7.5</v>
      </c>
      <c r="AO31" s="3">
        <v>30</v>
      </c>
      <c r="AP31" s="3">
        <f t="shared" si="5"/>
        <v>22.5</v>
      </c>
      <c r="AQ31" s="3">
        <f t="shared" si="6"/>
        <v>7.5</v>
      </c>
      <c r="BA31" s="3">
        <f t="shared" si="7"/>
        <v>30</v>
      </c>
      <c r="BB31" s="3">
        <f t="shared" si="8"/>
        <v>0</v>
      </c>
      <c r="BC31" s="3">
        <f t="shared" si="9"/>
        <v>0</v>
      </c>
      <c r="BD31" s="3">
        <f t="shared" si="10"/>
        <v>30</v>
      </c>
      <c r="BE31" s="3">
        <f t="shared" si="11"/>
        <v>30</v>
      </c>
      <c r="BF31" s="3">
        <f t="shared" si="12"/>
        <v>30</v>
      </c>
      <c r="BG31" s="102">
        <f t="shared" si="13"/>
        <v>1</v>
      </c>
      <c r="BH31" s="102">
        <f t="shared" si="14"/>
        <v>0</v>
      </c>
      <c r="BI31" s="102">
        <f t="shared" si="15"/>
        <v>0</v>
      </c>
      <c r="BJ31" s="102">
        <f t="shared" si="16"/>
        <v>1</v>
      </c>
      <c r="BK31" s="102">
        <f t="shared" si="17"/>
        <v>1</v>
      </c>
      <c r="BL31" s="102">
        <f t="shared" si="18"/>
        <v>1</v>
      </c>
      <c r="BM31" s="102"/>
      <c r="BO31" s="3" t="s">
        <v>880</v>
      </c>
      <c r="BP31" s="123">
        <f t="shared" si="19"/>
        <v>25</v>
      </c>
      <c r="BQ31" s="3">
        <f t="shared" si="20"/>
        <v>0</v>
      </c>
      <c r="BR31" s="3">
        <f t="shared" si="21"/>
        <v>1</v>
      </c>
      <c r="BS31" s="3">
        <f t="shared" si="22"/>
        <v>1</v>
      </c>
      <c r="BT31" s="3">
        <f t="shared" si="23"/>
        <v>0</v>
      </c>
      <c r="BU31" s="3">
        <f t="shared" si="24"/>
        <v>0</v>
      </c>
      <c r="BV31" s="3">
        <f t="shared" si="25"/>
        <v>0</v>
      </c>
    </row>
    <row r="32" spans="1:74" s="3" customFormat="1" x14ac:dyDescent="0.2">
      <c r="A32" s="3" t="s">
        <v>110</v>
      </c>
      <c r="B32" s="3" t="s">
        <v>111</v>
      </c>
      <c r="C32" s="3">
        <v>30</v>
      </c>
      <c r="F32" s="3" t="s">
        <v>246</v>
      </c>
      <c r="G32" s="3" t="s">
        <v>248</v>
      </c>
      <c r="H32" s="3" t="s">
        <v>118</v>
      </c>
      <c r="I32" s="3" t="s">
        <v>14</v>
      </c>
      <c r="J32" s="3" t="str">
        <f t="shared" si="1"/>
        <v>RACKPDU-RACK-R3-Z2W-R1-07-A</v>
      </c>
      <c r="K32" s="3" t="str">
        <f t="shared" si="2"/>
        <v>RACKPDU-RACK-R3-Z2W-R1-07-B</v>
      </c>
      <c r="L32" s="3">
        <v>30</v>
      </c>
      <c r="M32" s="3">
        <f>VLOOKUP($H32,'Cooling-Rack'!$A$2:$G$265,5,FALSE)</f>
        <v>22.5</v>
      </c>
      <c r="N32" s="3">
        <f>VLOOKUP($H32,'Cooling-Rack'!$A$2:$G$265,7,FALSE)</f>
        <v>7.5</v>
      </c>
      <c r="O32" s="3">
        <v>36</v>
      </c>
      <c r="P32" s="102">
        <v>0.75</v>
      </c>
      <c r="Q32" s="102">
        <v>0.25</v>
      </c>
      <c r="R32" s="8" t="s">
        <v>30</v>
      </c>
      <c r="S32" s="10" t="s">
        <v>31</v>
      </c>
      <c r="T32" s="3" t="s">
        <v>70</v>
      </c>
      <c r="U32" s="24" t="s">
        <v>71</v>
      </c>
      <c r="V32" s="3" t="s">
        <v>293</v>
      </c>
      <c r="W32" s="24" t="s">
        <v>294</v>
      </c>
      <c r="X32" s="3" t="s">
        <v>80</v>
      </c>
      <c r="Y32" s="3" t="s">
        <v>76</v>
      </c>
      <c r="Z32" s="3" t="s">
        <v>77</v>
      </c>
      <c r="AA32" s="3" t="s">
        <v>74</v>
      </c>
      <c r="AB32" s="3" t="s">
        <v>75</v>
      </c>
      <c r="AC32" s="3" t="s">
        <v>78</v>
      </c>
      <c r="AD32" s="3" t="s">
        <v>79</v>
      </c>
      <c r="AE32" s="3" t="s">
        <v>385</v>
      </c>
      <c r="AF32" s="3" t="s">
        <v>384</v>
      </c>
      <c r="AG32" s="3" t="s">
        <v>392</v>
      </c>
      <c r="AH32" s="3" t="s">
        <v>395</v>
      </c>
      <c r="AL32" s="3">
        <v>30</v>
      </c>
      <c r="AM32" s="3">
        <f t="shared" si="3"/>
        <v>22.5</v>
      </c>
      <c r="AN32" s="3">
        <f t="shared" si="4"/>
        <v>7.5</v>
      </c>
      <c r="AO32" s="3">
        <v>30</v>
      </c>
      <c r="AP32" s="3">
        <f t="shared" si="5"/>
        <v>22.5</v>
      </c>
      <c r="AQ32" s="3">
        <f t="shared" si="6"/>
        <v>7.5</v>
      </c>
      <c r="BA32" s="3">
        <f t="shared" si="7"/>
        <v>30</v>
      </c>
      <c r="BB32" s="3">
        <f t="shared" si="8"/>
        <v>0</v>
      </c>
      <c r="BC32" s="3">
        <f t="shared" si="9"/>
        <v>0</v>
      </c>
      <c r="BD32" s="3">
        <f t="shared" si="10"/>
        <v>30</v>
      </c>
      <c r="BE32" s="3">
        <f t="shared" si="11"/>
        <v>30</v>
      </c>
      <c r="BF32" s="3">
        <f t="shared" si="12"/>
        <v>30</v>
      </c>
      <c r="BG32" s="102">
        <f t="shared" si="13"/>
        <v>1</v>
      </c>
      <c r="BH32" s="102">
        <f t="shared" si="14"/>
        <v>0</v>
      </c>
      <c r="BI32" s="102">
        <f t="shared" si="15"/>
        <v>0</v>
      </c>
      <c r="BJ32" s="102">
        <f t="shared" si="16"/>
        <v>1</v>
      </c>
      <c r="BK32" s="102">
        <f t="shared" si="17"/>
        <v>1</v>
      </c>
      <c r="BL32" s="102">
        <f t="shared" si="18"/>
        <v>1</v>
      </c>
      <c r="BM32" s="102"/>
      <c r="BO32" s="3" t="s">
        <v>881</v>
      </c>
      <c r="BP32" s="123">
        <f t="shared" si="19"/>
        <v>25</v>
      </c>
      <c r="BQ32" s="3">
        <f t="shared" si="20"/>
        <v>0</v>
      </c>
      <c r="BR32" s="3">
        <f t="shared" si="21"/>
        <v>1</v>
      </c>
      <c r="BS32" s="3">
        <f t="shared" si="22"/>
        <v>1</v>
      </c>
      <c r="BT32" s="3">
        <f t="shared" si="23"/>
        <v>0</v>
      </c>
      <c r="BU32" s="3">
        <f t="shared" si="24"/>
        <v>0</v>
      </c>
      <c r="BV32" s="3">
        <f t="shared" si="25"/>
        <v>0</v>
      </c>
    </row>
    <row r="33" spans="1:74" s="3" customFormat="1" x14ac:dyDescent="0.2">
      <c r="A33" s="3" t="s">
        <v>110</v>
      </c>
      <c r="B33" s="3" t="s">
        <v>111</v>
      </c>
      <c r="C33" s="3">
        <v>30</v>
      </c>
      <c r="F33" s="3" t="s">
        <v>246</v>
      </c>
      <c r="G33" s="3" t="s">
        <v>248</v>
      </c>
      <c r="H33" s="3" t="s">
        <v>119</v>
      </c>
      <c r="I33" s="3" t="s">
        <v>14</v>
      </c>
      <c r="J33" s="3" t="str">
        <f t="shared" si="1"/>
        <v>RACKPDU-RACK-R3-Z2W-R1-08-A</v>
      </c>
      <c r="K33" s="3" t="str">
        <f t="shared" si="2"/>
        <v>RACKPDU-RACK-R3-Z2W-R1-08-B</v>
      </c>
      <c r="L33" s="3">
        <v>30</v>
      </c>
      <c r="M33" s="3">
        <f>VLOOKUP($H33,'Cooling-Rack'!$A$2:$G$265,5,FALSE)</f>
        <v>22.5</v>
      </c>
      <c r="N33" s="3">
        <f>VLOOKUP($H33,'Cooling-Rack'!$A$2:$G$265,7,FALSE)</f>
        <v>7.5</v>
      </c>
      <c r="O33" s="3">
        <v>36</v>
      </c>
      <c r="P33" s="102">
        <v>0.75</v>
      </c>
      <c r="Q33" s="102">
        <v>0.25</v>
      </c>
      <c r="R33" s="8" t="s">
        <v>30</v>
      </c>
      <c r="S33" s="10" t="s">
        <v>31</v>
      </c>
      <c r="T33" s="3" t="s">
        <v>70</v>
      </c>
      <c r="U33" s="24" t="s">
        <v>71</v>
      </c>
      <c r="V33" s="3" t="s">
        <v>293</v>
      </c>
      <c r="W33" s="24" t="s">
        <v>294</v>
      </c>
      <c r="X33" s="3" t="s">
        <v>80</v>
      </c>
      <c r="Y33" s="3" t="s">
        <v>76</v>
      </c>
      <c r="Z33" s="3" t="s">
        <v>77</v>
      </c>
      <c r="AA33" s="3" t="s">
        <v>74</v>
      </c>
      <c r="AB33" s="3" t="s">
        <v>75</v>
      </c>
      <c r="AC33" s="3" t="s">
        <v>78</v>
      </c>
      <c r="AD33" s="3" t="s">
        <v>79</v>
      </c>
      <c r="AE33" s="3" t="s">
        <v>385</v>
      </c>
      <c r="AF33" s="3" t="s">
        <v>384</v>
      </c>
      <c r="AG33" s="3" t="s">
        <v>392</v>
      </c>
      <c r="AH33" s="3" t="s">
        <v>395</v>
      </c>
      <c r="AL33" s="3">
        <v>30</v>
      </c>
      <c r="AM33" s="3">
        <f t="shared" si="3"/>
        <v>22.5</v>
      </c>
      <c r="AN33" s="3">
        <f t="shared" si="4"/>
        <v>7.5</v>
      </c>
      <c r="AO33" s="3">
        <v>30</v>
      </c>
      <c r="AP33" s="3">
        <f t="shared" si="5"/>
        <v>22.5</v>
      </c>
      <c r="AQ33" s="3">
        <f t="shared" si="6"/>
        <v>7.5</v>
      </c>
      <c r="BA33" s="3">
        <f t="shared" si="7"/>
        <v>30</v>
      </c>
      <c r="BB33" s="3">
        <f t="shared" si="8"/>
        <v>0</v>
      </c>
      <c r="BC33" s="3">
        <f t="shared" si="9"/>
        <v>0</v>
      </c>
      <c r="BD33" s="3">
        <f t="shared" si="10"/>
        <v>30</v>
      </c>
      <c r="BE33" s="3">
        <f t="shared" si="11"/>
        <v>30</v>
      </c>
      <c r="BF33" s="3">
        <f t="shared" si="12"/>
        <v>30</v>
      </c>
      <c r="BG33" s="102">
        <f t="shared" si="13"/>
        <v>1</v>
      </c>
      <c r="BH33" s="102">
        <f t="shared" si="14"/>
        <v>0</v>
      </c>
      <c r="BI33" s="102">
        <f t="shared" si="15"/>
        <v>0</v>
      </c>
      <c r="BJ33" s="102">
        <f t="shared" si="16"/>
        <v>1</v>
      </c>
      <c r="BK33" s="102">
        <f t="shared" si="17"/>
        <v>1</v>
      </c>
      <c r="BL33" s="102">
        <f t="shared" si="18"/>
        <v>1</v>
      </c>
      <c r="BM33" s="102"/>
      <c r="BO33" s="3" t="s">
        <v>882</v>
      </c>
      <c r="BP33" s="123">
        <f t="shared" si="19"/>
        <v>25</v>
      </c>
      <c r="BQ33" s="3">
        <f t="shared" si="20"/>
        <v>0</v>
      </c>
      <c r="BR33" s="3">
        <f t="shared" si="21"/>
        <v>1</v>
      </c>
      <c r="BS33" s="3">
        <f t="shared" si="22"/>
        <v>1</v>
      </c>
      <c r="BT33" s="3">
        <f t="shared" si="23"/>
        <v>0</v>
      </c>
      <c r="BU33" s="3">
        <f t="shared" si="24"/>
        <v>0</v>
      </c>
      <c r="BV33" s="3">
        <f t="shared" si="25"/>
        <v>0</v>
      </c>
    </row>
    <row r="34" spans="1:74" s="3" customFormat="1" x14ac:dyDescent="0.2">
      <c r="A34" s="3" t="s">
        <v>110</v>
      </c>
      <c r="B34" s="3" t="s">
        <v>111</v>
      </c>
      <c r="C34" s="3">
        <v>30</v>
      </c>
      <c r="F34" s="3" t="s">
        <v>246</v>
      </c>
      <c r="G34" s="3" t="s">
        <v>248</v>
      </c>
      <c r="H34" s="3" t="s">
        <v>120</v>
      </c>
      <c r="I34" s="3" t="s">
        <v>14</v>
      </c>
      <c r="J34" s="3" t="str">
        <f t="shared" si="1"/>
        <v>RACKPDU-RACK-R3-Z2W-R1-09-A</v>
      </c>
      <c r="K34" s="3" t="str">
        <f t="shared" si="2"/>
        <v>RACKPDU-RACK-R3-Z2W-R1-09-B</v>
      </c>
      <c r="L34" s="3">
        <v>30</v>
      </c>
      <c r="M34" s="3">
        <f>VLOOKUP($H34,'Cooling-Rack'!$A$2:$G$265,5,FALSE)</f>
        <v>22.5</v>
      </c>
      <c r="N34" s="3">
        <f>VLOOKUP($H34,'Cooling-Rack'!$A$2:$G$265,7,FALSE)</f>
        <v>7.5</v>
      </c>
      <c r="O34" s="3">
        <v>36</v>
      </c>
      <c r="P34" s="102">
        <v>0.75</v>
      </c>
      <c r="Q34" s="102">
        <v>0.25</v>
      </c>
      <c r="R34" s="3" t="s">
        <v>27</v>
      </c>
      <c r="S34" s="10" t="s">
        <v>31</v>
      </c>
      <c r="T34" s="3" t="s">
        <v>70</v>
      </c>
      <c r="U34" s="24" t="s">
        <v>71</v>
      </c>
      <c r="V34" s="3" t="s">
        <v>293</v>
      </c>
      <c r="W34" s="24" t="s">
        <v>294</v>
      </c>
      <c r="X34" s="3" t="s">
        <v>80</v>
      </c>
      <c r="Y34" s="3" t="s">
        <v>76</v>
      </c>
      <c r="Z34" s="3" t="s">
        <v>77</v>
      </c>
      <c r="AA34" s="3" t="s">
        <v>74</v>
      </c>
      <c r="AB34" s="3" t="s">
        <v>75</v>
      </c>
      <c r="AC34" s="3" t="s">
        <v>78</v>
      </c>
      <c r="AD34" s="3" t="s">
        <v>79</v>
      </c>
      <c r="AE34" s="3" t="s">
        <v>385</v>
      </c>
      <c r="AF34" s="3" t="s">
        <v>384</v>
      </c>
      <c r="AG34" s="3" t="s">
        <v>392</v>
      </c>
      <c r="AH34" s="3" t="s">
        <v>395</v>
      </c>
      <c r="AL34" s="3">
        <v>30</v>
      </c>
      <c r="AM34" s="3">
        <f t="shared" si="3"/>
        <v>22.5</v>
      </c>
      <c r="AN34" s="3">
        <f t="shared" si="4"/>
        <v>7.5</v>
      </c>
      <c r="AO34" s="3">
        <v>30</v>
      </c>
      <c r="AP34" s="3">
        <f t="shared" si="5"/>
        <v>22.5</v>
      </c>
      <c r="AQ34" s="3">
        <f t="shared" si="6"/>
        <v>7.5</v>
      </c>
      <c r="BA34" s="3">
        <f t="shared" si="7"/>
        <v>30</v>
      </c>
      <c r="BB34" s="3">
        <f t="shared" si="8"/>
        <v>0</v>
      </c>
      <c r="BC34" s="3">
        <f t="shared" si="9"/>
        <v>0</v>
      </c>
      <c r="BD34" s="3">
        <f t="shared" si="10"/>
        <v>30</v>
      </c>
      <c r="BE34" s="3">
        <f t="shared" si="11"/>
        <v>30</v>
      </c>
      <c r="BF34" s="3">
        <f t="shared" si="12"/>
        <v>30</v>
      </c>
      <c r="BG34" s="102">
        <f t="shared" si="13"/>
        <v>1</v>
      </c>
      <c r="BH34" s="102">
        <f t="shared" si="14"/>
        <v>0</v>
      </c>
      <c r="BI34" s="102">
        <f t="shared" si="15"/>
        <v>0</v>
      </c>
      <c r="BJ34" s="102">
        <f t="shared" si="16"/>
        <v>1</v>
      </c>
      <c r="BK34" s="102">
        <f t="shared" si="17"/>
        <v>1</v>
      </c>
      <c r="BL34" s="102">
        <f t="shared" si="18"/>
        <v>1</v>
      </c>
      <c r="BM34" s="102"/>
      <c r="BO34" s="3" t="s">
        <v>883</v>
      </c>
      <c r="BP34" s="123">
        <f t="shared" si="19"/>
        <v>25</v>
      </c>
      <c r="BQ34" s="3">
        <f t="shared" si="20"/>
        <v>0</v>
      </c>
      <c r="BR34" s="3">
        <f t="shared" si="21"/>
        <v>1</v>
      </c>
      <c r="BS34" s="3">
        <f t="shared" si="22"/>
        <v>1</v>
      </c>
      <c r="BT34" s="3">
        <f t="shared" si="23"/>
        <v>0</v>
      </c>
      <c r="BU34" s="3">
        <f t="shared" si="24"/>
        <v>0</v>
      </c>
      <c r="BV34" s="3">
        <f t="shared" si="25"/>
        <v>0</v>
      </c>
    </row>
    <row r="35" spans="1:74" s="3" customFormat="1" x14ac:dyDescent="0.2">
      <c r="A35" s="3" t="s">
        <v>110</v>
      </c>
      <c r="B35" s="3" t="s">
        <v>111</v>
      </c>
      <c r="C35" s="3">
        <v>30</v>
      </c>
      <c r="F35" s="3" t="s">
        <v>246</v>
      </c>
      <c r="G35" s="3" t="s">
        <v>248</v>
      </c>
      <c r="H35" s="3" t="s">
        <v>121</v>
      </c>
      <c r="I35" s="3" t="s">
        <v>14</v>
      </c>
      <c r="J35" s="3" t="str">
        <f t="shared" si="1"/>
        <v>RACKPDU-RACK-R3-Z2W-R1-10-A</v>
      </c>
      <c r="K35" s="3" t="str">
        <f t="shared" si="2"/>
        <v>RACKPDU-RACK-R3-Z2W-R1-10-B</v>
      </c>
      <c r="L35" s="3">
        <v>30</v>
      </c>
      <c r="M35" s="3">
        <f>VLOOKUP($H35,'Cooling-Rack'!$A$2:$G$265,5,FALSE)</f>
        <v>22.5</v>
      </c>
      <c r="N35" s="3">
        <f>VLOOKUP($H35,'Cooling-Rack'!$A$2:$G$265,7,FALSE)</f>
        <v>7.5</v>
      </c>
      <c r="O35" s="3">
        <v>36</v>
      </c>
      <c r="P35" s="102">
        <v>0.75</v>
      </c>
      <c r="Q35" s="102">
        <v>0.25</v>
      </c>
      <c r="R35" s="3" t="s">
        <v>27</v>
      </c>
      <c r="S35" s="10" t="s">
        <v>31</v>
      </c>
      <c r="T35" s="3" t="s">
        <v>70</v>
      </c>
      <c r="U35" s="24" t="s">
        <v>71</v>
      </c>
      <c r="V35" s="3" t="s">
        <v>293</v>
      </c>
      <c r="W35" s="24" t="s">
        <v>294</v>
      </c>
      <c r="X35" s="3" t="s">
        <v>80</v>
      </c>
      <c r="Y35" s="3" t="s">
        <v>76</v>
      </c>
      <c r="Z35" s="3" t="s">
        <v>77</v>
      </c>
      <c r="AA35" s="3" t="s">
        <v>74</v>
      </c>
      <c r="AB35" s="3" t="s">
        <v>75</v>
      </c>
      <c r="AC35" s="3" t="s">
        <v>78</v>
      </c>
      <c r="AD35" s="3" t="s">
        <v>79</v>
      </c>
      <c r="AE35" s="3" t="s">
        <v>385</v>
      </c>
      <c r="AF35" s="3" t="s">
        <v>384</v>
      </c>
      <c r="AG35" s="3" t="s">
        <v>392</v>
      </c>
      <c r="AH35" s="3" t="s">
        <v>395</v>
      </c>
      <c r="AL35" s="3">
        <v>30</v>
      </c>
      <c r="AM35" s="3">
        <f t="shared" si="3"/>
        <v>22.5</v>
      </c>
      <c r="AN35" s="3">
        <f t="shared" si="4"/>
        <v>7.5</v>
      </c>
      <c r="AO35" s="3">
        <v>30</v>
      </c>
      <c r="AP35" s="3">
        <f t="shared" si="5"/>
        <v>22.5</v>
      </c>
      <c r="AQ35" s="3">
        <f t="shared" si="6"/>
        <v>7.5</v>
      </c>
      <c r="BA35" s="3">
        <f t="shared" si="7"/>
        <v>30</v>
      </c>
      <c r="BB35" s="3">
        <f t="shared" si="8"/>
        <v>0</v>
      </c>
      <c r="BC35" s="3">
        <f t="shared" si="9"/>
        <v>0</v>
      </c>
      <c r="BD35" s="3">
        <f t="shared" si="10"/>
        <v>30</v>
      </c>
      <c r="BE35" s="3">
        <f t="shared" si="11"/>
        <v>30</v>
      </c>
      <c r="BF35" s="3">
        <f t="shared" si="12"/>
        <v>30</v>
      </c>
      <c r="BG35" s="102">
        <f t="shared" si="13"/>
        <v>1</v>
      </c>
      <c r="BH35" s="102">
        <f t="shared" si="14"/>
        <v>0</v>
      </c>
      <c r="BI35" s="102">
        <f t="shared" si="15"/>
        <v>0</v>
      </c>
      <c r="BJ35" s="102">
        <f t="shared" si="16"/>
        <v>1</v>
      </c>
      <c r="BK35" s="102">
        <f t="shared" si="17"/>
        <v>1</v>
      </c>
      <c r="BL35" s="102">
        <f t="shared" si="18"/>
        <v>1</v>
      </c>
      <c r="BM35" s="102"/>
      <c r="BO35" s="3" t="s">
        <v>884</v>
      </c>
      <c r="BP35" s="123">
        <f t="shared" si="19"/>
        <v>25</v>
      </c>
      <c r="BQ35" s="3">
        <f t="shared" si="20"/>
        <v>0</v>
      </c>
      <c r="BR35" s="3">
        <f t="shared" si="21"/>
        <v>1</v>
      </c>
      <c r="BS35" s="3">
        <f t="shared" si="22"/>
        <v>1</v>
      </c>
      <c r="BT35" s="3">
        <f t="shared" si="23"/>
        <v>0</v>
      </c>
      <c r="BU35" s="3">
        <f t="shared" si="24"/>
        <v>0</v>
      </c>
      <c r="BV35" s="3">
        <f t="shared" si="25"/>
        <v>0</v>
      </c>
    </row>
    <row r="36" spans="1:74" s="3" customFormat="1" x14ac:dyDescent="0.2">
      <c r="A36" s="3" t="s">
        <v>110</v>
      </c>
      <c r="B36" s="3" t="s">
        <v>111</v>
      </c>
      <c r="C36" s="3">
        <v>30</v>
      </c>
      <c r="F36" s="3" t="s">
        <v>246</v>
      </c>
      <c r="G36" s="3" t="s">
        <v>248</v>
      </c>
      <c r="H36" s="3" t="s">
        <v>122</v>
      </c>
      <c r="I36" s="3" t="s">
        <v>14</v>
      </c>
      <c r="J36" s="3" t="str">
        <f t="shared" si="1"/>
        <v>RACKPDU-RACK-R3-Z2W-R1-11-A</v>
      </c>
      <c r="K36" s="3" t="str">
        <f t="shared" si="2"/>
        <v>RACKPDU-RACK-R3-Z2W-R1-11-B</v>
      </c>
      <c r="L36" s="3">
        <v>30</v>
      </c>
      <c r="M36" s="3">
        <f>VLOOKUP($H36,'Cooling-Rack'!$A$2:$G$265,5,FALSE)</f>
        <v>22.5</v>
      </c>
      <c r="N36" s="3">
        <f>VLOOKUP($H36,'Cooling-Rack'!$A$2:$G$265,7,FALSE)</f>
        <v>7.5</v>
      </c>
      <c r="O36" s="3">
        <v>36</v>
      </c>
      <c r="P36" s="102">
        <v>0.75</v>
      </c>
      <c r="Q36" s="102">
        <v>0.25</v>
      </c>
      <c r="R36" s="3" t="s">
        <v>27</v>
      </c>
      <c r="S36" s="10" t="s">
        <v>31</v>
      </c>
      <c r="T36" s="3" t="s">
        <v>70</v>
      </c>
      <c r="U36" s="24" t="s">
        <v>71</v>
      </c>
      <c r="V36" s="3" t="s">
        <v>293</v>
      </c>
      <c r="W36" s="24" t="s">
        <v>294</v>
      </c>
      <c r="X36" s="3" t="s">
        <v>80</v>
      </c>
      <c r="Y36" s="3" t="s">
        <v>76</v>
      </c>
      <c r="Z36" s="3" t="s">
        <v>77</v>
      </c>
      <c r="AA36" s="3" t="s">
        <v>74</v>
      </c>
      <c r="AB36" s="3" t="s">
        <v>75</v>
      </c>
      <c r="AC36" s="3" t="s">
        <v>78</v>
      </c>
      <c r="AD36" s="3" t="s">
        <v>79</v>
      </c>
      <c r="AE36" s="3" t="s">
        <v>385</v>
      </c>
      <c r="AF36" s="3" t="s">
        <v>384</v>
      </c>
      <c r="AG36" s="3" t="s">
        <v>392</v>
      </c>
      <c r="AH36" s="3" t="s">
        <v>395</v>
      </c>
      <c r="AL36" s="3">
        <v>30</v>
      </c>
      <c r="AM36" s="3">
        <f t="shared" si="3"/>
        <v>22.5</v>
      </c>
      <c r="AN36" s="3">
        <f t="shared" si="4"/>
        <v>7.5</v>
      </c>
      <c r="AO36" s="3">
        <v>30</v>
      </c>
      <c r="AP36" s="3">
        <f t="shared" si="5"/>
        <v>22.5</v>
      </c>
      <c r="AQ36" s="3">
        <f t="shared" si="6"/>
        <v>7.5</v>
      </c>
      <c r="BA36" s="3">
        <f t="shared" si="7"/>
        <v>30</v>
      </c>
      <c r="BB36" s="3">
        <f t="shared" si="8"/>
        <v>0</v>
      </c>
      <c r="BC36" s="3">
        <f t="shared" si="9"/>
        <v>0</v>
      </c>
      <c r="BD36" s="3">
        <f t="shared" si="10"/>
        <v>30</v>
      </c>
      <c r="BE36" s="3">
        <f t="shared" si="11"/>
        <v>30</v>
      </c>
      <c r="BF36" s="3">
        <f t="shared" si="12"/>
        <v>30</v>
      </c>
      <c r="BG36" s="102">
        <f t="shared" si="13"/>
        <v>1</v>
      </c>
      <c r="BH36" s="102">
        <f t="shared" si="14"/>
        <v>0</v>
      </c>
      <c r="BI36" s="102">
        <f t="shared" si="15"/>
        <v>0</v>
      </c>
      <c r="BJ36" s="102">
        <f t="shared" si="16"/>
        <v>1</v>
      </c>
      <c r="BK36" s="102">
        <f t="shared" si="17"/>
        <v>1</v>
      </c>
      <c r="BL36" s="102">
        <f t="shared" si="18"/>
        <v>1</v>
      </c>
      <c r="BM36" s="102"/>
      <c r="BO36" s="3" t="s">
        <v>885</v>
      </c>
      <c r="BP36" s="123">
        <f t="shared" si="19"/>
        <v>25</v>
      </c>
      <c r="BQ36" s="3">
        <f t="shared" si="20"/>
        <v>0</v>
      </c>
      <c r="BR36" s="3">
        <f t="shared" si="21"/>
        <v>1</v>
      </c>
      <c r="BS36" s="3">
        <f t="shared" si="22"/>
        <v>1</v>
      </c>
      <c r="BT36" s="3">
        <f t="shared" si="23"/>
        <v>0</v>
      </c>
      <c r="BU36" s="3">
        <f t="shared" si="24"/>
        <v>0</v>
      </c>
      <c r="BV36" s="3">
        <f t="shared" si="25"/>
        <v>0</v>
      </c>
    </row>
    <row r="37" spans="1:74" s="3" customFormat="1" x14ac:dyDescent="0.2">
      <c r="A37" s="3" t="s">
        <v>110</v>
      </c>
      <c r="B37" s="3" t="s">
        <v>111</v>
      </c>
      <c r="C37" s="3">
        <v>30</v>
      </c>
      <c r="F37" s="3" t="s">
        <v>246</v>
      </c>
      <c r="G37" s="3" t="s">
        <v>248</v>
      </c>
      <c r="H37" s="3" t="s">
        <v>123</v>
      </c>
      <c r="I37" s="3" t="s">
        <v>14</v>
      </c>
      <c r="J37" s="3" t="str">
        <f t="shared" si="1"/>
        <v>RACKPDU-RACK-R3-Z2W-R1-12-A</v>
      </c>
      <c r="K37" s="3" t="str">
        <f t="shared" si="2"/>
        <v>RACKPDU-RACK-R3-Z2W-R1-12-B</v>
      </c>
      <c r="L37" s="3">
        <v>30</v>
      </c>
      <c r="M37" s="3">
        <f>VLOOKUP($H37,'Cooling-Rack'!$A$2:$G$265,5,FALSE)</f>
        <v>22.5</v>
      </c>
      <c r="N37" s="3">
        <f>VLOOKUP($H37,'Cooling-Rack'!$A$2:$G$265,7,FALSE)</f>
        <v>7.5</v>
      </c>
      <c r="O37" s="3">
        <v>36</v>
      </c>
      <c r="P37" s="102">
        <v>0.75</v>
      </c>
      <c r="Q37" s="102">
        <v>0.25</v>
      </c>
      <c r="R37" s="3" t="s">
        <v>27</v>
      </c>
      <c r="S37" s="10" t="s">
        <v>31</v>
      </c>
      <c r="T37" s="3" t="s">
        <v>70</v>
      </c>
      <c r="U37" s="24" t="s">
        <v>71</v>
      </c>
      <c r="V37" s="3" t="s">
        <v>293</v>
      </c>
      <c r="W37" s="24" t="s">
        <v>294</v>
      </c>
      <c r="X37" s="3" t="s">
        <v>80</v>
      </c>
      <c r="Y37" s="3" t="s">
        <v>76</v>
      </c>
      <c r="Z37" s="3" t="s">
        <v>77</v>
      </c>
      <c r="AA37" s="3" t="s">
        <v>74</v>
      </c>
      <c r="AB37" s="3" t="s">
        <v>75</v>
      </c>
      <c r="AC37" s="3" t="s">
        <v>78</v>
      </c>
      <c r="AD37" s="3" t="s">
        <v>79</v>
      </c>
      <c r="AE37" s="3" t="s">
        <v>385</v>
      </c>
      <c r="AF37" s="3" t="s">
        <v>384</v>
      </c>
      <c r="AG37" s="3" t="s">
        <v>392</v>
      </c>
      <c r="AH37" s="3" t="s">
        <v>395</v>
      </c>
      <c r="AL37" s="3">
        <v>30</v>
      </c>
      <c r="AM37" s="3">
        <f t="shared" si="3"/>
        <v>22.5</v>
      </c>
      <c r="AN37" s="3">
        <f t="shared" si="4"/>
        <v>7.5</v>
      </c>
      <c r="AO37" s="3">
        <v>30</v>
      </c>
      <c r="AP37" s="3">
        <f t="shared" si="5"/>
        <v>22.5</v>
      </c>
      <c r="AQ37" s="3">
        <f t="shared" si="6"/>
        <v>7.5</v>
      </c>
      <c r="BA37" s="3">
        <f t="shared" si="7"/>
        <v>30</v>
      </c>
      <c r="BB37" s="3">
        <f t="shared" si="8"/>
        <v>0</v>
      </c>
      <c r="BC37" s="3">
        <f t="shared" si="9"/>
        <v>0</v>
      </c>
      <c r="BD37" s="3">
        <f t="shared" si="10"/>
        <v>30</v>
      </c>
      <c r="BE37" s="3">
        <f t="shared" si="11"/>
        <v>30</v>
      </c>
      <c r="BF37" s="3">
        <f t="shared" si="12"/>
        <v>30</v>
      </c>
      <c r="BG37" s="102">
        <f t="shared" si="13"/>
        <v>1</v>
      </c>
      <c r="BH37" s="102">
        <f t="shared" si="14"/>
        <v>0</v>
      </c>
      <c r="BI37" s="102">
        <f t="shared" si="15"/>
        <v>0</v>
      </c>
      <c r="BJ37" s="102">
        <f t="shared" si="16"/>
        <v>1</v>
      </c>
      <c r="BK37" s="102">
        <f t="shared" si="17"/>
        <v>1</v>
      </c>
      <c r="BL37" s="102">
        <f t="shared" si="18"/>
        <v>1</v>
      </c>
      <c r="BM37" s="102"/>
      <c r="BO37" s="3" t="s">
        <v>886</v>
      </c>
      <c r="BP37" s="123">
        <f t="shared" si="19"/>
        <v>25</v>
      </c>
      <c r="BQ37" s="3">
        <f t="shared" si="20"/>
        <v>0</v>
      </c>
      <c r="BR37" s="3">
        <f t="shared" si="21"/>
        <v>1</v>
      </c>
      <c r="BS37" s="3">
        <f t="shared" si="22"/>
        <v>1</v>
      </c>
      <c r="BT37" s="3">
        <f t="shared" si="23"/>
        <v>0</v>
      </c>
      <c r="BU37" s="3">
        <f t="shared" si="24"/>
        <v>0</v>
      </c>
      <c r="BV37" s="3">
        <f t="shared" si="25"/>
        <v>0</v>
      </c>
    </row>
    <row r="38" spans="1:74" s="5" customFormat="1" x14ac:dyDescent="0.2">
      <c r="A38" s="5" t="s">
        <v>110</v>
      </c>
      <c r="B38" s="5" t="s">
        <v>124</v>
      </c>
      <c r="C38" s="5">
        <v>30</v>
      </c>
      <c r="F38" s="5" t="s">
        <v>246</v>
      </c>
      <c r="G38" s="5" t="s">
        <v>248</v>
      </c>
      <c r="H38" s="5" t="s">
        <v>125</v>
      </c>
      <c r="I38" s="5" t="s">
        <v>14</v>
      </c>
      <c r="J38" s="5" t="str">
        <f t="shared" si="1"/>
        <v>RACKPDU-RACK-R3-Z2W-R2-01-A</v>
      </c>
      <c r="K38" s="5" t="str">
        <f t="shared" si="2"/>
        <v>RACKPDU-RACK-R3-Z2W-R2-01-B</v>
      </c>
      <c r="L38" s="5">
        <v>30</v>
      </c>
      <c r="M38" s="5">
        <f>VLOOKUP($H38,'Cooling-Rack'!$A$2:$G$265,5,FALSE)</f>
        <v>22.5</v>
      </c>
      <c r="N38" s="5">
        <f>VLOOKUP($H38,'Cooling-Rack'!$A$2:$G$265,7,FALSE)</f>
        <v>7.5</v>
      </c>
      <c r="O38" s="5">
        <v>36</v>
      </c>
      <c r="P38" s="103">
        <v>0.75</v>
      </c>
      <c r="Q38" s="103">
        <v>0.25</v>
      </c>
      <c r="R38" s="9" t="s">
        <v>30</v>
      </c>
      <c r="S38" s="11" t="s">
        <v>31</v>
      </c>
      <c r="T38" s="5" t="s">
        <v>70</v>
      </c>
      <c r="U38" s="25" t="s">
        <v>71</v>
      </c>
      <c r="V38" s="5" t="s">
        <v>293</v>
      </c>
      <c r="W38" s="25" t="s">
        <v>294</v>
      </c>
      <c r="X38" s="5" t="s">
        <v>80</v>
      </c>
      <c r="Y38" s="5" t="s">
        <v>76</v>
      </c>
      <c r="Z38" s="5" t="s">
        <v>77</v>
      </c>
      <c r="AA38" s="5" t="s">
        <v>74</v>
      </c>
      <c r="AB38" s="5" t="s">
        <v>75</v>
      </c>
      <c r="AC38" s="5" t="s">
        <v>78</v>
      </c>
      <c r="AD38" s="5" t="s">
        <v>79</v>
      </c>
      <c r="AE38" s="5" t="s">
        <v>385</v>
      </c>
      <c r="AF38" s="5" t="s">
        <v>384</v>
      </c>
      <c r="AG38" s="5" t="s">
        <v>392</v>
      </c>
      <c r="AH38" s="5" t="s">
        <v>395</v>
      </c>
      <c r="AL38" s="5">
        <v>30</v>
      </c>
      <c r="AM38" s="5">
        <f t="shared" si="3"/>
        <v>22.5</v>
      </c>
      <c r="AN38" s="5">
        <f t="shared" si="4"/>
        <v>7.5</v>
      </c>
      <c r="AO38" s="5">
        <v>30</v>
      </c>
      <c r="AP38" s="5">
        <f t="shared" si="5"/>
        <v>22.5</v>
      </c>
      <c r="AQ38" s="5">
        <f t="shared" si="6"/>
        <v>7.5</v>
      </c>
      <c r="BA38" s="5">
        <f t="shared" si="7"/>
        <v>30</v>
      </c>
      <c r="BB38" s="5">
        <f t="shared" si="8"/>
        <v>0</v>
      </c>
      <c r="BC38" s="5">
        <f t="shared" si="9"/>
        <v>0</v>
      </c>
      <c r="BD38" s="5">
        <f t="shared" si="10"/>
        <v>30</v>
      </c>
      <c r="BE38" s="5">
        <f t="shared" si="11"/>
        <v>30</v>
      </c>
      <c r="BF38" s="5">
        <f t="shared" si="12"/>
        <v>30</v>
      </c>
      <c r="BG38" s="103">
        <f t="shared" si="13"/>
        <v>1</v>
      </c>
      <c r="BH38" s="103">
        <f t="shared" si="14"/>
        <v>0</v>
      </c>
      <c r="BI38" s="103">
        <f t="shared" si="15"/>
        <v>0</v>
      </c>
      <c r="BJ38" s="103">
        <f t="shared" si="16"/>
        <v>1</v>
      </c>
      <c r="BK38" s="103">
        <f t="shared" si="17"/>
        <v>1</v>
      </c>
      <c r="BL38" s="103">
        <f t="shared" si="18"/>
        <v>1</v>
      </c>
      <c r="BM38" s="103"/>
      <c r="BO38" s="5" t="s">
        <v>887</v>
      </c>
      <c r="BP38" s="124">
        <f t="shared" si="19"/>
        <v>25</v>
      </c>
      <c r="BQ38" s="5">
        <f t="shared" si="20"/>
        <v>0</v>
      </c>
      <c r="BR38" s="5">
        <f t="shared" si="21"/>
        <v>1</v>
      </c>
      <c r="BS38" s="5">
        <f t="shared" si="22"/>
        <v>1</v>
      </c>
      <c r="BT38" s="5">
        <f t="shared" si="23"/>
        <v>0</v>
      </c>
      <c r="BU38" s="5">
        <f t="shared" si="24"/>
        <v>0</v>
      </c>
      <c r="BV38" s="5">
        <f t="shared" si="25"/>
        <v>0</v>
      </c>
    </row>
    <row r="39" spans="1:74" s="5" customFormat="1" x14ac:dyDescent="0.2">
      <c r="A39" s="5" t="s">
        <v>110</v>
      </c>
      <c r="B39" s="5" t="s">
        <v>124</v>
      </c>
      <c r="C39" s="5">
        <v>30</v>
      </c>
      <c r="F39" s="5" t="s">
        <v>246</v>
      </c>
      <c r="G39" s="5" t="s">
        <v>248</v>
      </c>
      <c r="H39" s="5" t="s">
        <v>126</v>
      </c>
      <c r="I39" s="5" t="s">
        <v>14</v>
      </c>
      <c r="J39" s="5" t="str">
        <f t="shared" si="1"/>
        <v>RACKPDU-RACK-R3-Z2W-R2-02-A</v>
      </c>
      <c r="K39" s="5" t="str">
        <f t="shared" si="2"/>
        <v>RACKPDU-RACK-R3-Z2W-R2-02-B</v>
      </c>
      <c r="L39" s="5">
        <v>30</v>
      </c>
      <c r="M39" s="5">
        <f>VLOOKUP($H39,'Cooling-Rack'!$A$2:$G$265,5,FALSE)</f>
        <v>22.5</v>
      </c>
      <c r="N39" s="5">
        <f>VLOOKUP($H39,'Cooling-Rack'!$A$2:$G$265,7,FALSE)</f>
        <v>7.5</v>
      </c>
      <c r="O39" s="5">
        <v>36</v>
      </c>
      <c r="P39" s="103">
        <v>0.75</v>
      </c>
      <c r="Q39" s="103">
        <v>0.25</v>
      </c>
      <c r="R39" s="9" t="s">
        <v>30</v>
      </c>
      <c r="S39" s="11" t="s">
        <v>31</v>
      </c>
      <c r="T39" s="5" t="s">
        <v>70</v>
      </c>
      <c r="U39" s="25" t="s">
        <v>71</v>
      </c>
      <c r="V39" s="5" t="s">
        <v>293</v>
      </c>
      <c r="W39" s="25" t="s">
        <v>294</v>
      </c>
      <c r="X39" s="5" t="s">
        <v>80</v>
      </c>
      <c r="Y39" s="5" t="s">
        <v>76</v>
      </c>
      <c r="Z39" s="5" t="s">
        <v>77</v>
      </c>
      <c r="AA39" s="5" t="s">
        <v>74</v>
      </c>
      <c r="AB39" s="5" t="s">
        <v>75</v>
      </c>
      <c r="AC39" s="5" t="s">
        <v>78</v>
      </c>
      <c r="AD39" s="5" t="s">
        <v>79</v>
      </c>
      <c r="AE39" s="5" t="s">
        <v>385</v>
      </c>
      <c r="AF39" s="5" t="s">
        <v>384</v>
      </c>
      <c r="AG39" s="5" t="s">
        <v>392</v>
      </c>
      <c r="AH39" s="5" t="s">
        <v>395</v>
      </c>
      <c r="AL39" s="5">
        <v>30</v>
      </c>
      <c r="AM39" s="5">
        <f t="shared" si="3"/>
        <v>22.5</v>
      </c>
      <c r="AN39" s="5">
        <f t="shared" si="4"/>
        <v>7.5</v>
      </c>
      <c r="AO39" s="5">
        <v>30</v>
      </c>
      <c r="AP39" s="5">
        <f t="shared" si="5"/>
        <v>22.5</v>
      </c>
      <c r="AQ39" s="5">
        <f t="shared" si="6"/>
        <v>7.5</v>
      </c>
      <c r="BA39" s="5">
        <f t="shared" si="7"/>
        <v>30</v>
      </c>
      <c r="BB39" s="5">
        <f t="shared" si="8"/>
        <v>0</v>
      </c>
      <c r="BC39" s="5">
        <f t="shared" si="9"/>
        <v>0</v>
      </c>
      <c r="BD39" s="5">
        <f t="shared" si="10"/>
        <v>30</v>
      </c>
      <c r="BE39" s="5">
        <f t="shared" si="11"/>
        <v>30</v>
      </c>
      <c r="BF39" s="5">
        <f t="shared" si="12"/>
        <v>30</v>
      </c>
      <c r="BG39" s="103">
        <f t="shared" si="13"/>
        <v>1</v>
      </c>
      <c r="BH39" s="103">
        <f t="shared" si="14"/>
        <v>0</v>
      </c>
      <c r="BI39" s="103">
        <f t="shared" si="15"/>
        <v>0</v>
      </c>
      <c r="BJ39" s="103">
        <f t="shared" si="16"/>
        <v>1</v>
      </c>
      <c r="BK39" s="103">
        <f t="shared" si="17"/>
        <v>1</v>
      </c>
      <c r="BL39" s="103">
        <f t="shared" si="18"/>
        <v>1</v>
      </c>
      <c r="BM39" s="103"/>
      <c r="BO39" s="5" t="s">
        <v>888</v>
      </c>
      <c r="BP39" s="124">
        <f t="shared" si="19"/>
        <v>25</v>
      </c>
      <c r="BQ39" s="5">
        <f t="shared" si="20"/>
        <v>0</v>
      </c>
      <c r="BR39" s="5">
        <f t="shared" si="21"/>
        <v>1</v>
      </c>
      <c r="BS39" s="5">
        <f t="shared" si="22"/>
        <v>1</v>
      </c>
      <c r="BT39" s="5">
        <f t="shared" si="23"/>
        <v>0</v>
      </c>
      <c r="BU39" s="5">
        <f t="shared" si="24"/>
        <v>0</v>
      </c>
      <c r="BV39" s="5">
        <f t="shared" si="25"/>
        <v>0</v>
      </c>
    </row>
    <row r="40" spans="1:74" s="5" customFormat="1" x14ac:dyDescent="0.2">
      <c r="A40" s="5" t="s">
        <v>110</v>
      </c>
      <c r="B40" s="5" t="s">
        <v>124</v>
      </c>
      <c r="C40" s="5">
        <v>30</v>
      </c>
      <c r="F40" s="5" t="s">
        <v>246</v>
      </c>
      <c r="G40" s="5" t="s">
        <v>248</v>
      </c>
      <c r="H40" s="5" t="s">
        <v>127</v>
      </c>
      <c r="I40" s="5" t="s">
        <v>14</v>
      </c>
      <c r="J40" s="5" t="str">
        <f t="shared" si="1"/>
        <v>RACKPDU-RACK-R3-Z2W-R2-03-A</v>
      </c>
      <c r="K40" s="5" t="str">
        <f t="shared" si="2"/>
        <v>RACKPDU-RACK-R3-Z2W-R2-03-B</v>
      </c>
      <c r="L40" s="5">
        <v>30</v>
      </c>
      <c r="M40" s="5">
        <f>VLOOKUP($H40,'Cooling-Rack'!$A$2:$G$265,5,FALSE)</f>
        <v>22.5</v>
      </c>
      <c r="N40" s="5">
        <f>VLOOKUP($H40,'Cooling-Rack'!$A$2:$G$265,7,FALSE)</f>
        <v>7.5</v>
      </c>
      <c r="O40" s="5">
        <v>36</v>
      </c>
      <c r="P40" s="103">
        <v>0.75</v>
      </c>
      <c r="Q40" s="103">
        <v>0.25</v>
      </c>
      <c r="R40" s="9" t="s">
        <v>30</v>
      </c>
      <c r="S40" s="11" t="s">
        <v>31</v>
      </c>
      <c r="T40" s="5" t="s">
        <v>70</v>
      </c>
      <c r="U40" s="25" t="s">
        <v>71</v>
      </c>
      <c r="V40" s="5" t="s">
        <v>293</v>
      </c>
      <c r="W40" s="25" t="s">
        <v>294</v>
      </c>
      <c r="X40" s="5" t="s">
        <v>80</v>
      </c>
      <c r="Y40" s="5" t="s">
        <v>76</v>
      </c>
      <c r="Z40" s="5" t="s">
        <v>77</v>
      </c>
      <c r="AA40" s="5" t="s">
        <v>74</v>
      </c>
      <c r="AB40" s="5" t="s">
        <v>75</v>
      </c>
      <c r="AC40" s="5" t="s">
        <v>78</v>
      </c>
      <c r="AD40" s="5" t="s">
        <v>79</v>
      </c>
      <c r="AE40" s="5" t="s">
        <v>385</v>
      </c>
      <c r="AF40" s="5" t="s">
        <v>384</v>
      </c>
      <c r="AG40" s="5" t="s">
        <v>392</v>
      </c>
      <c r="AH40" s="5" t="s">
        <v>395</v>
      </c>
      <c r="AL40" s="5">
        <v>30</v>
      </c>
      <c r="AM40" s="5">
        <f t="shared" si="3"/>
        <v>22.5</v>
      </c>
      <c r="AN40" s="5">
        <f t="shared" si="4"/>
        <v>7.5</v>
      </c>
      <c r="AO40" s="5">
        <v>30</v>
      </c>
      <c r="AP40" s="5">
        <f t="shared" si="5"/>
        <v>22.5</v>
      </c>
      <c r="AQ40" s="5">
        <f t="shared" si="6"/>
        <v>7.5</v>
      </c>
      <c r="BA40" s="5">
        <f t="shared" si="7"/>
        <v>30</v>
      </c>
      <c r="BB40" s="5">
        <f t="shared" si="8"/>
        <v>0</v>
      </c>
      <c r="BC40" s="5">
        <f t="shared" si="9"/>
        <v>0</v>
      </c>
      <c r="BD40" s="5">
        <f t="shared" si="10"/>
        <v>30</v>
      </c>
      <c r="BE40" s="5">
        <f t="shared" si="11"/>
        <v>30</v>
      </c>
      <c r="BF40" s="5">
        <f t="shared" si="12"/>
        <v>30</v>
      </c>
      <c r="BG40" s="103">
        <f t="shared" si="13"/>
        <v>1</v>
      </c>
      <c r="BH40" s="103">
        <f t="shared" si="14"/>
        <v>0</v>
      </c>
      <c r="BI40" s="103">
        <f t="shared" si="15"/>
        <v>0</v>
      </c>
      <c r="BJ40" s="103">
        <f t="shared" si="16"/>
        <v>1</v>
      </c>
      <c r="BK40" s="103">
        <f t="shared" si="17"/>
        <v>1</v>
      </c>
      <c r="BL40" s="103">
        <f t="shared" si="18"/>
        <v>1</v>
      </c>
      <c r="BM40" s="103"/>
      <c r="BO40" s="5" t="s">
        <v>889</v>
      </c>
      <c r="BP40" s="124">
        <f t="shared" si="19"/>
        <v>25</v>
      </c>
      <c r="BQ40" s="5">
        <f t="shared" si="20"/>
        <v>0</v>
      </c>
      <c r="BR40" s="5">
        <f t="shared" si="21"/>
        <v>1</v>
      </c>
      <c r="BS40" s="5">
        <f t="shared" si="22"/>
        <v>1</v>
      </c>
      <c r="BT40" s="5">
        <f t="shared" si="23"/>
        <v>0</v>
      </c>
      <c r="BU40" s="5">
        <f t="shared" si="24"/>
        <v>0</v>
      </c>
      <c r="BV40" s="5">
        <f t="shared" si="25"/>
        <v>0</v>
      </c>
    </row>
    <row r="41" spans="1:74" s="5" customFormat="1" x14ac:dyDescent="0.2">
      <c r="A41" s="5" t="s">
        <v>110</v>
      </c>
      <c r="B41" s="5" t="s">
        <v>124</v>
      </c>
      <c r="C41" s="5">
        <v>30</v>
      </c>
      <c r="F41" s="5" t="s">
        <v>246</v>
      </c>
      <c r="G41" s="5" t="s">
        <v>248</v>
      </c>
      <c r="H41" s="5" t="s">
        <v>128</v>
      </c>
      <c r="I41" s="5" t="s">
        <v>14</v>
      </c>
      <c r="J41" s="5" t="str">
        <f t="shared" si="1"/>
        <v>RACKPDU-RACK-R3-Z2W-R2-04-A</v>
      </c>
      <c r="K41" s="5" t="str">
        <f t="shared" si="2"/>
        <v>RACKPDU-RACK-R3-Z2W-R2-04-B</v>
      </c>
      <c r="L41" s="5">
        <v>30</v>
      </c>
      <c r="M41" s="5">
        <f>VLOOKUP($H41,'Cooling-Rack'!$A$2:$G$265,5,FALSE)</f>
        <v>22.5</v>
      </c>
      <c r="N41" s="5">
        <f>VLOOKUP($H41,'Cooling-Rack'!$A$2:$G$265,7,FALSE)</f>
        <v>7.5</v>
      </c>
      <c r="O41" s="5">
        <v>36</v>
      </c>
      <c r="P41" s="103">
        <v>0.75</v>
      </c>
      <c r="Q41" s="103">
        <v>0.25</v>
      </c>
      <c r="R41" s="9" t="s">
        <v>30</v>
      </c>
      <c r="S41" s="11" t="s">
        <v>31</v>
      </c>
      <c r="T41" s="5" t="s">
        <v>70</v>
      </c>
      <c r="U41" s="25" t="s">
        <v>71</v>
      </c>
      <c r="V41" s="5" t="s">
        <v>293</v>
      </c>
      <c r="W41" s="25" t="s">
        <v>294</v>
      </c>
      <c r="X41" s="5" t="s">
        <v>80</v>
      </c>
      <c r="Y41" s="5" t="s">
        <v>76</v>
      </c>
      <c r="Z41" s="5" t="s">
        <v>77</v>
      </c>
      <c r="AA41" s="5" t="s">
        <v>74</v>
      </c>
      <c r="AB41" s="5" t="s">
        <v>75</v>
      </c>
      <c r="AC41" s="5" t="s">
        <v>78</v>
      </c>
      <c r="AD41" s="5" t="s">
        <v>79</v>
      </c>
      <c r="AE41" s="5" t="s">
        <v>385</v>
      </c>
      <c r="AF41" s="5" t="s">
        <v>384</v>
      </c>
      <c r="AG41" s="5" t="s">
        <v>392</v>
      </c>
      <c r="AH41" s="5" t="s">
        <v>395</v>
      </c>
      <c r="AL41" s="5">
        <v>30</v>
      </c>
      <c r="AM41" s="5">
        <f t="shared" si="3"/>
        <v>22.5</v>
      </c>
      <c r="AN41" s="5">
        <f t="shared" si="4"/>
        <v>7.5</v>
      </c>
      <c r="AO41" s="5">
        <v>30</v>
      </c>
      <c r="AP41" s="5">
        <f t="shared" si="5"/>
        <v>22.5</v>
      </c>
      <c r="AQ41" s="5">
        <f t="shared" si="6"/>
        <v>7.5</v>
      </c>
      <c r="BA41" s="5">
        <f t="shared" si="7"/>
        <v>30</v>
      </c>
      <c r="BB41" s="5">
        <f t="shared" si="8"/>
        <v>0</v>
      </c>
      <c r="BC41" s="5">
        <f t="shared" si="9"/>
        <v>0</v>
      </c>
      <c r="BD41" s="5">
        <f t="shared" si="10"/>
        <v>30</v>
      </c>
      <c r="BE41" s="5">
        <f t="shared" si="11"/>
        <v>30</v>
      </c>
      <c r="BF41" s="5">
        <f t="shared" si="12"/>
        <v>30</v>
      </c>
      <c r="BG41" s="103">
        <f t="shared" si="13"/>
        <v>1</v>
      </c>
      <c r="BH41" s="103">
        <f t="shared" si="14"/>
        <v>0</v>
      </c>
      <c r="BI41" s="103">
        <f t="shared" si="15"/>
        <v>0</v>
      </c>
      <c r="BJ41" s="103">
        <f t="shared" si="16"/>
        <v>1</v>
      </c>
      <c r="BK41" s="103">
        <f t="shared" si="17"/>
        <v>1</v>
      </c>
      <c r="BL41" s="103">
        <f t="shared" si="18"/>
        <v>1</v>
      </c>
      <c r="BM41" s="103"/>
      <c r="BO41" s="5" t="s">
        <v>890</v>
      </c>
      <c r="BP41" s="124">
        <f t="shared" si="19"/>
        <v>25</v>
      </c>
      <c r="BQ41" s="5">
        <f t="shared" si="20"/>
        <v>0</v>
      </c>
      <c r="BR41" s="5">
        <f t="shared" si="21"/>
        <v>1</v>
      </c>
      <c r="BS41" s="5">
        <f t="shared" si="22"/>
        <v>1</v>
      </c>
      <c r="BT41" s="5">
        <f t="shared" si="23"/>
        <v>0</v>
      </c>
      <c r="BU41" s="5">
        <f t="shared" si="24"/>
        <v>0</v>
      </c>
      <c r="BV41" s="5">
        <f t="shared" si="25"/>
        <v>0</v>
      </c>
    </row>
    <row r="42" spans="1:74" s="5" customFormat="1" x14ac:dyDescent="0.2">
      <c r="A42" s="5" t="s">
        <v>110</v>
      </c>
      <c r="B42" s="5" t="s">
        <v>124</v>
      </c>
      <c r="C42" s="5">
        <v>30</v>
      </c>
      <c r="F42" s="5" t="s">
        <v>246</v>
      </c>
      <c r="G42" s="5" t="s">
        <v>248</v>
      </c>
      <c r="H42" s="5" t="s">
        <v>129</v>
      </c>
      <c r="I42" s="5" t="s">
        <v>14</v>
      </c>
      <c r="J42" s="5" t="str">
        <f t="shared" si="1"/>
        <v>RACKPDU-RACK-R3-Z2W-R2-05-A</v>
      </c>
      <c r="K42" s="5" t="str">
        <f t="shared" si="2"/>
        <v>RACKPDU-RACK-R3-Z2W-R2-05-B</v>
      </c>
      <c r="L42" s="5">
        <v>30</v>
      </c>
      <c r="M42" s="5">
        <f>VLOOKUP($H42,'Cooling-Rack'!$A$2:$G$265,5,FALSE)</f>
        <v>22.5</v>
      </c>
      <c r="N42" s="5">
        <f>VLOOKUP($H42,'Cooling-Rack'!$A$2:$G$265,7,FALSE)</f>
        <v>7.5</v>
      </c>
      <c r="O42" s="5">
        <v>36</v>
      </c>
      <c r="P42" s="103">
        <v>0.75</v>
      </c>
      <c r="Q42" s="103">
        <v>0.25</v>
      </c>
      <c r="R42" s="5" t="s">
        <v>27</v>
      </c>
      <c r="S42" s="11" t="s">
        <v>31</v>
      </c>
      <c r="T42" s="5" t="s">
        <v>70</v>
      </c>
      <c r="U42" s="25" t="s">
        <v>71</v>
      </c>
      <c r="V42" s="5" t="s">
        <v>293</v>
      </c>
      <c r="W42" s="25" t="s">
        <v>294</v>
      </c>
      <c r="X42" s="5" t="s">
        <v>80</v>
      </c>
      <c r="Y42" s="5" t="s">
        <v>76</v>
      </c>
      <c r="Z42" s="5" t="s">
        <v>77</v>
      </c>
      <c r="AA42" s="5" t="s">
        <v>74</v>
      </c>
      <c r="AB42" s="5" t="s">
        <v>75</v>
      </c>
      <c r="AC42" s="5" t="s">
        <v>78</v>
      </c>
      <c r="AD42" s="5" t="s">
        <v>79</v>
      </c>
      <c r="AE42" s="5" t="s">
        <v>385</v>
      </c>
      <c r="AF42" s="5" t="s">
        <v>384</v>
      </c>
      <c r="AG42" s="5" t="s">
        <v>392</v>
      </c>
      <c r="AH42" s="5" t="s">
        <v>395</v>
      </c>
      <c r="AL42" s="5">
        <v>30</v>
      </c>
      <c r="AM42" s="5">
        <f t="shared" si="3"/>
        <v>22.5</v>
      </c>
      <c r="AN42" s="5">
        <f t="shared" si="4"/>
        <v>7.5</v>
      </c>
      <c r="AO42" s="5">
        <v>0</v>
      </c>
      <c r="AP42" s="5">
        <f t="shared" si="5"/>
        <v>0</v>
      </c>
      <c r="AQ42" s="5">
        <f t="shared" si="6"/>
        <v>0</v>
      </c>
      <c r="BA42" s="5">
        <f t="shared" si="7"/>
        <v>30</v>
      </c>
      <c r="BB42" s="5">
        <f t="shared" si="8"/>
        <v>0</v>
      </c>
      <c r="BC42" s="5">
        <f t="shared" si="9"/>
        <v>30</v>
      </c>
      <c r="BD42" s="5">
        <f t="shared" si="10"/>
        <v>30</v>
      </c>
      <c r="BE42" s="5">
        <f t="shared" si="11"/>
        <v>30</v>
      </c>
      <c r="BF42" s="5">
        <f t="shared" si="12"/>
        <v>30</v>
      </c>
      <c r="BG42" s="103">
        <f t="shared" si="13"/>
        <v>1</v>
      </c>
      <c r="BH42" s="103">
        <f t="shared" si="14"/>
        <v>0</v>
      </c>
      <c r="BI42" s="103">
        <f t="shared" si="15"/>
        <v>1</v>
      </c>
      <c r="BJ42" s="103">
        <f t="shared" si="16"/>
        <v>1</v>
      </c>
      <c r="BK42" s="103">
        <f t="shared" si="17"/>
        <v>1</v>
      </c>
      <c r="BL42" s="103">
        <f t="shared" si="18"/>
        <v>1</v>
      </c>
      <c r="BM42" s="103"/>
      <c r="BO42" s="5" t="s">
        <v>891</v>
      </c>
      <c r="BP42" s="124">
        <f t="shared" si="19"/>
        <v>25</v>
      </c>
      <c r="BQ42" s="5">
        <f t="shared" si="20"/>
        <v>0</v>
      </c>
      <c r="BR42" s="5">
        <f t="shared" si="21"/>
        <v>1</v>
      </c>
      <c r="BS42" s="5">
        <f t="shared" si="22"/>
        <v>0</v>
      </c>
      <c r="BT42" s="5">
        <f t="shared" si="23"/>
        <v>0</v>
      </c>
      <c r="BU42" s="5">
        <f t="shared" si="24"/>
        <v>0</v>
      </c>
      <c r="BV42" s="5">
        <f t="shared" si="25"/>
        <v>0</v>
      </c>
    </row>
    <row r="43" spans="1:74" s="5" customFormat="1" x14ac:dyDescent="0.2">
      <c r="A43" s="5" t="s">
        <v>110</v>
      </c>
      <c r="B43" s="5" t="s">
        <v>124</v>
      </c>
      <c r="C43" s="5">
        <v>30</v>
      </c>
      <c r="F43" s="5" t="s">
        <v>246</v>
      </c>
      <c r="G43" s="5" t="s">
        <v>248</v>
      </c>
      <c r="H43" s="5" t="s">
        <v>130</v>
      </c>
      <c r="I43" s="5" t="s">
        <v>14</v>
      </c>
      <c r="J43" s="5" t="str">
        <f t="shared" si="1"/>
        <v>RACKPDU-RACK-R3-Z2W-R2-06-A</v>
      </c>
      <c r="K43" s="5" t="str">
        <f t="shared" si="2"/>
        <v>RACKPDU-RACK-R3-Z2W-R2-06-B</v>
      </c>
      <c r="L43" s="5">
        <v>30</v>
      </c>
      <c r="M43" s="5">
        <f>VLOOKUP($H43,'Cooling-Rack'!$A$2:$G$265,5,FALSE)</f>
        <v>22.5</v>
      </c>
      <c r="N43" s="5">
        <f>VLOOKUP($H43,'Cooling-Rack'!$A$2:$G$265,7,FALSE)</f>
        <v>7.5</v>
      </c>
      <c r="O43" s="5">
        <v>36</v>
      </c>
      <c r="P43" s="103">
        <v>0.75</v>
      </c>
      <c r="Q43" s="103">
        <v>0.25</v>
      </c>
      <c r="R43" s="5" t="s">
        <v>27</v>
      </c>
      <c r="S43" s="11" t="s">
        <v>31</v>
      </c>
      <c r="T43" s="5" t="s">
        <v>70</v>
      </c>
      <c r="U43" s="25" t="s">
        <v>71</v>
      </c>
      <c r="V43" s="5" t="s">
        <v>293</v>
      </c>
      <c r="W43" s="25" t="s">
        <v>294</v>
      </c>
      <c r="X43" s="5" t="s">
        <v>80</v>
      </c>
      <c r="Y43" s="5" t="s">
        <v>76</v>
      </c>
      <c r="Z43" s="5" t="s">
        <v>77</v>
      </c>
      <c r="AA43" s="5" t="s">
        <v>74</v>
      </c>
      <c r="AB43" s="5" t="s">
        <v>75</v>
      </c>
      <c r="AC43" s="5" t="s">
        <v>78</v>
      </c>
      <c r="AD43" s="5" t="s">
        <v>79</v>
      </c>
      <c r="AE43" s="5" t="s">
        <v>385</v>
      </c>
      <c r="AF43" s="5" t="s">
        <v>384</v>
      </c>
      <c r="AG43" s="5" t="s">
        <v>392</v>
      </c>
      <c r="AH43" s="5" t="s">
        <v>395</v>
      </c>
      <c r="AL43" s="5">
        <v>30</v>
      </c>
      <c r="AM43" s="5">
        <f t="shared" si="3"/>
        <v>22.5</v>
      </c>
      <c r="AN43" s="5">
        <f t="shared" si="4"/>
        <v>7.5</v>
      </c>
      <c r="AO43" s="5">
        <v>0</v>
      </c>
      <c r="AP43" s="5">
        <f t="shared" si="5"/>
        <v>0</v>
      </c>
      <c r="AQ43" s="5">
        <f t="shared" si="6"/>
        <v>0</v>
      </c>
      <c r="BA43" s="5">
        <f t="shared" si="7"/>
        <v>30</v>
      </c>
      <c r="BB43" s="5">
        <f t="shared" si="8"/>
        <v>0</v>
      </c>
      <c r="BC43" s="5">
        <f t="shared" si="9"/>
        <v>30</v>
      </c>
      <c r="BD43" s="5">
        <f t="shared" si="10"/>
        <v>30</v>
      </c>
      <c r="BE43" s="5">
        <f t="shared" si="11"/>
        <v>30</v>
      </c>
      <c r="BF43" s="5">
        <f t="shared" si="12"/>
        <v>30</v>
      </c>
      <c r="BG43" s="103">
        <f t="shared" si="13"/>
        <v>1</v>
      </c>
      <c r="BH43" s="103">
        <f t="shared" si="14"/>
        <v>0</v>
      </c>
      <c r="BI43" s="103">
        <f t="shared" si="15"/>
        <v>1</v>
      </c>
      <c r="BJ43" s="103">
        <f t="shared" si="16"/>
        <v>1</v>
      </c>
      <c r="BK43" s="103">
        <f t="shared" si="17"/>
        <v>1</v>
      </c>
      <c r="BL43" s="103">
        <f t="shared" si="18"/>
        <v>1</v>
      </c>
      <c r="BM43" s="103"/>
      <c r="BO43" s="5" t="s">
        <v>892</v>
      </c>
      <c r="BP43" s="124">
        <f t="shared" si="19"/>
        <v>25</v>
      </c>
      <c r="BQ43" s="5">
        <f t="shared" si="20"/>
        <v>0</v>
      </c>
      <c r="BR43" s="5">
        <f t="shared" si="21"/>
        <v>1</v>
      </c>
      <c r="BS43" s="5">
        <f t="shared" si="22"/>
        <v>0</v>
      </c>
      <c r="BT43" s="5">
        <f t="shared" si="23"/>
        <v>0</v>
      </c>
      <c r="BU43" s="5">
        <f t="shared" si="24"/>
        <v>0</v>
      </c>
      <c r="BV43" s="5">
        <f t="shared" si="25"/>
        <v>0</v>
      </c>
    </row>
    <row r="44" spans="1:74" s="5" customFormat="1" x14ac:dyDescent="0.2">
      <c r="A44" s="5" t="s">
        <v>110</v>
      </c>
      <c r="B44" s="5" t="s">
        <v>124</v>
      </c>
      <c r="C44" s="5">
        <v>30</v>
      </c>
      <c r="F44" s="5" t="s">
        <v>246</v>
      </c>
      <c r="G44" s="5" t="s">
        <v>248</v>
      </c>
      <c r="H44" s="5" t="s">
        <v>131</v>
      </c>
      <c r="I44" s="5" t="s">
        <v>14</v>
      </c>
      <c r="J44" s="5" t="str">
        <f t="shared" si="1"/>
        <v>RACKPDU-RACK-R3-Z2W-R2-07-A</v>
      </c>
      <c r="K44" s="5" t="str">
        <f t="shared" si="2"/>
        <v>RACKPDU-RACK-R3-Z2W-R2-07-B</v>
      </c>
      <c r="L44" s="5">
        <v>30</v>
      </c>
      <c r="M44" s="5">
        <f>VLOOKUP($H44,'Cooling-Rack'!$A$2:$G$265,5,FALSE)</f>
        <v>22.5</v>
      </c>
      <c r="N44" s="5">
        <f>VLOOKUP($H44,'Cooling-Rack'!$A$2:$G$265,7,FALSE)</f>
        <v>7.5</v>
      </c>
      <c r="O44" s="5">
        <v>36</v>
      </c>
      <c r="P44" s="103">
        <v>0.75</v>
      </c>
      <c r="Q44" s="103">
        <v>0.25</v>
      </c>
      <c r="R44" s="5" t="s">
        <v>27</v>
      </c>
      <c r="S44" s="9" t="s">
        <v>28</v>
      </c>
      <c r="T44" s="5" t="s">
        <v>70</v>
      </c>
      <c r="U44" s="5" t="s">
        <v>72</v>
      </c>
      <c r="V44" s="5" t="s">
        <v>293</v>
      </c>
      <c r="W44" s="5" t="s">
        <v>294</v>
      </c>
      <c r="X44" s="5" t="s">
        <v>80</v>
      </c>
      <c r="Y44" s="5" t="s">
        <v>76</v>
      </c>
      <c r="Z44" s="5" t="s">
        <v>77</v>
      </c>
      <c r="AA44" s="5" t="s">
        <v>74</v>
      </c>
      <c r="AB44" s="5" t="s">
        <v>75</v>
      </c>
      <c r="AC44" s="5" t="s">
        <v>78</v>
      </c>
      <c r="AD44" s="5" t="s">
        <v>79</v>
      </c>
      <c r="AE44" s="5" t="s">
        <v>385</v>
      </c>
      <c r="AF44" s="5" t="s">
        <v>384</v>
      </c>
      <c r="AG44" s="5" t="s">
        <v>392</v>
      </c>
      <c r="AH44" s="5" t="s">
        <v>395</v>
      </c>
      <c r="AL44" s="5">
        <v>30</v>
      </c>
      <c r="AM44" s="5">
        <f t="shared" si="3"/>
        <v>22.5</v>
      </c>
      <c r="AN44" s="5">
        <f t="shared" si="4"/>
        <v>7.5</v>
      </c>
      <c r="AO44" s="5">
        <v>0</v>
      </c>
      <c r="AP44" s="5">
        <f t="shared" si="5"/>
        <v>0</v>
      </c>
      <c r="AQ44" s="5">
        <f t="shared" si="6"/>
        <v>0</v>
      </c>
      <c r="BA44" s="5">
        <f t="shared" si="7"/>
        <v>30</v>
      </c>
      <c r="BB44" s="5">
        <f t="shared" si="8"/>
        <v>0</v>
      </c>
      <c r="BC44" s="5">
        <f t="shared" si="9"/>
        <v>30</v>
      </c>
      <c r="BD44" s="5">
        <f t="shared" si="10"/>
        <v>30</v>
      </c>
      <c r="BE44" s="5">
        <f t="shared" si="11"/>
        <v>30</v>
      </c>
      <c r="BF44" s="5">
        <f t="shared" si="12"/>
        <v>30</v>
      </c>
      <c r="BG44" s="103">
        <f t="shared" si="13"/>
        <v>1</v>
      </c>
      <c r="BH44" s="103">
        <f t="shared" si="14"/>
        <v>0</v>
      </c>
      <c r="BI44" s="103">
        <f t="shared" si="15"/>
        <v>1</v>
      </c>
      <c r="BJ44" s="103">
        <f t="shared" si="16"/>
        <v>1</v>
      </c>
      <c r="BK44" s="103">
        <f t="shared" si="17"/>
        <v>1</v>
      </c>
      <c r="BL44" s="103">
        <f t="shared" si="18"/>
        <v>1</v>
      </c>
      <c r="BM44" s="103"/>
      <c r="BO44" s="5" t="s">
        <v>893</v>
      </c>
      <c r="BP44" s="124">
        <f t="shared" si="19"/>
        <v>25</v>
      </c>
      <c r="BQ44" s="5">
        <f t="shared" si="20"/>
        <v>0</v>
      </c>
      <c r="BR44" s="5">
        <f t="shared" si="21"/>
        <v>1</v>
      </c>
      <c r="BS44" s="5">
        <f t="shared" si="22"/>
        <v>0</v>
      </c>
      <c r="BT44" s="5">
        <f t="shared" si="23"/>
        <v>0</v>
      </c>
      <c r="BU44" s="5">
        <f t="shared" si="24"/>
        <v>0</v>
      </c>
      <c r="BV44" s="5">
        <f t="shared" si="25"/>
        <v>0</v>
      </c>
    </row>
    <row r="45" spans="1:74" s="5" customFormat="1" x14ac:dyDescent="0.2">
      <c r="A45" s="5" t="s">
        <v>110</v>
      </c>
      <c r="B45" s="5" t="s">
        <v>124</v>
      </c>
      <c r="C45" s="5">
        <v>30</v>
      </c>
      <c r="F45" s="5" t="s">
        <v>246</v>
      </c>
      <c r="G45" s="5" t="s">
        <v>248</v>
      </c>
      <c r="H45" s="5" t="s">
        <v>132</v>
      </c>
      <c r="I45" s="5" t="s">
        <v>14</v>
      </c>
      <c r="J45" s="5" t="str">
        <f t="shared" si="1"/>
        <v>RACKPDU-RACK-R3-Z2W-R2-08-A</v>
      </c>
      <c r="K45" s="5" t="str">
        <f t="shared" si="2"/>
        <v>RACKPDU-RACK-R3-Z2W-R2-08-B</v>
      </c>
      <c r="L45" s="5">
        <v>30</v>
      </c>
      <c r="M45" s="5">
        <f>VLOOKUP($H45,'Cooling-Rack'!$A$2:$G$265,5,FALSE)</f>
        <v>22.5</v>
      </c>
      <c r="N45" s="5">
        <f>VLOOKUP($H45,'Cooling-Rack'!$A$2:$G$265,7,FALSE)</f>
        <v>7.5</v>
      </c>
      <c r="O45" s="5">
        <v>36</v>
      </c>
      <c r="P45" s="103">
        <v>0.75</v>
      </c>
      <c r="Q45" s="103">
        <v>0.25</v>
      </c>
      <c r="R45" s="5" t="s">
        <v>27</v>
      </c>
      <c r="S45" s="9" t="s">
        <v>28</v>
      </c>
      <c r="T45" s="5" t="s">
        <v>70</v>
      </c>
      <c r="U45" s="5" t="s">
        <v>72</v>
      </c>
      <c r="V45" s="5" t="s">
        <v>293</v>
      </c>
      <c r="W45" s="5" t="s">
        <v>294</v>
      </c>
      <c r="X45" s="5" t="s">
        <v>80</v>
      </c>
      <c r="Y45" s="5" t="s">
        <v>76</v>
      </c>
      <c r="Z45" s="5" t="s">
        <v>77</v>
      </c>
      <c r="AA45" s="5" t="s">
        <v>74</v>
      </c>
      <c r="AB45" s="5" t="s">
        <v>75</v>
      </c>
      <c r="AC45" s="5" t="s">
        <v>78</v>
      </c>
      <c r="AD45" s="5" t="s">
        <v>79</v>
      </c>
      <c r="AE45" s="5" t="s">
        <v>385</v>
      </c>
      <c r="AF45" s="5" t="s">
        <v>384</v>
      </c>
      <c r="AG45" s="5" t="s">
        <v>392</v>
      </c>
      <c r="AH45" s="5" t="s">
        <v>395</v>
      </c>
      <c r="AL45" s="5">
        <v>30</v>
      </c>
      <c r="AM45" s="5">
        <f t="shared" si="3"/>
        <v>22.5</v>
      </c>
      <c r="AN45" s="5">
        <f t="shared" si="4"/>
        <v>7.5</v>
      </c>
      <c r="AO45" s="5">
        <v>0</v>
      </c>
      <c r="AP45" s="5">
        <f t="shared" si="5"/>
        <v>0</v>
      </c>
      <c r="AQ45" s="5">
        <f t="shared" si="6"/>
        <v>0</v>
      </c>
      <c r="BA45" s="5">
        <f t="shared" si="7"/>
        <v>30</v>
      </c>
      <c r="BB45" s="5">
        <f t="shared" si="8"/>
        <v>0</v>
      </c>
      <c r="BC45" s="5">
        <f t="shared" si="9"/>
        <v>30</v>
      </c>
      <c r="BD45" s="5">
        <f t="shared" si="10"/>
        <v>30</v>
      </c>
      <c r="BE45" s="5">
        <f t="shared" si="11"/>
        <v>30</v>
      </c>
      <c r="BF45" s="5">
        <f t="shared" si="12"/>
        <v>30</v>
      </c>
      <c r="BG45" s="103">
        <f t="shared" si="13"/>
        <v>1</v>
      </c>
      <c r="BH45" s="103">
        <f t="shared" si="14"/>
        <v>0</v>
      </c>
      <c r="BI45" s="103">
        <f t="shared" si="15"/>
        <v>1</v>
      </c>
      <c r="BJ45" s="103">
        <f t="shared" si="16"/>
        <v>1</v>
      </c>
      <c r="BK45" s="103">
        <f t="shared" si="17"/>
        <v>1</v>
      </c>
      <c r="BL45" s="103">
        <f t="shared" si="18"/>
        <v>1</v>
      </c>
      <c r="BM45" s="103"/>
      <c r="BO45" s="5" t="s">
        <v>894</v>
      </c>
      <c r="BP45" s="124">
        <f t="shared" si="19"/>
        <v>25</v>
      </c>
      <c r="BQ45" s="5">
        <f t="shared" si="20"/>
        <v>0</v>
      </c>
      <c r="BR45" s="5">
        <f t="shared" si="21"/>
        <v>1</v>
      </c>
      <c r="BS45" s="5">
        <f t="shared" si="22"/>
        <v>0</v>
      </c>
      <c r="BT45" s="5">
        <f t="shared" si="23"/>
        <v>0</v>
      </c>
      <c r="BU45" s="5">
        <f t="shared" si="24"/>
        <v>0</v>
      </c>
      <c r="BV45" s="5">
        <f t="shared" si="25"/>
        <v>0</v>
      </c>
    </row>
    <row r="46" spans="1:74" s="5" customFormat="1" x14ac:dyDescent="0.2">
      <c r="A46" s="5" t="s">
        <v>110</v>
      </c>
      <c r="B46" s="5" t="s">
        <v>124</v>
      </c>
      <c r="C46" s="5">
        <v>30</v>
      </c>
      <c r="F46" s="5" t="s">
        <v>246</v>
      </c>
      <c r="G46" s="5" t="s">
        <v>248</v>
      </c>
      <c r="H46" s="5" t="s">
        <v>133</v>
      </c>
      <c r="I46" s="5" t="s">
        <v>14</v>
      </c>
      <c r="J46" s="5" t="str">
        <f t="shared" si="1"/>
        <v>RACKPDU-RACK-R3-Z2W-R2-09-A</v>
      </c>
      <c r="K46" s="5" t="str">
        <f t="shared" si="2"/>
        <v>RACKPDU-RACK-R3-Z2W-R2-09-B</v>
      </c>
      <c r="L46" s="5">
        <v>30</v>
      </c>
      <c r="M46" s="5">
        <f>VLOOKUP($H46,'Cooling-Rack'!$A$2:$G$265,5,FALSE)</f>
        <v>22.5</v>
      </c>
      <c r="N46" s="5">
        <f>VLOOKUP($H46,'Cooling-Rack'!$A$2:$G$265,7,FALSE)</f>
        <v>7.5</v>
      </c>
      <c r="O46" s="5">
        <v>36</v>
      </c>
      <c r="P46" s="103">
        <v>0.75</v>
      </c>
      <c r="Q46" s="103">
        <v>0.25</v>
      </c>
      <c r="R46" s="9" t="s">
        <v>30</v>
      </c>
      <c r="S46" s="9" t="s">
        <v>28</v>
      </c>
      <c r="T46" s="5" t="s">
        <v>70</v>
      </c>
      <c r="U46" s="5" t="s">
        <v>72</v>
      </c>
      <c r="V46" s="5" t="s">
        <v>293</v>
      </c>
      <c r="W46" s="5" t="s">
        <v>294</v>
      </c>
      <c r="X46" s="5" t="s">
        <v>80</v>
      </c>
      <c r="Y46" s="5" t="s">
        <v>76</v>
      </c>
      <c r="Z46" s="5" t="s">
        <v>77</v>
      </c>
      <c r="AA46" s="5" t="s">
        <v>74</v>
      </c>
      <c r="AB46" s="5" t="s">
        <v>75</v>
      </c>
      <c r="AC46" s="5" t="s">
        <v>78</v>
      </c>
      <c r="AD46" s="5" t="s">
        <v>79</v>
      </c>
      <c r="AE46" s="5" t="s">
        <v>385</v>
      </c>
      <c r="AF46" s="5" t="s">
        <v>384</v>
      </c>
      <c r="AG46" s="5" t="s">
        <v>392</v>
      </c>
      <c r="AH46" s="5" t="s">
        <v>395</v>
      </c>
      <c r="AL46" s="5">
        <v>30</v>
      </c>
      <c r="AM46" s="5">
        <f t="shared" si="3"/>
        <v>22.5</v>
      </c>
      <c r="AN46" s="5">
        <f t="shared" si="4"/>
        <v>7.5</v>
      </c>
      <c r="AO46" s="5">
        <v>0</v>
      </c>
      <c r="AP46" s="5">
        <f t="shared" si="5"/>
        <v>0</v>
      </c>
      <c r="AQ46" s="5">
        <f t="shared" si="6"/>
        <v>0</v>
      </c>
      <c r="BA46" s="5">
        <f t="shared" si="7"/>
        <v>30</v>
      </c>
      <c r="BB46" s="5">
        <f t="shared" si="8"/>
        <v>0</v>
      </c>
      <c r="BC46" s="5">
        <f t="shared" si="9"/>
        <v>30</v>
      </c>
      <c r="BD46" s="5">
        <f t="shared" si="10"/>
        <v>30</v>
      </c>
      <c r="BE46" s="5">
        <f t="shared" si="11"/>
        <v>30</v>
      </c>
      <c r="BF46" s="5">
        <f t="shared" si="12"/>
        <v>30</v>
      </c>
      <c r="BG46" s="103">
        <f t="shared" si="13"/>
        <v>1</v>
      </c>
      <c r="BH46" s="103">
        <f t="shared" si="14"/>
        <v>0</v>
      </c>
      <c r="BI46" s="103">
        <f t="shared" si="15"/>
        <v>1</v>
      </c>
      <c r="BJ46" s="103">
        <f t="shared" si="16"/>
        <v>1</v>
      </c>
      <c r="BK46" s="103">
        <f t="shared" si="17"/>
        <v>1</v>
      </c>
      <c r="BL46" s="103">
        <f t="shared" si="18"/>
        <v>1</v>
      </c>
      <c r="BM46" s="103"/>
      <c r="BO46" s="5" t="s">
        <v>895</v>
      </c>
      <c r="BP46" s="124">
        <f t="shared" si="19"/>
        <v>25</v>
      </c>
      <c r="BQ46" s="5">
        <f t="shared" si="20"/>
        <v>0</v>
      </c>
      <c r="BR46" s="5">
        <f t="shared" si="21"/>
        <v>1</v>
      </c>
      <c r="BS46" s="5">
        <f t="shared" si="22"/>
        <v>0</v>
      </c>
      <c r="BT46" s="5">
        <f t="shared" si="23"/>
        <v>0</v>
      </c>
      <c r="BU46" s="5">
        <f t="shared" si="24"/>
        <v>0</v>
      </c>
      <c r="BV46" s="5">
        <f t="shared" si="25"/>
        <v>0</v>
      </c>
    </row>
    <row r="47" spans="1:74" s="5" customFormat="1" x14ac:dyDescent="0.2">
      <c r="A47" s="5" t="s">
        <v>110</v>
      </c>
      <c r="B47" s="5" t="s">
        <v>124</v>
      </c>
      <c r="C47" s="5">
        <v>30</v>
      </c>
      <c r="F47" s="5" t="s">
        <v>246</v>
      </c>
      <c r="G47" s="5" t="s">
        <v>248</v>
      </c>
      <c r="H47" s="5" t="s">
        <v>134</v>
      </c>
      <c r="I47" s="5" t="s">
        <v>14</v>
      </c>
      <c r="J47" s="5" t="str">
        <f t="shared" si="1"/>
        <v>RACKPDU-RACK-R3-Z2W-R2-10-A</v>
      </c>
      <c r="K47" s="5" t="str">
        <f t="shared" si="2"/>
        <v>RACKPDU-RACK-R3-Z2W-R2-10-B</v>
      </c>
      <c r="L47" s="5">
        <v>30</v>
      </c>
      <c r="M47" s="5">
        <f>VLOOKUP($H47,'Cooling-Rack'!$A$2:$G$265,5,FALSE)</f>
        <v>22.5</v>
      </c>
      <c r="N47" s="5">
        <f>VLOOKUP($H47,'Cooling-Rack'!$A$2:$G$265,7,FALSE)</f>
        <v>7.5</v>
      </c>
      <c r="O47" s="5">
        <v>36</v>
      </c>
      <c r="P47" s="103">
        <v>0.75</v>
      </c>
      <c r="Q47" s="103">
        <v>0.25</v>
      </c>
      <c r="R47" s="9" t="s">
        <v>30</v>
      </c>
      <c r="S47" s="9" t="s">
        <v>28</v>
      </c>
      <c r="T47" s="5" t="s">
        <v>70</v>
      </c>
      <c r="U47" s="5" t="s">
        <v>72</v>
      </c>
      <c r="V47" s="5" t="s">
        <v>293</v>
      </c>
      <c r="W47" s="5" t="s">
        <v>294</v>
      </c>
      <c r="X47" s="5" t="s">
        <v>80</v>
      </c>
      <c r="Y47" s="5" t="s">
        <v>76</v>
      </c>
      <c r="Z47" s="5" t="s">
        <v>77</v>
      </c>
      <c r="AA47" s="5" t="s">
        <v>74</v>
      </c>
      <c r="AB47" s="5" t="s">
        <v>75</v>
      </c>
      <c r="AC47" s="5" t="s">
        <v>78</v>
      </c>
      <c r="AD47" s="5" t="s">
        <v>79</v>
      </c>
      <c r="AE47" s="5" t="s">
        <v>385</v>
      </c>
      <c r="AF47" s="5" t="s">
        <v>384</v>
      </c>
      <c r="AG47" s="5" t="s">
        <v>392</v>
      </c>
      <c r="AH47" s="5" t="s">
        <v>395</v>
      </c>
      <c r="AL47" s="5">
        <v>30</v>
      </c>
      <c r="AM47" s="5">
        <f t="shared" si="3"/>
        <v>22.5</v>
      </c>
      <c r="AN47" s="5">
        <f t="shared" si="4"/>
        <v>7.5</v>
      </c>
      <c r="AO47" s="5">
        <v>0</v>
      </c>
      <c r="AP47" s="5">
        <f t="shared" si="5"/>
        <v>0</v>
      </c>
      <c r="AQ47" s="5">
        <f t="shared" si="6"/>
        <v>0</v>
      </c>
      <c r="BA47" s="5">
        <f t="shared" si="7"/>
        <v>30</v>
      </c>
      <c r="BB47" s="5">
        <f t="shared" si="8"/>
        <v>0</v>
      </c>
      <c r="BC47" s="5">
        <f t="shared" si="9"/>
        <v>30</v>
      </c>
      <c r="BD47" s="5">
        <f t="shared" si="10"/>
        <v>30</v>
      </c>
      <c r="BE47" s="5">
        <f t="shared" si="11"/>
        <v>30</v>
      </c>
      <c r="BF47" s="5">
        <f t="shared" si="12"/>
        <v>30</v>
      </c>
      <c r="BG47" s="103">
        <f t="shared" si="13"/>
        <v>1</v>
      </c>
      <c r="BH47" s="103">
        <f t="shared" si="14"/>
        <v>0</v>
      </c>
      <c r="BI47" s="103">
        <f t="shared" si="15"/>
        <v>1</v>
      </c>
      <c r="BJ47" s="103">
        <f t="shared" si="16"/>
        <v>1</v>
      </c>
      <c r="BK47" s="103">
        <f t="shared" si="17"/>
        <v>1</v>
      </c>
      <c r="BL47" s="103">
        <f t="shared" si="18"/>
        <v>1</v>
      </c>
      <c r="BM47" s="103"/>
      <c r="BO47" s="5" t="s">
        <v>896</v>
      </c>
      <c r="BP47" s="124">
        <f t="shared" si="19"/>
        <v>25</v>
      </c>
      <c r="BQ47" s="5">
        <f t="shared" si="20"/>
        <v>0</v>
      </c>
      <c r="BR47" s="5">
        <f t="shared" si="21"/>
        <v>1</v>
      </c>
      <c r="BS47" s="5">
        <f t="shared" si="22"/>
        <v>0</v>
      </c>
      <c r="BT47" s="5">
        <f t="shared" si="23"/>
        <v>0</v>
      </c>
      <c r="BU47" s="5">
        <f t="shared" si="24"/>
        <v>0</v>
      </c>
      <c r="BV47" s="5">
        <f t="shared" si="25"/>
        <v>0</v>
      </c>
    </row>
    <row r="48" spans="1:74" s="5" customFormat="1" x14ac:dyDescent="0.2">
      <c r="A48" s="5" t="s">
        <v>110</v>
      </c>
      <c r="B48" s="5" t="s">
        <v>124</v>
      </c>
      <c r="C48" s="5">
        <v>30</v>
      </c>
      <c r="F48" s="5" t="s">
        <v>246</v>
      </c>
      <c r="G48" s="5" t="s">
        <v>248</v>
      </c>
      <c r="H48" s="5" t="s">
        <v>135</v>
      </c>
      <c r="I48" s="5" t="s">
        <v>14</v>
      </c>
      <c r="J48" s="5" t="str">
        <f t="shared" si="1"/>
        <v>RACKPDU-RACK-R3-Z2W-R2-11-A</v>
      </c>
      <c r="K48" s="5" t="str">
        <f t="shared" si="2"/>
        <v>RACKPDU-RACK-R3-Z2W-R2-11-B</v>
      </c>
      <c r="L48" s="5">
        <v>30</v>
      </c>
      <c r="M48" s="5">
        <f>VLOOKUP($H48,'Cooling-Rack'!$A$2:$G$265,5,FALSE)</f>
        <v>22.5</v>
      </c>
      <c r="N48" s="5">
        <f>VLOOKUP($H48,'Cooling-Rack'!$A$2:$G$265,7,FALSE)</f>
        <v>7.5</v>
      </c>
      <c r="O48" s="5">
        <v>36</v>
      </c>
      <c r="P48" s="103">
        <v>0.75</v>
      </c>
      <c r="Q48" s="103">
        <v>0.25</v>
      </c>
      <c r="R48" s="9" t="s">
        <v>30</v>
      </c>
      <c r="S48" s="9" t="s">
        <v>28</v>
      </c>
      <c r="T48" s="5" t="s">
        <v>70</v>
      </c>
      <c r="U48" s="5" t="s">
        <v>72</v>
      </c>
      <c r="V48" s="5" t="s">
        <v>293</v>
      </c>
      <c r="W48" s="5" t="s">
        <v>294</v>
      </c>
      <c r="X48" s="5" t="s">
        <v>80</v>
      </c>
      <c r="Y48" s="5" t="s">
        <v>76</v>
      </c>
      <c r="Z48" s="5" t="s">
        <v>77</v>
      </c>
      <c r="AA48" s="5" t="s">
        <v>74</v>
      </c>
      <c r="AB48" s="5" t="s">
        <v>75</v>
      </c>
      <c r="AC48" s="5" t="s">
        <v>78</v>
      </c>
      <c r="AD48" s="5" t="s">
        <v>79</v>
      </c>
      <c r="AE48" s="5" t="s">
        <v>385</v>
      </c>
      <c r="AF48" s="5" t="s">
        <v>384</v>
      </c>
      <c r="AG48" s="5" t="s">
        <v>392</v>
      </c>
      <c r="AH48" s="5" t="s">
        <v>395</v>
      </c>
      <c r="AL48" s="5">
        <v>30</v>
      </c>
      <c r="AM48" s="5">
        <f t="shared" si="3"/>
        <v>22.5</v>
      </c>
      <c r="AN48" s="5">
        <f t="shared" si="4"/>
        <v>7.5</v>
      </c>
      <c r="AO48" s="5">
        <v>0</v>
      </c>
      <c r="AP48" s="5">
        <f t="shared" si="5"/>
        <v>0</v>
      </c>
      <c r="AQ48" s="5">
        <f t="shared" si="6"/>
        <v>0</v>
      </c>
      <c r="BA48" s="5">
        <f t="shared" si="7"/>
        <v>30</v>
      </c>
      <c r="BB48" s="5">
        <f t="shared" si="8"/>
        <v>0</v>
      </c>
      <c r="BC48" s="5">
        <f t="shared" si="9"/>
        <v>30</v>
      </c>
      <c r="BD48" s="5">
        <f t="shared" si="10"/>
        <v>30</v>
      </c>
      <c r="BE48" s="5">
        <f t="shared" si="11"/>
        <v>30</v>
      </c>
      <c r="BF48" s="5">
        <f t="shared" si="12"/>
        <v>30</v>
      </c>
      <c r="BG48" s="103">
        <f t="shared" si="13"/>
        <v>1</v>
      </c>
      <c r="BH48" s="103">
        <f t="shared" si="14"/>
        <v>0</v>
      </c>
      <c r="BI48" s="103">
        <f t="shared" si="15"/>
        <v>1</v>
      </c>
      <c r="BJ48" s="103">
        <f t="shared" si="16"/>
        <v>1</v>
      </c>
      <c r="BK48" s="103">
        <f t="shared" si="17"/>
        <v>1</v>
      </c>
      <c r="BL48" s="103">
        <f t="shared" si="18"/>
        <v>1</v>
      </c>
      <c r="BM48" s="103"/>
      <c r="BO48" s="5" t="s">
        <v>897</v>
      </c>
      <c r="BP48" s="124">
        <f t="shared" si="19"/>
        <v>25</v>
      </c>
      <c r="BQ48" s="5">
        <f t="shared" si="20"/>
        <v>0</v>
      </c>
      <c r="BR48" s="5">
        <f t="shared" si="21"/>
        <v>1</v>
      </c>
      <c r="BS48" s="5">
        <f t="shared" si="22"/>
        <v>0</v>
      </c>
      <c r="BT48" s="5">
        <f t="shared" si="23"/>
        <v>0</v>
      </c>
      <c r="BU48" s="5">
        <f t="shared" si="24"/>
        <v>0</v>
      </c>
      <c r="BV48" s="5">
        <f t="shared" si="25"/>
        <v>0</v>
      </c>
    </row>
    <row r="49" spans="1:74" s="5" customFormat="1" x14ac:dyDescent="0.2">
      <c r="A49" s="5" t="s">
        <v>110</v>
      </c>
      <c r="B49" s="5" t="s">
        <v>124</v>
      </c>
      <c r="C49" s="5">
        <v>30</v>
      </c>
      <c r="F49" s="5" t="s">
        <v>246</v>
      </c>
      <c r="G49" s="5" t="s">
        <v>248</v>
      </c>
      <c r="H49" s="5" t="s">
        <v>136</v>
      </c>
      <c r="I49" s="5" t="s">
        <v>14</v>
      </c>
      <c r="J49" s="5" t="str">
        <f t="shared" si="1"/>
        <v>RACKPDU-RACK-R3-Z2W-R2-12-A</v>
      </c>
      <c r="K49" s="5" t="str">
        <f t="shared" si="2"/>
        <v>RACKPDU-RACK-R3-Z2W-R2-12-B</v>
      </c>
      <c r="L49" s="5">
        <v>30</v>
      </c>
      <c r="M49" s="5">
        <f>VLOOKUP($H49,'Cooling-Rack'!$A$2:$G$265,5,FALSE)</f>
        <v>22.5</v>
      </c>
      <c r="N49" s="5">
        <f>VLOOKUP($H49,'Cooling-Rack'!$A$2:$G$265,7,FALSE)</f>
        <v>7.5</v>
      </c>
      <c r="O49" s="5">
        <v>36</v>
      </c>
      <c r="P49" s="103">
        <v>0.75</v>
      </c>
      <c r="Q49" s="103">
        <v>0.25</v>
      </c>
      <c r="R49" s="9" t="s">
        <v>30</v>
      </c>
      <c r="S49" s="9" t="s">
        <v>28</v>
      </c>
      <c r="T49" s="5" t="s">
        <v>70</v>
      </c>
      <c r="U49" s="5" t="s">
        <v>72</v>
      </c>
      <c r="V49" s="5" t="s">
        <v>293</v>
      </c>
      <c r="W49" s="5" t="s">
        <v>294</v>
      </c>
      <c r="X49" s="5" t="s">
        <v>80</v>
      </c>
      <c r="Y49" s="5" t="s">
        <v>76</v>
      </c>
      <c r="Z49" s="5" t="s">
        <v>77</v>
      </c>
      <c r="AA49" s="5" t="s">
        <v>74</v>
      </c>
      <c r="AB49" s="5" t="s">
        <v>75</v>
      </c>
      <c r="AC49" s="5" t="s">
        <v>78</v>
      </c>
      <c r="AD49" s="5" t="s">
        <v>79</v>
      </c>
      <c r="AE49" s="5" t="s">
        <v>385</v>
      </c>
      <c r="AF49" s="5" t="s">
        <v>384</v>
      </c>
      <c r="AG49" s="5" t="s">
        <v>392</v>
      </c>
      <c r="AH49" s="5" t="s">
        <v>395</v>
      </c>
      <c r="AL49" s="5">
        <v>30</v>
      </c>
      <c r="AM49" s="5">
        <f t="shared" si="3"/>
        <v>22.5</v>
      </c>
      <c r="AN49" s="5">
        <f t="shared" si="4"/>
        <v>7.5</v>
      </c>
      <c r="AO49" s="5">
        <v>0</v>
      </c>
      <c r="AP49" s="5">
        <f t="shared" si="5"/>
        <v>0</v>
      </c>
      <c r="AQ49" s="5">
        <f t="shared" si="6"/>
        <v>0</v>
      </c>
      <c r="BA49" s="5">
        <f t="shared" si="7"/>
        <v>30</v>
      </c>
      <c r="BB49" s="5">
        <f t="shared" si="8"/>
        <v>0</v>
      </c>
      <c r="BC49" s="5">
        <f t="shared" si="9"/>
        <v>30</v>
      </c>
      <c r="BD49" s="5">
        <f t="shared" si="10"/>
        <v>30</v>
      </c>
      <c r="BE49" s="5">
        <f t="shared" si="11"/>
        <v>30</v>
      </c>
      <c r="BF49" s="5">
        <f t="shared" si="12"/>
        <v>30</v>
      </c>
      <c r="BG49" s="103">
        <f t="shared" si="13"/>
        <v>1</v>
      </c>
      <c r="BH49" s="103">
        <f t="shared" si="14"/>
        <v>0</v>
      </c>
      <c r="BI49" s="103">
        <f t="shared" si="15"/>
        <v>1</v>
      </c>
      <c r="BJ49" s="103">
        <f t="shared" si="16"/>
        <v>1</v>
      </c>
      <c r="BK49" s="103">
        <f t="shared" si="17"/>
        <v>1</v>
      </c>
      <c r="BL49" s="103">
        <f t="shared" si="18"/>
        <v>1</v>
      </c>
      <c r="BM49" s="103"/>
      <c r="BO49" s="5" t="s">
        <v>898</v>
      </c>
      <c r="BP49" s="124">
        <f t="shared" si="19"/>
        <v>25</v>
      </c>
      <c r="BQ49" s="5">
        <f t="shared" si="20"/>
        <v>0</v>
      </c>
      <c r="BR49" s="5">
        <f t="shared" si="21"/>
        <v>1</v>
      </c>
      <c r="BS49" s="5">
        <f t="shared" si="22"/>
        <v>0</v>
      </c>
      <c r="BT49" s="5">
        <f t="shared" si="23"/>
        <v>0</v>
      </c>
      <c r="BU49" s="5">
        <f t="shared" si="24"/>
        <v>0</v>
      </c>
      <c r="BV49" s="5">
        <f t="shared" si="25"/>
        <v>0</v>
      </c>
    </row>
    <row r="50" spans="1:74" s="3" customFormat="1" x14ac:dyDescent="0.2">
      <c r="A50" s="3" t="s">
        <v>137</v>
      </c>
      <c r="B50" s="3" t="s">
        <v>138</v>
      </c>
      <c r="C50" s="3">
        <v>30</v>
      </c>
      <c r="F50" s="3" t="s">
        <v>246</v>
      </c>
      <c r="G50" s="3" t="s">
        <v>249</v>
      </c>
      <c r="H50" s="3" t="s">
        <v>139</v>
      </c>
      <c r="I50" s="3" t="s">
        <v>14</v>
      </c>
      <c r="J50" s="3" t="str">
        <f t="shared" si="1"/>
        <v>RACKPDU-RACK-R3-Z3W-R1-01-A</v>
      </c>
      <c r="K50" s="3" t="str">
        <f t="shared" si="2"/>
        <v>RACKPDU-RACK-R3-Z3W-R1-01-B</v>
      </c>
      <c r="L50" s="3">
        <v>30</v>
      </c>
      <c r="M50" s="3">
        <f>VLOOKUP($H50,'Cooling-Rack'!$A$2:$G$265,5,FALSE)</f>
        <v>22.5</v>
      </c>
      <c r="N50" s="3">
        <f>VLOOKUP($H50,'Cooling-Rack'!$A$2:$G$265,7,FALSE)</f>
        <v>7.5</v>
      </c>
      <c r="O50" s="3">
        <v>36</v>
      </c>
      <c r="P50" s="102">
        <v>0.75</v>
      </c>
      <c r="Q50" s="102">
        <v>0.25</v>
      </c>
      <c r="R50" s="3" t="s">
        <v>27</v>
      </c>
      <c r="S50" s="8" t="s">
        <v>28</v>
      </c>
      <c r="T50" s="3" t="s">
        <v>70</v>
      </c>
      <c r="U50" s="3" t="s">
        <v>72</v>
      </c>
      <c r="V50" s="3" t="s">
        <v>293</v>
      </c>
      <c r="W50" s="3" t="s">
        <v>294</v>
      </c>
      <c r="X50" s="3" t="s">
        <v>80</v>
      </c>
      <c r="Y50" s="3" t="s">
        <v>76</v>
      </c>
      <c r="Z50" s="3" t="s">
        <v>77</v>
      </c>
      <c r="AA50" s="3" t="s">
        <v>74</v>
      </c>
      <c r="AB50" s="3" t="s">
        <v>75</v>
      </c>
      <c r="AC50" s="3" t="s">
        <v>78</v>
      </c>
      <c r="AD50" s="3" t="s">
        <v>79</v>
      </c>
      <c r="AE50" s="3" t="s">
        <v>385</v>
      </c>
      <c r="AF50" s="3" t="s">
        <v>384</v>
      </c>
      <c r="AG50" s="3" t="s">
        <v>392</v>
      </c>
      <c r="AH50" s="3" t="s">
        <v>395</v>
      </c>
      <c r="AL50" s="3">
        <v>30</v>
      </c>
      <c r="AM50" s="3">
        <f t="shared" si="3"/>
        <v>22.5</v>
      </c>
      <c r="AN50" s="3">
        <f t="shared" si="4"/>
        <v>7.5</v>
      </c>
      <c r="AO50" s="3">
        <v>30</v>
      </c>
      <c r="AP50" s="3">
        <f t="shared" si="5"/>
        <v>22.5</v>
      </c>
      <c r="AQ50" s="3">
        <f t="shared" si="6"/>
        <v>7.5</v>
      </c>
      <c r="BA50" s="3">
        <f t="shared" si="7"/>
        <v>30</v>
      </c>
      <c r="BB50" s="3">
        <f t="shared" si="8"/>
        <v>0</v>
      </c>
      <c r="BC50" s="3">
        <f t="shared" si="9"/>
        <v>0</v>
      </c>
      <c r="BD50" s="3">
        <f t="shared" si="10"/>
        <v>30</v>
      </c>
      <c r="BE50" s="3">
        <f t="shared" si="11"/>
        <v>30</v>
      </c>
      <c r="BF50" s="3">
        <f t="shared" si="12"/>
        <v>30</v>
      </c>
      <c r="BG50" s="102">
        <f t="shared" si="13"/>
        <v>1</v>
      </c>
      <c r="BH50" s="102">
        <f t="shared" si="14"/>
        <v>0</v>
      </c>
      <c r="BI50" s="102">
        <f t="shared" si="15"/>
        <v>0</v>
      </c>
      <c r="BJ50" s="102">
        <f t="shared" si="16"/>
        <v>1</v>
      </c>
      <c r="BK50" s="102">
        <f t="shared" si="17"/>
        <v>1</v>
      </c>
      <c r="BL50" s="102">
        <f t="shared" si="18"/>
        <v>1</v>
      </c>
      <c r="BM50" s="102"/>
      <c r="BO50" s="3" t="s">
        <v>899</v>
      </c>
      <c r="BP50" s="123">
        <f t="shared" si="19"/>
        <v>25</v>
      </c>
      <c r="BQ50" s="3">
        <f t="shared" si="20"/>
        <v>0</v>
      </c>
      <c r="BR50" s="3">
        <f t="shared" si="21"/>
        <v>1</v>
      </c>
      <c r="BS50" s="3">
        <f t="shared" si="22"/>
        <v>1</v>
      </c>
      <c r="BT50" s="3">
        <f t="shared" si="23"/>
        <v>0</v>
      </c>
      <c r="BU50" s="3">
        <f t="shared" si="24"/>
        <v>0</v>
      </c>
      <c r="BV50" s="3">
        <f t="shared" si="25"/>
        <v>0</v>
      </c>
    </row>
    <row r="51" spans="1:74" s="3" customFormat="1" x14ac:dyDescent="0.2">
      <c r="A51" s="3" t="s">
        <v>137</v>
      </c>
      <c r="B51" s="3" t="s">
        <v>138</v>
      </c>
      <c r="C51" s="3">
        <v>30</v>
      </c>
      <c r="F51" s="3" t="s">
        <v>246</v>
      </c>
      <c r="G51" s="3" t="s">
        <v>249</v>
      </c>
      <c r="H51" s="3" t="s">
        <v>140</v>
      </c>
      <c r="I51" s="3" t="s">
        <v>14</v>
      </c>
      <c r="J51" s="3" t="str">
        <f t="shared" si="1"/>
        <v>RACKPDU-RACK-R3-Z3W-R1-02-A</v>
      </c>
      <c r="K51" s="3" t="str">
        <f t="shared" si="2"/>
        <v>RACKPDU-RACK-R3-Z3W-R1-02-B</v>
      </c>
      <c r="L51" s="3">
        <v>30</v>
      </c>
      <c r="M51" s="3">
        <f>VLOOKUP($H51,'Cooling-Rack'!$A$2:$G$265,5,FALSE)</f>
        <v>22.5</v>
      </c>
      <c r="N51" s="3">
        <f>VLOOKUP($H51,'Cooling-Rack'!$A$2:$G$265,7,FALSE)</f>
        <v>7.5</v>
      </c>
      <c r="O51" s="3">
        <v>36</v>
      </c>
      <c r="P51" s="102">
        <v>0.75</v>
      </c>
      <c r="Q51" s="102">
        <v>0.25</v>
      </c>
      <c r="R51" s="3" t="s">
        <v>27</v>
      </c>
      <c r="S51" s="8" t="s">
        <v>28</v>
      </c>
      <c r="T51" s="3" t="s">
        <v>70</v>
      </c>
      <c r="U51" s="3" t="s">
        <v>72</v>
      </c>
      <c r="V51" s="3" t="s">
        <v>293</v>
      </c>
      <c r="W51" s="3" t="s">
        <v>294</v>
      </c>
      <c r="X51" s="3" t="s">
        <v>80</v>
      </c>
      <c r="Y51" s="3" t="s">
        <v>76</v>
      </c>
      <c r="Z51" s="3" t="s">
        <v>77</v>
      </c>
      <c r="AA51" s="3" t="s">
        <v>74</v>
      </c>
      <c r="AB51" s="3" t="s">
        <v>75</v>
      </c>
      <c r="AC51" s="3" t="s">
        <v>78</v>
      </c>
      <c r="AD51" s="3" t="s">
        <v>79</v>
      </c>
      <c r="AE51" s="3" t="s">
        <v>385</v>
      </c>
      <c r="AF51" s="3" t="s">
        <v>384</v>
      </c>
      <c r="AG51" s="3" t="s">
        <v>392</v>
      </c>
      <c r="AH51" s="3" t="s">
        <v>395</v>
      </c>
      <c r="AL51" s="3">
        <v>30</v>
      </c>
      <c r="AM51" s="3">
        <f t="shared" si="3"/>
        <v>22.5</v>
      </c>
      <c r="AN51" s="3">
        <f t="shared" si="4"/>
        <v>7.5</v>
      </c>
      <c r="AO51" s="3">
        <v>30</v>
      </c>
      <c r="AP51" s="3">
        <f t="shared" si="5"/>
        <v>22.5</v>
      </c>
      <c r="AQ51" s="3">
        <f t="shared" si="6"/>
        <v>7.5</v>
      </c>
      <c r="BA51" s="3">
        <f t="shared" si="7"/>
        <v>30</v>
      </c>
      <c r="BB51" s="3">
        <f t="shared" si="8"/>
        <v>0</v>
      </c>
      <c r="BC51" s="3">
        <f t="shared" si="9"/>
        <v>0</v>
      </c>
      <c r="BD51" s="3">
        <f t="shared" si="10"/>
        <v>30</v>
      </c>
      <c r="BE51" s="3">
        <f t="shared" si="11"/>
        <v>30</v>
      </c>
      <c r="BF51" s="3">
        <f t="shared" si="12"/>
        <v>30</v>
      </c>
      <c r="BG51" s="102">
        <f t="shared" si="13"/>
        <v>1</v>
      </c>
      <c r="BH51" s="102">
        <f t="shared" si="14"/>
        <v>0</v>
      </c>
      <c r="BI51" s="102">
        <f t="shared" si="15"/>
        <v>0</v>
      </c>
      <c r="BJ51" s="102">
        <f t="shared" si="16"/>
        <v>1</v>
      </c>
      <c r="BK51" s="102">
        <f t="shared" si="17"/>
        <v>1</v>
      </c>
      <c r="BL51" s="102">
        <f t="shared" si="18"/>
        <v>1</v>
      </c>
      <c r="BM51" s="102"/>
      <c r="BO51" s="3" t="s">
        <v>900</v>
      </c>
      <c r="BP51" s="123">
        <f t="shared" si="19"/>
        <v>25</v>
      </c>
      <c r="BQ51" s="3">
        <f t="shared" si="20"/>
        <v>0</v>
      </c>
      <c r="BR51" s="3">
        <f t="shared" si="21"/>
        <v>1</v>
      </c>
      <c r="BS51" s="3">
        <f t="shared" si="22"/>
        <v>1</v>
      </c>
      <c r="BT51" s="3">
        <f t="shared" si="23"/>
        <v>0</v>
      </c>
      <c r="BU51" s="3">
        <f t="shared" si="24"/>
        <v>0</v>
      </c>
      <c r="BV51" s="3">
        <f t="shared" si="25"/>
        <v>0</v>
      </c>
    </row>
    <row r="52" spans="1:74" s="3" customFormat="1" x14ac:dyDescent="0.2">
      <c r="A52" s="3" t="s">
        <v>137</v>
      </c>
      <c r="B52" s="3" t="s">
        <v>138</v>
      </c>
      <c r="C52" s="3">
        <v>30</v>
      </c>
      <c r="F52" s="3" t="s">
        <v>246</v>
      </c>
      <c r="G52" s="3" t="s">
        <v>249</v>
      </c>
      <c r="H52" s="3" t="s">
        <v>141</v>
      </c>
      <c r="I52" s="3" t="s">
        <v>14</v>
      </c>
      <c r="J52" s="3" t="str">
        <f t="shared" si="1"/>
        <v>RACKPDU-RACK-R3-Z3W-R1-03-A</v>
      </c>
      <c r="K52" s="3" t="str">
        <f t="shared" si="2"/>
        <v>RACKPDU-RACK-R3-Z3W-R1-03-B</v>
      </c>
      <c r="L52" s="3">
        <v>30</v>
      </c>
      <c r="M52" s="3">
        <f>VLOOKUP($H52,'Cooling-Rack'!$A$2:$G$265,5,FALSE)</f>
        <v>22.5</v>
      </c>
      <c r="N52" s="3">
        <f>VLOOKUP($H52,'Cooling-Rack'!$A$2:$G$265,7,FALSE)</f>
        <v>7.5</v>
      </c>
      <c r="O52" s="3">
        <v>36</v>
      </c>
      <c r="P52" s="102">
        <v>0.75</v>
      </c>
      <c r="Q52" s="102">
        <v>0.25</v>
      </c>
      <c r="R52" s="3" t="s">
        <v>27</v>
      </c>
      <c r="S52" s="8" t="s">
        <v>28</v>
      </c>
      <c r="T52" s="3" t="s">
        <v>70</v>
      </c>
      <c r="U52" s="3" t="s">
        <v>72</v>
      </c>
      <c r="V52" s="3" t="s">
        <v>293</v>
      </c>
      <c r="W52" s="3" t="s">
        <v>294</v>
      </c>
      <c r="X52" s="3" t="s">
        <v>80</v>
      </c>
      <c r="Y52" s="3" t="s">
        <v>76</v>
      </c>
      <c r="Z52" s="3" t="s">
        <v>77</v>
      </c>
      <c r="AA52" s="3" t="s">
        <v>74</v>
      </c>
      <c r="AB52" s="3" t="s">
        <v>75</v>
      </c>
      <c r="AC52" s="3" t="s">
        <v>78</v>
      </c>
      <c r="AD52" s="3" t="s">
        <v>79</v>
      </c>
      <c r="AE52" s="3" t="s">
        <v>385</v>
      </c>
      <c r="AF52" s="3" t="s">
        <v>384</v>
      </c>
      <c r="AG52" s="3" t="s">
        <v>392</v>
      </c>
      <c r="AH52" s="3" t="s">
        <v>395</v>
      </c>
      <c r="AL52" s="3">
        <v>30</v>
      </c>
      <c r="AM52" s="3">
        <f t="shared" si="3"/>
        <v>22.5</v>
      </c>
      <c r="AN52" s="3">
        <f t="shared" si="4"/>
        <v>7.5</v>
      </c>
      <c r="AO52" s="3">
        <v>30</v>
      </c>
      <c r="AP52" s="3">
        <f t="shared" si="5"/>
        <v>22.5</v>
      </c>
      <c r="AQ52" s="3">
        <f t="shared" si="6"/>
        <v>7.5</v>
      </c>
      <c r="BA52" s="3">
        <f t="shared" si="7"/>
        <v>30</v>
      </c>
      <c r="BB52" s="3">
        <f t="shared" si="8"/>
        <v>0</v>
      </c>
      <c r="BC52" s="3">
        <f t="shared" si="9"/>
        <v>0</v>
      </c>
      <c r="BD52" s="3">
        <f t="shared" si="10"/>
        <v>30</v>
      </c>
      <c r="BE52" s="3">
        <f t="shared" si="11"/>
        <v>30</v>
      </c>
      <c r="BF52" s="3">
        <f t="shared" si="12"/>
        <v>30</v>
      </c>
      <c r="BG52" s="102">
        <f t="shared" si="13"/>
        <v>1</v>
      </c>
      <c r="BH52" s="102">
        <f t="shared" si="14"/>
        <v>0</v>
      </c>
      <c r="BI52" s="102">
        <f t="shared" si="15"/>
        <v>0</v>
      </c>
      <c r="BJ52" s="102">
        <f t="shared" si="16"/>
        <v>1</v>
      </c>
      <c r="BK52" s="102">
        <f t="shared" si="17"/>
        <v>1</v>
      </c>
      <c r="BL52" s="102">
        <f t="shared" si="18"/>
        <v>1</v>
      </c>
      <c r="BM52" s="102"/>
      <c r="BO52" s="3" t="s">
        <v>901</v>
      </c>
      <c r="BP52" s="123">
        <f t="shared" si="19"/>
        <v>25</v>
      </c>
      <c r="BQ52" s="3">
        <f t="shared" si="20"/>
        <v>0</v>
      </c>
      <c r="BR52" s="3">
        <f t="shared" si="21"/>
        <v>1</v>
      </c>
      <c r="BS52" s="3">
        <f t="shared" si="22"/>
        <v>1</v>
      </c>
      <c r="BT52" s="3">
        <f t="shared" si="23"/>
        <v>0</v>
      </c>
      <c r="BU52" s="3">
        <f t="shared" si="24"/>
        <v>0</v>
      </c>
      <c r="BV52" s="3">
        <f t="shared" si="25"/>
        <v>0</v>
      </c>
    </row>
    <row r="53" spans="1:74" s="3" customFormat="1" x14ac:dyDescent="0.2">
      <c r="A53" s="3" t="s">
        <v>137</v>
      </c>
      <c r="B53" s="3" t="s">
        <v>138</v>
      </c>
      <c r="C53" s="3">
        <v>30</v>
      </c>
      <c r="F53" s="3" t="s">
        <v>246</v>
      </c>
      <c r="G53" s="3" t="s">
        <v>249</v>
      </c>
      <c r="H53" s="3" t="s">
        <v>142</v>
      </c>
      <c r="I53" s="3" t="s">
        <v>14</v>
      </c>
      <c r="J53" s="3" t="str">
        <f t="shared" si="1"/>
        <v>RACKPDU-RACK-R3-Z3W-R1-04-A</v>
      </c>
      <c r="K53" s="3" t="str">
        <f t="shared" si="2"/>
        <v>RACKPDU-RACK-R3-Z3W-R1-04-B</v>
      </c>
      <c r="L53" s="3">
        <v>30</v>
      </c>
      <c r="M53" s="3">
        <f>VLOOKUP($H53,'Cooling-Rack'!$A$2:$G$265,5,FALSE)</f>
        <v>22.5</v>
      </c>
      <c r="N53" s="3">
        <f>VLOOKUP($H53,'Cooling-Rack'!$A$2:$G$265,7,FALSE)</f>
        <v>7.5</v>
      </c>
      <c r="O53" s="3">
        <v>36</v>
      </c>
      <c r="P53" s="102">
        <v>0.75</v>
      </c>
      <c r="Q53" s="102">
        <v>0.25</v>
      </c>
      <c r="R53" s="3" t="s">
        <v>27</v>
      </c>
      <c r="S53" s="8" t="s">
        <v>28</v>
      </c>
      <c r="T53" s="3" t="s">
        <v>70</v>
      </c>
      <c r="U53" s="3" t="s">
        <v>72</v>
      </c>
      <c r="V53" s="3" t="s">
        <v>293</v>
      </c>
      <c r="W53" s="3" t="s">
        <v>294</v>
      </c>
      <c r="X53" s="3" t="s">
        <v>80</v>
      </c>
      <c r="Y53" s="3" t="s">
        <v>76</v>
      </c>
      <c r="Z53" s="3" t="s">
        <v>77</v>
      </c>
      <c r="AA53" s="3" t="s">
        <v>74</v>
      </c>
      <c r="AB53" s="3" t="s">
        <v>75</v>
      </c>
      <c r="AC53" s="3" t="s">
        <v>78</v>
      </c>
      <c r="AD53" s="3" t="s">
        <v>79</v>
      </c>
      <c r="AE53" s="3" t="s">
        <v>385</v>
      </c>
      <c r="AF53" s="3" t="s">
        <v>384</v>
      </c>
      <c r="AG53" s="3" t="s">
        <v>392</v>
      </c>
      <c r="AH53" s="3" t="s">
        <v>395</v>
      </c>
      <c r="AL53" s="3">
        <v>30</v>
      </c>
      <c r="AM53" s="3">
        <f t="shared" si="3"/>
        <v>22.5</v>
      </c>
      <c r="AN53" s="3">
        <f t="shared" si="4"/>
        <v>7.5</v>
      </c>
      <c r="AO53" s="3">
        <v>30</v>
      </c>
      <c r="AP53" s="3">
        <f t="shared" si="5"/>
        <v>22.5</v>
      </c>
      <c r="AQ53" s="3">
        <f t="shared" si="6"/>
        <v>7.5</v>
      </c>
      <c r="BA53" s="3">
        <f t="shared" si="7"/>
        <v>30</v>
      </c>
      <c r="BB53" s="3">
        <f t="shared" si="8"/>
        <v>0</v>
      </c>
      <c r="BC53" s="3">
        <f t="shared" si="9"/>
        <v>0</v>
      </c>
      <c r="BD53" s="3">
        <f t="shared" si="10"/>
        <v>30</v>
      </c>
      <c r="BE53" s="3">
        <f t="shared" si="11"/>
        <v>30</v>
      </c>
      <c r="BF53" s="3">
        <f t="shared" si="12"/>
        <v>30</v>
      </c>
      <c r="BG53" s="102">
        <f t="shared" si="13"/>
        <v>1</v>
      </c>
      <c r="BH53" s="102">
        <f t="shared" si="14"/>
        <v>0</v>
      </c>
      <c r="BI53" s="102">
        <f t="shared" si="15"/>
        <v>0</v>
      </c>
      <c r="BJ53" s="102">
        <f t="shared" si="16"/>
        <v>1</v>
      </c>
      <c r="BK53" s="102">
        <f t="shared" si="17"/>
        <v>1</v>
      </c>
      <c r="BL53" s="102">
        <f t="shared" si="18"/>
        <v>1</v>
      </c>
      <c r="BM53" s="102"/>
      <c r="BO53" s="3" t="s">
        <v>902</v>
      </c>
      <c r="BP53" s="123">
        <f t="shared" si="19"/>
        <v>25</v>
      </c>
      <c r="BQ53" s="3">
        <f t="shared" si="20"/>
        <v>0</v>
      </c>
      <c r="BR53" s="3">
        <f t="shared" si="21"/>
        <v>1</v>
      </c>
      <c r="BS53" s="3">
        <f t="shared" si="22"/>
        <v>1</v>
      </c>
      <c r="BT53" s="3">
        <f t="shared" si="23"/>
        <v>0</v>
      </c>
      <c r="BU53" s="3">
        <f t="shared" si="24"/>
        <v>0</v>
      </c>
      <c r="BV53" s="3">
        <f t="shared" si="25"/>
        <v>0</v>
      </c>
    </row>
    <row r="54" spans="1:74" s="3" customFormat="1" x14ac:dyDescent="0.2">
      <c r="A54" s="3" t="s">
        <v>137</v>
      </c>
      <c r="B54" s="3" t="s">
        <v>138</v>
      </c>
      <c r="C54" s="3">
        <v>30</v>
      </c>
      <c r="F54" s="3" t="s">
        <v>246</v>
      </c>
      <c r="G54" s="3" t="s">
        <v>249</v>
      </c>
      <c r="H54" s="3" t="s">
        <v>143</v>
      </c>
      <c r="I54" s="3" t="s">
        <v>14</v>
      </c>
      <c r="J54" s="3" t="str">
        <f t="shared" si="1"/>
        <v>RACKPDU-RACK-R3-Z3W-R1-05-A</v>
      </c>
      <c r="K54" s="3" t="str">
        <f t="shared" si="2"/>
        <v>RACKPDU-RACK-R3-Z3W-R1-05-B</v>
      </c>
      <c r="L54" s="3">
        <v>30</v>
      </c>
      <c r="M54" s="3">
        <f>VLOOKUP($H54,'Cooling-Rack'!$A$2:$G$265,5,FALSE)</f>
        <v>22.5</v>
      </c>
      <c r="N54" s="3">
        <f>VLOOKUP($H54,'Cooling-Rack'!$A$2:$G$265,7,FALSE)</f>
        <v>7.5</v>
      </c>
      <c r="O54" s="3">
        <v>36</v>
      </c>
      <c r="P54" s="102">
        <v>0.75</v>
      </c>
      <c r="Q54" s="102">
        <v>0.25</v>
      </c>
      <c r="R54" s="8" t="s">
        <v>30</v>
      </c>
      <c r="S54" s="8" t="s">
        <v>28</v>
      </c>
      <c r="T54" s="3" t="s">
        <v>70</v>
      </c>
      <c r="U54" s="3" t="s">
        <v>72</v>
      </c>
      <c r="V54" s="3" t="s">
        <v>293</v>
      </c>
      <c r="W54" s="3" t="s">
        <v>294</v>
      </c>
      <c r="X54" s="3" t="s">
        <v>80</v>
      </c>
      <c r="Y54" s="3" t="s">
        <v>76</v>
      </c>
      <c r="Z54" s="3" t="s">
        <v>77</v>
      </c>
      <c r="AA54" s="3" t="s">
        <v>74</v>
      </c>
      <c r="AB54" s="3" t="s">
        <v>75</v>
      </c>
      <c r="AC54" s="3" t="s">
        <v>78</v>
      </c>
      <c r="AD54" s="3" t="s">
        <v>79</v>
      </c>
      <c r="AE54" s="3" t="s">
        <v>385</v>
      </c>
      <c r="AF54" s="3" t="s">
        <v>384</v>
      </c>
      <c r="AG54" s="3" t="s">
        <v>392</v>
      </c>
      <c r="AH54" s="3" t="s">
        <v>395</v>
      </c>
      <c r="AL54" s="3">
        <v>30</v>
      </c>
      <c r="AM54" s="3">
        <f t="shared" si="3"/>
        <v>22.5</v>
      </c>
      <c r="AN54" s="3">
        <f t="shared" si="4"/>
        <v>7.5</v>
      </c>
      <c r="AO54" s="3">
        <v>30</v>
      </c>
      <c r="AP54" s="3">
        <f t="shared" si="5"/>
        <v>22.5</v>
      </c>
      <c r="AQ54" s="3">
        <f t="shared" si="6"/>
        <v>7.5</v>
      </c>
      <c r="BA54" s="3">
        <f t="shared" si="7"/>
        <v>30</v>
      </c>
      <c r="BB54" s="3">
        <f t="shared" si="8"/>
        <v>0</v>
      </c>
      <c r="BC54" s="3">
        <f t="shared" si="9"/>
        <v>0</v>
      </c>
      <c r="BD54" s="3">
        <f t="shared" si="10"/>
        <v>30</v>
      </c>
      <c r="BE54" s="3">
        <f t="shared" si="11"/>
        <v>30</v>
      </c>
      <c r="BF54" s="3">
        <f t="shared" si="12"/>
        <v>30</v>
      </c>
      <c r="BG54" s="102">
        <f t="shared" si="13"/>
        <v>1</v>
      </c>
      <c r="BH54" s="102">
        <f t="shared" si="14"/>
        <v>0</v>
      </c>
      <c r="BI54" s="102">
        <f t="shared" si="15"/>
        <v>0</v>
      </c>
      <c r="BJ54" s="102">
        <f t="shared" si="16"/>
        <v>1</v>
      </c>
      <c r="BK54" s="102">
        <f t="shared" si="17"/>
        <v>1</v>
      </c>
      <c r="BL54" s="102">
        <f t="shared" si="18"/>
        <v>1</v>
      </c>
      <c r="BM54" s="102"/>
      <c r="BO54" s="3" t="s">
        <v>903</v>
      </c>
      <c r="BP54" s="123">
        <f t="shared" si="19"/>
        <v>25</v>
      </c>
      <c r="BQ54" s="3">
        <f t="shared" si="20"/>
        <v>0</v>
      </c>
      <c r="BR54" s="3">
        <f t="shared" si="21"/>
        <v>1</v>
      </c>
      <c r="BS54" s="3">
        <f t="shared" si="22"/>
        <v>1</v>
      </c>
      <c r="BT54" s="3">
        <f t="shared" si="23"/>
        <v>0</v>
      </c>
      <c r="BU54" s="3">
        <f t="shared" si="24"/>
        <v>0</v>
      </c>
      <c r="BV54" s="3">
        <f t="shared" si="25"/>
        <v>0</v>
      </c>
    </row>
    <row r="55" spans="1:74" s="3" customFormat="1" x14ac:dyDescent="0.2">
      <c r="A55" s="3" t="s">
        <v>137</v>
      </c>
      <c r="B55" s="3" t="s">
        <v>138</v>
      </c>
      <c r="C55" s="3">
        <v>30</v>
      </c>
      <c r="F55" s="3" t="s">
        <v>246</v>
      </c>
      <c r="G55" s="3" t="s">
        <v>249</v>
      </c>
      <c r="H55" s="3" t="s">
        <v>144</v>
      </c>
      <c r="I55" s="3" t="s">
        <v>14</v>
      </c>
      <c r="J55" s="3" t="str">
        <f t="shared" si="1"/>
        <v>RACKPDU-RACK-R3-Z3W-R1-06-A</v>
      </c>
      <c r="K55" s="3" t="str">
        <f t="shared" si="2"/>
        <v>RACKPDU-RACK-R3-Z3W-R1-06-B</v>
      </c>
      <c r="L55" s="3">
        <v>30</v>
      </c>
      <c r="M55" s="3">
        <f>VLOOKUP($H55,'Cooling-Rack'!$A$2:$G$265,5,FALSE)</f>
        <v>22.5</v>
      </c>
      <c r="N55" s="3">
        <f>VLOOKUP($H55,'Cooling-Rack'!$A$2:$G$265,7,FALSE)</f>
        <v>7.5</v>
      </c>
      <c r="O55" s="3">
        <v>36</v>
      </c>
      <c r="P55" s="102">
        <v>0.75</v>
      </c>
      <c r="Q55" s="102">
        <v>0.25</v>
      </c>
      <c r="R55" s="8" t="s">
        <v>30</v>
      </c>
      <c r="S55" s="8" t="s">
        <v>28</v>
      </c>
      <c r="T55" s="3" t="s">
        <v>70</v>
      </c>
      <c r="U55" s="3" t="s">
        <v>72</v>
      </c>
      <c r="V55" s="3" t="s">
        <v>293</v>
      </c>
      <c r="W55" s="3" t="s">
        <v>294</v>
      </c>
      <c r="X55" s="3" t="s">
        <v>80</v>
      </c>
      <c r="Y55" s="3" t="s">
        <v>76</v>
      </c>
      <c r="Z55" s="3" t="s">
        <v>77</v>
      </c>
      <c r="AA55" s="3" t="s">
        <v>74</v>
      </c>
      <c r="AB55" s="3" t="s">
        <v>75</v>
      </c>
      <c r="AC55" s="3" t="s">
        <v>78</v>
      </c>
      <c r="AD55" s="3" t="s">
        <v>79</v>
      </c>
      <c r="AE55" s="3" t="s">
        <v>385</v>
      </c>
      <c r="AF55" s="3" t="s">
        <v>384</v>
      </c>
      <c r="AG55" s="3" t="s">
        <v>392</v>
      </c>
      <c r="AH55" s="3" t="s">
        <v>395</v>
      </c>
      <c r="AL55" s="3">
        <v>30</v>
      </c>
      <c r="AM55" s="3">
        <f t="shared" si="3"/>
        <v>22.5</v>
      </c>
      <c r="AN55" s="3">
        <f t="shared" si="4"/>
        <v>7.5</v>
      </c>
      <c r="AO55" s="3">
        <v>30</v>
      </c>
      <c r="AP55" s="3">
        <f t="shared" si="5"/>
        <v>22.5</v>
      </c>
      <c r="AQ55" s="3">
        <f t="shared" si="6"/>
        <v>7.5</v>
      </c>
      <c r="BA55" s="3">
        <f t="shared" si="7"/>
        <v>30</v>
      </c>
      <c r="BB55" s="3">
        <f t="shared" si="8"/>
        <v>0</v>
      </c>
      <c r="BC55" s="3">
        <f t="shared" si="9"/>
        <v>0</v>
      </c>
      <c r="BD55" s="3">
        <f t="shared" si="10"/>
        <v>30</v>
      </c>
      <c r="BE55" s="3">
        <f t="shared" si="11"/>
        <v>30</v>
      </c>
      <c r="BF55" s="3">
        <f t="shared" si="12"/>
        <v>30</v>
      </c>
      <c r="BG55" s="102">
        <f t="shared" si="13"/>
        <v>1</v>
      </c>
      <c r="BH55" s="102">
        <f t="shared" si="14"/>
        <v>0</v>
      </c>
      <c r="BI55" s="102">
        <f t="shared" si="15"/>
        <v>0</v>
      </c>
      <c r="BJ55" s="102">
        <f t="shared" si="16"/>
        <v>1</v>
      </c>
      <c r="BK55" s="102">
        <f t="shared" si="17"/>
        <v>1</v>
      </c>
      <c r="BL55" s="102">
        <f t="shared" si="18"/>
        <v>1</v>
      </c>
      <c r="BM55" s="102"/>
      <c r="BO55" s="3" t="s">
        <v>904</v>
      </c>
      <c r="BP55" s="123">
        <f t="shared" si="19"/>
        <v>25</v>
      </c>
      <c r="BQ55" s="3">
        <f t="shared" si="20"/>
        <v>0</v>
      </c>
      <c r="BR55" s="3">
        <f t="shared" si="21"/>
        <v>1</v>
      </c>
      <c r="BS55" s="3">
        <f t="shared" si="22"/>
        <v>1</v>
      </c>
      <c r="BT55" s="3">
        <f t="shared" si="23"/>
        <v>0</v>
      </c>
      <c r="BU55" s="3">
        <f t="shared" si="24"/>
        <v>0</v>
      </c>
      <c r="BV55" s="3">
        <f t="shared" si="25"/>
        <v>0</v>
      </c>
    </row>
    <row r="56" spans="1:74" s="3" customFormat="1" x14ac:dyDescent="0.2">
      <c r="A56" s="3" t="s">
        <v>137</v>
      </c>
      <c r="B56" s="3" t="s">
        <v>138</v>
      </c>
      <c r="C56" s="3">
        <v>30</v>
      </c>
      <c r="F56" s="3" t="s">
        <v>246</v>
      </c>
      <c r="G56" s="3" t="s">
        <v>249</v>
      </c>
      <c r="H56" s="3" t="s">
        <v>145</v>
      </c>
      <c r="I56" s="3" t="s">
        <v>14</v>
      </c>
      <c r="J56" s="3" t="str">
        <f t="shared" si="1"/>
        <v>RACKPDU-RACK-R3-Z3W-R1-07-A</v>
      </c>
      <c r="K56" s="3" t="str">
        <f t="shared" si="2"/>
        <v>RACKPDU-RACK-R3-Z3W-R1-07-B</v>
      </c>
      <c r="L56" s="3">
        <v>30</v>
      </c>
      <c r="M56" s="3">
        <f>VLOOKUP($H56,'Cooling-Rack'!$A$2:$G$265,5,FALSE)</f>
        <v>22.5</v>
      </c>
      <c r="N56" s="3">
        <f>VLOOKUP($H56,'Cooling-Rack'!$A$2:$G$265,7,FALSE)</f>
        <v>7.5</v>
      </c>
      <c r="O56" s="3">
        <v>36</v>
      </c>
      <c r="P56" s="102">
        <v>0.75</v>
      </c>
      <c r="Q56" s="102">
        <v>0.25</v>
      </c>
      <c r="R56" s="8" t="s">
        <v>30</v>
      </c>
      <c r="S56" s="10" t="s">
        <v>31</v>
      </c>
      <c r="T56" s="3" t="s">
        <v>70</v>
      </c>
      <c r="U56" s="24" t="s">
        <v>71</v>
      </c>
      <c r="V56" s="3" t="s">
        <v>293</v>
      </c>
      <c r="W56" s="24" t="s">
        <v>294</v>
      </c>
      <c r="X56" s="3" t="s">
        <v>80</v>
      </c>
      <c r="Y56" s="3" t="s">
        <v>76</v>
      </c>
      <c r="Z56" s="3" t="s">
        <v>77</v>
      </c>
      <c r="AA56" s="3" t="s">
        <v>74</v>
      </c>
      <c r="AB56" s="3" t="s">
        <v>75</v>
      </c>
      <c r="AC56" s="3" t="s">
        <v>78</v>
      </c>
      <c r="AD56" s="3" t="s">
        <v>79</v>
      </c>
      <c r="AE56" s="3" t="s">
        <v>385</v>
      </c>
      <c r="AF56" s="3" t="s">
        <v>384</v>
      </c>
      <c r="AG56" s="3" t="s">
        <v>392</v>
      </c>
      <c r="AH56" s="3" t="s">
        <v>395</v>
      </c>
      <c r="AL56" s="3">
        <v>30</v>
      </c>
      <c r="AM56" s="3">
        <f t="shared" si="3"/>
        <v>22.5</v>
      </c>
      <c r="AN56" s="3">
        <f t="shared" si="4"/>
        <v>7.5</v>
      </c>
      <c r="AO56" s="3">
        <v>30</v>
      </c>
      <c r="AP56" s="3">
        <f t="shared" si="5"/>
        <v>22.5</v>
      </c>
      <c r="AQ56" s="3">
        <f t="shared" si="6"/>
        <v>7.5</v>
      </c>
      <c r="BA56" s="3">
        <f t="shared" si="7"/>
        <v>30</v>
      </c>
      <c r="BB56" s="3">
        <f t="shared" si="8"/>
        <v>0</v>
      </c>
      <c r="BC56" s="3">
        <f t="shared" si="9"/>
        <v>0</v>
      </c>
      <c r="BD56" s="3">
        <f t="shared" si="10"/>
        <v>30</v>
      </c>
      <c r="BE56" s="3">
        <f t="shared" si="11"/>
        <v>30</v>
      </c>
      <c r="BF56" s="3">
        <f t="shared" si="12"/>
        <v>30</v>
      </c>
      <c r="BG56" s="102">
        <f t="shared" si="13"/>
        <v>1</v>
      </c>
      <c r="BH56" s="102">
        <f t="shared" si="14"/>
        <v>0</v>
      </c>
      <c r="BI56" s="102">
        <f t="shared" si="15"/>
        <v>0</v>
      </c>
      <c r="BJ56" s="102">
        <f t="shared" si="16"/>
        <v>1</v>
      </c>
      <c r="BK56" s="102">
        <f t="shared" si="17"/>
        <v>1</v>
      </c>
      <c r="BL56" s="102">
        <f t="shared" si="18"/>
        <v>1</v>
      </c>
      <c r="BM56" s="102"/>
      <c r="BO56" s="3" t="s">
        <v>905</v>
      </c>
      <c r="BP56" s="123">
        <f t="shared" si="19"/>
        <v>25</v>
      </c>
      <c r="BQ56" s="3">
        <f t="shared" si="20"/>
        <v>0</v>
      </c>
      <c r="BR56" s="3">
        <f t="shared" si="21"/>
        <v>1</v>
      </c>
      <c r="BS56" s="3">
        <f t="shared" si="22"/>
        <v>1</v>
      </c>
      <c r="BT56" s="3">
        <f t="shared" si="23"/>
        <v>0</v>
      </c>
      <c r="BU56" s="3">
        <f t="shared" si="24"/>
        <v>0</v>
      </c>
      <c r="BV56" s="3">
        <f t="shared" si="25"/>
        <v>0</v>
      </c>
    </row>
    <row r="57" spans="1:74" s="3" customFormat="1" x14ac:dyDescent="0.2">
      <c r="A57" s="3" t="s">
        <v>137</v>
      </c>
      <c r="B57" s="3" t="s">
        <v>138</v>
      </c>
      <c r="C57" s="3">
        <v>30</v>
      </c>
      <c r="F57" s="3" t="s">
        <v>246</v>
      </c>
      <c r="G57" s="3" t="s">
        <v>249</v>
      </c>
      <c r="H57" s="3" t="s">
        <v>146</v>
      </c>
      <c r="I57" s="3" t="s">
        <v>14</v>
      </c>
      <c r="J57" s="3" t="str">
        <f t="shared" si="1"/>
        <v>RACKPDU-RACK-R3-Z3W-R1-08-A</v>
      </c>
      <c r="K57" s="3" t="str">
        <f t="shared" si="2"/>
        <v>RACKPDU-RACK-R3-Z3W-R1-08-B</v>
      </c>
      <c r="L57" s="3">
        <v>30</v>
      </c>
      <c r="M57" s="3">
        <f>VLOOKUP($H57,'Cooling-Rack'!$A$2:$G$265,5,FALSE)</f>
        <v>22.5</v>
      </c>
      <c r="N57" s="3">
        <f>VLOOKUP($H57,'Cooling-Rack'!$A$2:$G$265,7,FALSE)</f>
        <v>7.5</v>
      </c>
      <c r="O57" s="3">
        <v>36</v>
      </c>
      <c r="P57" s="102">
        <v>0.75</v>
      </c>
      <c r="Q57" s="102">
        <v>0.25</v>
      </c>
      <c r="R57" s="8" t="s">
        <v>30</v>
      </c>
      <c r="S57" s="10" t="s">
        <v>31</v>
      </c>
      <c r="T57" s="3" t="s">
        <v>70</v>
      </c>
      <c r="U57" s="24" t="s">
        <v>71</v>
      </c>
      <c r="V57" s="3" t="s">
        <v>293</v>
      </c>
      <c r="W57" s="24" t="s">
        <v>294</v>
      </c>
      <c r="X57" s="3" t="s">
        <v>80</v>
      </c>
      <c r="Y57" s="3" t="s">
        <v>76</v>
      </c>
      <c r="Z57" s="3" t="s">
        <v>77</v>
      </c>
      <c r="AA57" s="3" t="s">
        <v>74</v>
      </c>
      <c r="AB57" s="3" t="s">
        <v>75</v>
      </c>
      <c r="AC57" s="3" t="s">
        <v>78</v>
      </c>
      <c r="AD57" s="3" t="s">
        <v>79</v>
      </c>
      <c r="AE57" s="3" t="s">
        <v>385</v>
      </c>
      <c r="AF57" s="3" t="s">
        <v>384</v>
      </c>
      <c r="AG57" s="3" t="s">
        <v>392</v>
      </c>
      <c r="AH57" s="3" t="s">
        <v>395</v>
      </c>
      <c r="AL57" s="3">
        <v>30</v>
      </c>
      <c r="AM57" s="3">
        <f t="shared" si="3"/>
        <v>22.5</v>
      </c>
      <c r="AN57" s="3">
        <f t="shared" si="4"/>
        <v>7.5</v>
      </c>
      <c r="AO57" s="3">
        <v>30</v>
      </c>
      <c r="AP57" s="3">
        <f t="shared" si="5"/>
        <v>22.5</v>
      </c>
      <c r="AQ57" s="3">
        <f t="shared" si="6"/>
        <v>7.5</v>
      </c>
      <c r="BA57" s="3">
        <f t="shared" si="7"/>
        <v>30</v>
      </c>
      <c r="BB57" s="3">
        <f t="shared" si="8"/>
        <v>0</v>
      </c>
      <c r="BC57" s="3">
        <f t="shared" si="9"/>
        <v>0</v>
      </c>
      <c r="BD57" s="3">
        <f t="shared" si="10"/>
        <v>30</v>
      </c>
      <c r="BE57" s="3">
        <f t="shared" si="11"/>
        <v>30</v>
      </c>
      <c r="BF57" s="3">
        <f t="shared" si="12"/>
        <v>30</v>
      </c>
      <c r="BG57" s="102">
        <f t="shared" si="13"/>
        <v>1</v>
      </c>
      <c r="BH57" s="102">
        <f t="shared" si="14"/>
        <v>0</v>
      </c>
      <c r="BI57" s="102">
        <f t="shared" si="15"/>
        <v>0</v>
      </c>
      <c r="BJ57" s="102">
        <f t="shared" si="16"/>
        <v>1</v>
      </c>
      <c r="BK57" s="102">
        <f t="shared" si="17"/>
        <v>1</v>
      </c>
      <c r="BL57" s="102">
        <f t="shared" si="18"/>
        <v>1</v>
      </c>
      <c r="BM57" s="102"/>
      <c r="BO57" s="3" t="s">
        <v>906</v>
      </c>
      <c r="BP57" s="123">
        <f t="shared" si="19"/>
        <v>25</v>
      </c>
      <c r="BQ57" s="3">
        <f t="shared" si="20"/>
        <v>0</v>
      </c>
      <c r="BR57" s="3">
        <f t="shared" si="21"/>
        <v>1</v>
      </c>
      <c r="BS57" s="3">
        <f t="shared" si="22"/>
        <v>1</v>
      </c>
      <c r="BT57" s="3">
        <f t="shared" si="23"/>
        <v>0</v>
      </c>
      <c r="BU57" s="3">
        <f t="shared" si="24"/>
        <v>0</v>
      </c>
      <c r="BV57" s="3">
        <f t="shared" si="25"/>
        <v>0</v>
      </c>
    </row>
    <row r="58" spans="1:74" s="3" customFormat="1" x14ac:dyDescent="0.2">
      <c r="A58" s="3" t="s">
        <v>137</v>
      </c>
      <c r="B58" s="3" t="s">
        <v>138</v>
      </c>
      <c r="C58" s="3">
        <v>30</v>
      </c>
      <c r="F58" s="3" t="s">
        <v>246</v>
      </c>
      <c r="G58" s="3" t="s">
        <v>249</v>
      </c>
      <c r="H58" s="3" t="s">
        <v>147</v>
      </c>
      <c r="I58" s="3" t="s">
        <v>14</v>
      </c>
      <c r="J58" s="3" t="str">
        <f t="shared" si="1"/>
        <v>RACKPDU-RACK-R3-Z3W-R1-09-A</v>
      </c>
      <c r="K58" s="3" t="str">
        <f t="shared" si="2"/>
        <v>RACKPDU-RACK-R3-Z3W-R1-09-B</v>
      </c>
      <c r="L58" s="3">
        <v>30</v>
      </c>
      <c r="M58" s="3">
        <f>VLOOKUP($H58,'Cooling-Rack'!$A$2:$G$265,5,FALSE)</f>
        <v>22.5</v>
      </c>
      <c r="N58" s="3">
        <f>VLOOKUP($H58,'Cooling-Rack'!$A$2:$G$265,7,FALSE)</f>
        <v>7.5</v>
      </c>
      <c r="O58" s="3">
        <v>36</v>
      </c>
      <c r="P58" s="102">
        <v>0.75</v>
      </c>
      <c r="Q58" s="102">
        <v>0.25</v>
      </c>
      <c r="R58" s="3" t="s">
        <v>27</v>
      </c>
      <c r="S58" s="10" t="s">
        <v>31</v>
      </c>
      <c r="T58" s="3" t="s">
        <v>70</v>
      </c>
      <c r="U58" s="24" t="s">
        <v>71</v>
      </c>
      <c r="V58" s="3" t="s">
        <v>293</v>
      </c>
      <c r="W58" s="24" t="s">
        <v>294</v>
      </c>
      <c r="X58" s="3" t="s">
        <v>80</v>
      </c>
      <c r="Y58" s="3" t="s">
        <v>76</v>
      </c>
      <c r="Z58" s="3" t="s">
        <v>77</v>
      </c>
      <c r="AA58" s="3" t="s">
        <v>74</v>
      </c>
      <c r="AB58" s="3" t="s">
        <v>75</v>
      </c>
      <c r="AC58" s="3" t="s">
        <v>78</v>
      </c>
      <c r="AD58" s="3" t="s">
        <v>79</v>
      </c>
      <c r="AE58" s="3" t="s">
        <v>385</v>
      </c>
      <c r="AF58" s="3" t="s">
        <v>384</v>
      </c>
      <c r="AG58" s="3" t="s">
        <v>392</v>
      </c>
      <c r="AH58" s="3" t="s">
        <v>395</v>
      </c>
      <c r="AL58" s="3">
        <v>30</v>
      </c>
      <c r="AM58" s="3">
        <f t="shared" si="3"/>
        <v>22.5</v>
      </c>
      <c r="AN58" s="3">
        <f t="shared" si="4"/>
        <v>7.5</v>
      </c>
      <c r="AO58" s="3">
        <v>30</v>
      </c>
      <c r="AP58" s="3">
        <f t="shared" si="5"/>
        <v>22.5</v>
      </c>
      <c r="AQ58" s="3">
        <f t="shared" si="6"/>
        <v>7.5</v>
      </c>
      <c r="BA58" s="3">
        <f t="shared" si="7"/>
        <v>30</v>
      </c>
      <c r="BB58" s="3">
        <f t="shared" si="8"/>
        <v>0</v>
      </c>
      <c r="BC58" s="3">
        <f t="shared" si="9"/>
        <v>0</v>
      </c>
      <c r="BD58" s="3">
        <f t="shared" si="10"/>
        <v>30</v>
      </c>
      <c r="BE58" s="3">
        <f t="shared" si="11"/>
        <v>30</v>
      </c>
      <c r="BF58" s="3">
        <f t="shared" si="12"/>
        <v>30</v>
      </c>
      <c r="BG58" s="102">
        <f t="shared" si="13"/>
        <v>1</v>
      </c>
      <c r="BH58" s="102">
        <f t="shared" si="14"/>
        <v>0</v>
      </c>
      <c r="BI58" s="102">
        <f t="shared" si="15"/>
        <v>0</v>
      </c>
      <c r="BJ58" s="102">
        <f t="shared" si="16"/>
        <v>1</v>
      </c>
      <c r="BK58" s="102">
        <f t="shared" si="17"/>
        <v>1</v>
      </c>
      <c r="BL58" s="102">
        <f t="shared" si="18"/>
        <v>1</v>
      </c>
      <c r="BM58" s="102"/>
      <c r="BO58" s="3" t="s">
        <v>907</v>
      </c>
      <c r="BP58" s="123">
        <f t="shared" si="19"/>
        <v>25</v>
      </c>
      <c r="BQ58" s="3">
        <f t="shared" si="20"/>
        <v>0</v>
      </c>
      <c r="BR58" s="3">
        <f t="shared" si="21"/>
        <v>1</v>
      </c>
      <c r="BS58" s="3">
        <f t="shared" si="22"/>
        <v>1</v>
      </c>
      <c r="BT58" s="3">
        <f t="shared" si="23"/>
        <v>0</v>
      </c>
      <c r="BU58" s="3">
        <f t="shared" si="24"/>
        <v>0</v>
      </c>
      <c r="BV58" s="3">
        <f t="shared" si="25"/>
        <v>0</v>
      </c>
    </row>
    <row r="59" spans="1:74" s="3" customFormat="1" x14ac:dyDescent="0.2">
      <c r="A59" s="3" t="s">
        <v>137</v>
      </c>
      <c r="B59" s="3" t="s">
        <v>138</v>
      </c>
      <c r="C59" s="3">
        <v>30</v>
      </c>
      <c r="F59" s="3" t="s">
        <v>246</v>
      </c>
      <c r="G59" s="3" t="s">
        <v>249</v>
      </c>
      <c r="H59" s="3" t="s">
        <v>148</v>
      </c>
      <c r="I59" s="3" t="s">
        <v>14</v>
      </c>
      <c r="J59" s="3" t="str">
        <f t="shared" si="1"/>
        <v>RACKPDU-RACK-R3-Z3W-R1-10-A</v>
      </c>
      <c r="K59" s="3" t="str">
        <f t="shared" si="2"/>
        <v>RACKPDU-RACK-R3-Z3W-R1-10-B</v>
      </c>
      <c r="L59" s="3">
        <v>30</v>
      </c>
      <c r="M59" s="3">
        <f>VLOOKUP($H59,'Cooling-Rack'!$A$2:$G$265,5,FALSE)</f>
        <v>22.5</v>
      </c>
      <c r="N59" s="3">
        <f>VLOOKUP($H59,'Cooling-Rack'!$A$2:$G$265,7,FALSE)</f>
        <v>7.5</v>
      </c>
      <c r="O59" s="3">
        <v>36</v>
      </c>
      <c r="P59" s="102">
        <v>0.75</v>
      </c>
      <c r="Q59" s="102">
        <v>0.25</v>
      </c>
      <c r="R59" s="3" t="s">
        <v>27</v>
      </c>
      <c r="S59" s="10" t="s">
        <v>31</v>
      </c>
      <c r="T59" s="3" t="s">
        <v>70</v>
      </c>
      <c r="U59" s="24" t="s">
        <v>71</v>
      </c>
      <c r="V59" s="3" t="s">
        <v>293</v>
      </c>
      <c r="W59" s="24" t="s">
        <v>294</v>
      </c>
      <c r="X59" s="3" t="s">
        <v>80</v>
      </c>
      <c r="Y59" s="3" t="s">
        <v>76</v>
      </c>
      <c r="Z59" s="3" t="s">
        <v>77</v>
      </c>
      <c r="AA59" s="3" t="s">
        <v>74</v>
      </c>
      <c r="AB59" s="3" t="s">
        <v>75</v>
      </c>
      <c r="AC59" s="3" t="s">
        <v>78</v>
      </c>
      <c r="AD59" s="3" t="s">
        <v>79</v>
      </c>
      <c r="AE59" s="3" t="s">
        <v>385</v>
      </c>
      <c r="AF59" s="3" t="s">
        <v>384</v>
      </c>
      <c r="AG59" s="3" t="s">
        <v>392</v>
      </c>
      <c r="AH59" s="3" t="s">
        <v>395</v>
      </c>
      <c r="AL59" s="3">
        <v>30</v>
      </c>
      <c r="AM59" s="3">
        <f t="shared" si="3"/>
        <v>22.5</v>
      </c>
      <c r="AN59" s="3">
        <f t="shared" si="4"/>
        <v>7.5</v>
      </c>
      <c r="AO59" s="3">
        <v>30</v>
      </c>
      <c r="AP59" s="3">
        <f t="shared" si="5"/>
        <v>22.5</v>
      </c>
      <c r="AQ59" s="3">
        <f t="shared" si="6"/>
        <v>7.5</v>
      </c>
      <c r="BA59" s="3">
        <f t="shared" si="7"/>
        <v>30</v>
      </c>
      <c r="BB59" s="3">
        <f t="shared" si="8"/>
        <v>0</v>
      </c>
      <c r="BC59" s="3">
        <f t="shared" si="9"/>
        <v>0</v>
      </c>
      <c r="BD59" s="3">
        <f t="shared" si="10"/>
        <v>30</v>
      </c>
      <c r="BE59" s="3">
        <f t="shared" si="11"/>
        <v>30</v>
      </c>
      <c r="BF59" s="3">
        <f t="shared" si="12"/>
        <v>30</v>
      </c>
      <c r="BG59" s="102">
        <f t="shared" si="13"/>
        <v>1</v>
      </c>
      <c r="BH59" s="102">
        <f t="shared" si="14"/>
        <v>0</v>
      </c>
      <c r="BI59" s="102">
        <f t="shared" si="15"/>
        <v>0</v>
      </c>
      <c r="BJ59" s="102">
        <f t="shared" si="16"/>
        <v>1</v>
      </c>
      <c r="BK59" s="102">
        <f t="shared" si="17"/>
        <v>1</v>
      </c>
      <c r="BL59" s="102">
        <f t="shared" si="18"/>
        <v>1</v>
      </c>
      <c r="BM59" s="102"/>
      <c r="BO59" s="3" t="s">
        <v>908</v>
      </c>
      <c r="BP59" s="123">
        <f t="shared" si="19"/>
        <v>25</v>
      </c>
      <c r="BQ59" s="3">
        <f t="shared" si="20"/>
        <v>0</v>
      </c>
      <c r="BR59" s="3">
        <f t="shared" si="21"/>
        <v>1</v>
      </c>
      <c r="BS59" s="3">
        <f t="shared" si="22"/>
        <v>1</v>
      </c>
      <c r="BT59" s="3">
        <f t="shared" si="23"/>
        <v>0</v>
      </c>
      <c r="BU59" s="3">
        <f t="shared" si="24"/>
        <v>0</v>
      </c>
      <c r="BV59" s="3">
        <f t="shared" si="25"/>
        <v>0</v>
      </c>
    </row>
    <row r="60" spans="1:74" s="3" customFormat="1" x14ac:dyDescent="0.2">
      <c r="A60" s="3" t="s">
        <v>137</v>
      </c>
      <c r="B60" s="3" t="s">
        <v>138</v>
      </c>
      <c r="C60" s="3">
        <v>30</v>
      </c>
      <c r="F60" s="3" t="s">
        <v>246</v>
      </c>
      <c r="G60" s="3" t="s">
        <v>249</v>
      </c>
      <c r="H60" s="3" t="s">
        <v>149</v>
      </c>
      <c r="I60" s="3" t="s">
        <v>14</v>
      </c>
      <c r="J60" s="3" t="str">
        <f t="shared" si="1"/>
        <v>RACKPDU-RACK-R3-Z3W-R1-11-A</v>
      </c>
      <c r="K60" s="3" t="str">
        <f t="shared" si="2"/>
        <v>RACKPDU-RACK-R3-Z3W-R1-11-B</v>
      </c>
      <c r="L60" s="3">
        <v>30</v>
      </c>
      <c r="M60" s="3">
        <f>VLOOKUP($H60,'Cooling-Rack'!$A$2:$G$265,5,FALSE)</f>
        <v>22.5</v>
      </c>
      <c r="N60" s="3">
        <f>VLOOKUP($H60,'Cooling-Rack'!$A$2:$G$265,7,FALSE)</f>
        <v>7.5</v>
      </c>
      <c r="O60" s="3">
        <v>36</v>
      </c>
      <c r="P60" s="102">
        <v>0.75</v>
      </c>
      <c r="Q60" s="102">
        <v>0.25</v>
      </c>
      <c r="R60" s="3" t="s">
        <v>27</v>
      </c>
      <c r="S60" s="10" t="s">
        <v>31</v>
      </c>
      <c r="T60" s="3" t="s">
        <v>70</v>
      </c>
      <c r="U60" s="24" t="s">
        <v>71</v>
      </c>
      <c r="V60" s="3" t="s">
        <v>293</v>
      </c>
      <c r="W60" s="24" t="s">
        <v>294</v>
      </c>
      <c r="X60" s="3" t="s">
        <v>80</v>
      </c>
      <c r="Y60" s="3" t="s">
        <v>76</v>
      </c>
      <c r="Z60" s="3" t="s">
        <v>77</v>
      </c>
      <c r="AA60" s="3" t="s">
        <v>74</v>
      </c>
      <c r="AB60" s="3" t="s">
        <v>75</v>
      </c>
      <c r="AC60" s="3" t="s">
        <v>78</v>
      </c>
      <c r="AD60" s="3" t="s">
        <v>79</v>
      </c>
      <c r="AE60" s="3" t="s">
        <v>385</v>
      </c>
      <c r="AF60" s="3" t="s">
        <v>384</v>
      </c>
      <c r="AG60" s="3" t="s">
        <v>392</v>
      </c>
      <c r="AH60" s="3" t="s">
        <v>395</v>
      </c>
      <c r="AL60" s="3">
        <v>30</v>
      </c>
      <c r="AM60" s="3">
        <f t="shared" si="3"/>
        <v>22.5</v>
      </c>
      <c r="AN60" s="3">
        <f t="shared" si="4"/>
        <v>7.5</v>
      </c>
      <c r="AO60" s="3">
        <v>30</v>
      </c>
      <c r="AP60" s="3">
        <f t="shared" si="5"/>
        <v>22.5</v>
      </c>
      <c r="AQ60" s="3">
        <f t="shared" si="6"/>
        <v>7.5</v>
      </c>
      <c r="BA60" s="3">
        <f t="shared" si="7"/>
        <v>30</v>
      </c>
      <c r="BB60" s="3">
        <f t="shared" si="8"/>
        <v>0</v>
      </c>
      <c r="BC60" s="3">
        <f t="shared" si="9"/>
        <v>0</v>
      </c>
      <c r="BD60" s="3">
        <f t="shared" si="10"/>
        <v>30</v>
      </c>
      <c r="BE60" s="3">
        <f t="shared" si="11"/>
        <v>30</v>
      </c>
      <c r="BF60" s="3">
        <f t="shared" si="12"/>
        <v>30</v>
      </c>
      <c r="BG60" s="102">
        <f t="shared" si="13"/>
        <v>1</v>
      </c>
      <c r="BH60" s="102">
        <f t="shared" si="14"/>
        <v>0</v>
      </c>
      <c r="BI60" s="102">
        <f t="shared" si="15"/>
        <v>0</v>
      </c>
      <c r="BJ60" s="102">
        <f t="shared" si="16"/>
        <v>1</v>
      </c>
      <c r="BK60" s="102">
        <f t="shared" si="17"/>
        <v>1</v>
      </c>
      <c r="BL60" s="102">
        <f t="shared" si="18"/>
        <v>1</v>
      </c>
      <c r="BM60" s="102"/>
      <c r="BO60" s="3" t="s">
        <v>909</v>
      </c>
      <c r="BP60" s="123">
        <f t="shared" si="19"/>
        <v>25</v>
      </c>
      <c r="BQ60" s="3">
        <f t="shared" si="20"/>
        <v>0</v>
      </c>
      <c r="BR60" s="3">
        <f t="shared" si="21"/>
        <v>1</v>
      </c>
      <c r="BS60" s="3">
        <f t="shared" si="22"/>
        <v>1</v>
      </c>
      <c r="BT60" s="3">
        <f t="shared" si="23"/>
        <v>0</v>
      </c>
      <c r="BU60" s="3">
        <f t="shared" si="24"/>
        <v>0</v>
      </c>
      <c r="BV60" s="3">
        <f t="shared" si="25"/>
        <v>0</v>
      </c>
    </row>
    <row r="61" spans="1:74" s="3" customFormat="1" x14ac:dyDescent="0.2">
      <c r="A61" s="3" t="s">
        <v>137</v>
      </c>
      <c r="B61" s="3" t="s">
        <v>138</v>
      </c>
      <c r="C61" s="3">
        <v>30</v>
      </c>
      <c r="F61" s="3" t="s">
        <v>246</v>
      </c>
      <c r="G61" s="3" t="s">
        <v>249</v>
      </c>
      <c r="H61" s="3" t="s">
        <v>150</v>
      </c>
      <c r="I61" s="3" t="s">
        <v>14</v>
      </c>
      <c r="J61" s="3" t="str">
        <f t="shared" si="1"/>
        <v>RACKPDU-RACK-R3-Z3W-R1-12-A</v>
      </c>
      <c r="K61" s="3" t="str">
        <f t="shared" si="2"/>
        <v>RACKPDU-RACK-R3-Z3W-R1-12-B</v>
      </c>
      <c r="L61" s="3">
        <v>30</v>
      </c>
      <c r="M61" s="3">
        <f>VLOOKUP($H61,'Cooling-Rack'!$A$2:$G$265,5,FALSE)</f>
        <v>22.5</v>
      </c>
      <c r="N61" s="3">
        <f>VLOOKUP($H61,'Cooling-Rack'!$A$2:$G$265,7,FALSE)</f>
        <v>7.5</v>
      </c>
      <c r="O61" s="3">
        <v>36</v>
      </c>
      <c r="P61" s="102">
        <v>0.75</v>
      </c>
      <c r="Q61" s="102">
        <v>0.25</v>
      </c>
      <c r="R61" s="3" t="s">
        <v>27</v>
      </c>
      <c r="S61" s="10" t="s">
        <v>31</v>
      </c>
      <c r="T61" s="3" t="s">
        <v>70</v>
      </c>
      <c r="U61" s="24" t="s">
        <v>71</v>
      </c>
      <c r="V61" s="3" t="s">
        <v>293</v>
      </c>
      <c r="W61" s="24" t="s">
        <v>294</v>
      </c>
      <c r="X61" s="3" t="s">
        <v>80</v>
      </c>
      <c r="Y61" s="3" t="s">
        <v>76</v>
      </c>
      <c r="Z61" s="3" t="s">
        <v>77</v>
      </c>
      <c r="AA61" s="3" t="s">
        <v>74</v>
      </c>
      <c r="AB61" s="3" t="s">
        <v>75</v>
      </c>
      <c r="AC61" s="3" t="s">
        <v>78</v>
      </c>
      <c r="AD61" s="3" t="s">
        <v>79</v>
      </c>
      <c r="AE61" s="3" t="s">
        <v>385</v>
      </c>
      <c r="AF61" s="3" t="s">
        <v>384</v>
      </c>
      <c r="AG61" s="3" t="s">
        <v>392</v>
      </c>
      <c r="AH61" s="3" t="s">
        <v>395</v>
      </c>
      <c r="AL61" s="3">
        <v>30</v>
      </c>
      <c r="AM61" s="3">
        <f t="shared" si="3"/>
        <v>22.5</v>
      </c>
      <c r="AN61" s="3">
        <f t="shared" si="4"/>
        <v>7.5</v>
      </c>
      <c r="AO61" s="3">
        <v>30</v>
      </c>
      <c r="AP61" s="3">
        <f t="shared" si="5"/>
        <v>22.5</v>
      </c>
      <c r="AQ61" s="3">
        <f t="shared" si="6"/>
        <v>7.5</v>
      </c>
      <c r="BA61" s="3">
        <f t="shared" si="7"/>
        <v>30</v>
      </c>
      <c r="BB61" s="3">
        <f t="shared" si="8"/>
        <v>0</v>
      </c>
      <c r="BC61" s="3">
        <f t="shared" si="9"/>
        <v>0</v>
      </c>
      <c r="BD61" s="3">
        <f t="shared" si="10"/>
        <v>30</v>
      </c>
      <c r="BE61" s="3">
        <f t="shared" si="11"/>
        <v>30</v>
      </c>
      <c r="BF61" s="3">
        <f t="shared" si="12"/>
        <v>30</v>
      </c>
      <c r="BG61" s="102">
        <f t="shared" si="13"/>
        <v>1</v>
      </c>
      <c r="BH61" s="102">
        <f t="shared" si="14"/>
        <v>0</v>
      </c>
      <c r="BI61" s="102">
        <f t="shared" si="15"/>
        <v>0</v>
      </c>
      <c r="BJ61" s="102">
        <f t="shared" si="16"/>
        <v>1</v>
      </c>
      <c r="BK61" s="102">
        <f t="shared" si="17"/>
        <v>1</v>
      </c>
      <c r="BL61" s="102">
        <f t="shared" si="18"/>
        <v>1</v>
      </c>
      <c r="BM61" s="102"/>
      <c r="BO61" s="3" t="s">
        <v>910</v>
      </c>
      <c r="BP61" s="123">
        <f t="shared" si="19"/>
        <v>25</v>
      </c>
      <c r="BQ61" s="3">
        <f t="shared" si="20"/>
        <v>0</v>
      </c>
      <c r="BR61" s="3">
        <f t="shared" si="21"/>
        <v>1</v>
      </c>
      <c r="BS61" s="3">
        <f t="shared" si="22"/>
        <v>1</v>
      </c>
      <c r="BT61" s="3">
        <f t="shared" si="23"/>
        <v>0</v>
      </c>
      <c r="BU61" s="3">
        <f t="shared" si="24"/>
        <v>0</v>
      </c>
      <c r="BV61" s="3">
        <f t="shared" si="25"/>
        <v>0</v>
      </c>
    </row>
    <row r="62" spans="1:74" s="5" customFormat="1" x14ac:dyDescent="0.2">
      <c r="A62" s="5" t="s">
        <v>137</v>
      </c>
      <c r="B62" s="5" t="s">
        <v>151</v>
      </c>
      <c r="C62" s="5">
        <v>30</v>
      </c>
      <c r="F62" s="5" t="s">
        <v>246</v>
      </c>
      <c r="G62" s="5" t="s">
        <v>249</v>
      </c>
      <c r="H62" s="5" t="s">
        <v>152</v>
      </c>
      <c r="I62" s="5" t="s">
        <v>14</v>
      </c>
      <c r="J62" s="5" t="str">
        <f t="shared" si="1"/>
        <v>RACKPDU-RACK-R3-Z3W-R2-01-A</v>
      </c>
      <c r="K62" s="5" t="str">
        <f t="shared" si="2"/>
        <v>RACKPDU-RACK-R3-Z3W-R2-01-B</v>
      </c>
      <c r="L62" s="5">
        <v>30</v>
      </c>
      <c r="M62" s="5">
        <f>VLOOKUP($H62,'Cooling-Rack'!$A$2:$G$265,5,FALSE)</f>
        <v>22.5</v>
      </c>
      <c r="N62" s="5">
        <f>VLOOKUP($H62,'Cooling-Rack'!$A$2:$G$265,7,FALSE)</f>
        <v>7.5</v>
      </c>
      <c r="O62" s="5">
        <v>36</v>
      </c>
      <c r="P62" s="103">
        <v>0.75</v>
      </c>
      <c r="Q62" s="103">
        <v>0.25</v>
      </c>
      <c r="R62" s="9" t="s">
        <v>30</v>
      </c>
      <c r="S62" s="5" t="s">
        <v>29</v>
      </c>
      <c r="T62" s="5" t="s">
        <v>70</v>
      </c>
      <c r="U62" s="5" t="s">
        <v>72</v>
      </c>
      <c r="V62" s="5" t="s">
        <v>293</v>
      </c>
      <c r="W62" s="5" t="s">
        <v>294</v>
      </c>
      <c r="X62" s="5" t="s">
        <v>80</v>
      </c>
      <c r="Y62" s="5" t="s">
        <v>76</v>
      </c>
      <c r="Z62" s="5" t="s">
        <v>77</v>
      </c>
      <c r="AA62" s="5" t="s">
        <v>74</v>
      </c>
      <c r="AB62" s="5" t="s">
        <v>75</v>
      </c>
      <c r="AC62" s="5" t="s">
        <v>78</v>
      </c>
      <c r="AD62" s="5" t="s">
        <v>79</v>
      </c>
      <c r="AE62" s="5" t="s">
        <v>385</v>
      </c>
      <c r="AF62" s="5" t="s">
        <v>384</v>
      </c>
      <c r="AG62" s="5" t="s">
        <v>392</v>
      </c>
      <c r="AH62" s="5" t="s">
        <v>395</v>
      </c>
      <c r="AL62" s="5">
        <v>0</v>
      </c>
      <c r="AM62" s="5">
        <f t="shared" si="3"/>
        <v>0</v>
      </c>
      <c r="AN62" s="5">
        <f t="shared" si="4"/>
        <v>0</v>
      </c>
      <c r="AO62" s="5">
        <v>30</v>
      </c>
      <c r="AP62" s="5">
        <f t="shared" si="5"/>
        <v>22.5</v>
      </c>
      <c r="AQ62" s="5">
        <f t="shared" si="6"/>
        <v>7.5</v>
      </c>
      <c r="BA62" s="5">
        <f t="shared" si="7"/>
        <v>30</v>
      </c>
      <c r="BB62" s="5">
        <f t="shared" si="8"/>
        <v>30</v>
      </c>
      <c r="BC62" s="5">
        <f t="shared" si="9"/>
        <v>0</v>
      </c>
      <c r="BD62" s="5">
        <f t="shared" si="10"/>
        <v>30</v>
      </c>
      <c r="BE62" s="5">
        <f t="shared" si="11"/>
        <v>30</v>
      </c>
      <c r="BF62" s="5">
        <f t="shared" si="12"/>
        <v>30</v>
      </c>
      <c r="BG62" s="103">
        <f t="shared" si="13"/>
        <v>1</v>
      </c>
      <c r="BH62" s="103">
        <f t="shared" si="14"/>
        <v>1</v>
      </c>
      <c r="BI62" s="103">
        <f t="shared" si="15"/>
        <v>0</v>
      </c>
      <c r="BJ62" s="103">
        <f t="shared" si="16"/>
        <v>1</v>
      </c>
      <c r="BK62" s="103">
        <f t="shared" si="17"/>
        <v>1</v>
      </c>
      <c r="BL62" s="103">
        <f t="shared" si="18"/>
        <v>1</v>
      </c>
      <c r="BM62" s="103"/>
      <c r="BO62" s="5" t="s">
        <v>911</v>
      </c>
      <c r="BP62" s="124">
        <f t="shared" si="19"/>
        <v>25</v>
      </c>
      <c r="BQ62" s="5">
        <f t="shared" si="20"/>
        <v>0</v>
      </c>
      <c r="BR62" s="5">
        <f t="shared" si="21"/>
        <v>0</v>
      </c>
      <c r="BS62" s="5">
        <f t="shared" si="22"/>
        <v>1</v>
      </c>
      <c r="BT62" s="5">
        <f t="shared" si="23"/>
        <v>0</v>
      </c>
      <c r="BU62" s="5">
        <f t="shared" si="24"/>
        <v>0</v>
      </c>
      <c r="BV62" s="5">
        <f t="shared" si="25"/>
        <v>0</v>
      </c>
    </row>
    <row r="63" spans="1:74" s="5" customFormat="1" x14ac:dyDescent="0.2">
      <c r="A63" s="5" t="s">
        <v>137</v>
      </c>
      <c r="B63" s="5" t="s">
        <v>151</v>
      </c>
      <c r="C63" s="5">
        <v>30</v>
      </c>
      <c r="F63" s="5" t="s">
        <v>246</v>
      </c>
      <c r="G63" s="5" t="s">
        <v>249</v>
      </c>
      <c r="H63" s="5" t="s">
        <v>153</v>
      </c>
      <c r="I63" s="5" t="s">
        <v>14</v>
      </c>
      <c r="J63" s="5" t="str">
        <f t="shared" si="1"/>
        <v>RACKPDU-RACK-R3-Z3W-R2-02-A</v>
      </c>
      <c r="K63" s="5" t="str">
        <f t="shared" si="2"/>
        <v>RACKPDU-RACK-R3-Z3W-R2-02-B</v>
      </c>
      <c r="L63" s="5">
        <v>30</v>
      </c>
      <c r="M63" s="5">
        <f>VLOOKUP($H63,'Cooling-Rack'!$A$2:$G$265,5,FALSE)</f>
        <v>22.5</v>
      </c>
      <c r="N63" s="5">
        <f>VLOOKUP($H63,'Cooling-Rack'!$A$2:$G$265,7,FALSE)</f>
        <v>7.5</v>
      </c>
      <c r="O63" s="5">
        <v>36</v>
      </c>
      <c r="P63" s="103">
        <v>0.75</v>
      </c>
      <c r="Q63" s="103">
        <v>0.25</v>
      </c>
      <c r="R63" s="9" t="s">
        <v>30</v>
      </c>
      <c r="S63" s="5" t="s">
        <v>29</v>
      </c>
      <c r="T63" s="5" t="s">
        <v>70</v>
      </c>
      <c r="U63" s="5" t="s">
        <v>72</v>
      </c>
      <c r="V63" s="5" t="s">
        <v>293</v>
      </c>
      <c r="W63" s="5" t="s">
        <v>294</v>
      </c>
      <c r="X63" s="5" t="s">
        <v>80</v>
      </c>
      <c r="Y63" s="5" t="s">
        <v>76</v>
      </c>
      <c r="Z63" s="5" t="s">
        <v>77</v>
      </c>
      <c r="AA63" s="5" t="s">
        <v>74</v>
      </c>
      <c r="AB63" s="5" t="s">
        <v>75</v>
      </c>
      <c r="AC63" s="5" t="s">
        <v>78</v>
      </c>
      <c r="AD63" s="5" t="s">
        <v>79</v>
      </c>
      <c r="AE63" s="5" t="s">
        <v>385</v>
      </c>
      <c r="AF63" s="5" t="s">
        <v>384</v>
      </c>
      <c r="AG63" s="5" t="s">
        <v>392</v>
      </c>
      <c r="AH63" s="5" t="s">
        <v>395</v>
      </c>
      <c r="AL63" s="5">
        <v>0</v>
      </c>
      <c r="AM63" s="5">
        <f t="shared" si="3"/>
        <v>0</v>
      </c>
      <c r="AN63" s="5">
        <f t="shared" si="4"/>
        <v>0</v>
      </c>
      <c r="AO63" s="5">
        <v>30</v>
      </c>
      <c r="AP63" s="5">
        <f t="shared" si="5"/>
        <v>22.5</v>
      </c>
      <c r="AQ63" s="5">
        <f t="shared" si="6"/>
        <v>7.5</v>
      </c>
      <c r="BA63" s="5">
        <f t="shared" si="7"/>
        <v>30</v>
      </c>
      <c r="BB63" s="5">
        <f t="shared" si="8"/>
        <v>30</v>
      </c>
      <c r="BC63" s="5">
        <f t="shared" si="9"/>
        <v>0</v>
      </c>
      <c r="BD63" s="5">
        <f t="shared" si="10"/>
        <v>30</v>
      </c>
      <c r="BE63" s="5">
        <f t="shared" si="11"/>
        <v>30</v>
      </c>
      <c r="BF63" s="5">
        <f t="shared" si="12"/>
        <v>30</v>
      </c>
      <c r="BG63" s="103">
        <f t="shared" si="13"/>
        <v>1</v>
      </c>
      <c r="BH63" s="103">
        <f t="shared" si="14"/>
        <v>1</v>
      </c>
      <c r="BI63" s="103">
        <f t="shared" si="15"/>
        <v>0</v>
      </c>
      <c r="BJ63" s="103">
        <f t="shared" si="16"/>
        <v>1</v>
      </c>
      <c r="BK63" s="103">
        <f t="shared" si="17"/>
        <v>1</v>
      </c>
      <c r="BL63" s="103">
        <f t="shared" si="18"/>
        <v>1</v>
      </c>
      <c r="BM63" s="103"/>
      <c r="BO63" s="5" t="s">
        <v>912</v>
      </c>
      <c r="BP63" s="124">
        <f t="shared" si="19"/>
        <v>25</v>
      </c>
      <c r="BQ63" s="5">
        <f t="shared" si="20"/>
        <v>0</v>
      </c>
      <c r="BR63" s="5">
        <f t="shared" si="21"/>
        <v>0</v>
      </c>
      <c r="BS63" s="5">
        <f t="shared" si="22"/>
        <v>1</v>
      </c>
      <c r="BT63" s="5">
        <f t="shared" si="23"/>
        <v>0</v>
      </c>
      <c r="BU63" s="5">
        <f t="shared" si="24"/>
        <v>0</v>
      </c>
      <c r="BV63" s="5">
        <f t="shared" si="25"/>
        <v>0</v>
      </c>
    </row>
    <row r="64" spans="1:74" s="5" customFormat="1" x14ac:dyDescent="0.2">
      <c r="A64" s="5" t="s">
        <v>137</v>
      </c>
      <c r="B64" s="5" t="s">
        <v>151</v>
      </c>
      <c r="C64" s="5">
        <v>30</v>
      </c>
      <c r="F64" s="5" t="s">
        <v>246</v>
      </c>
      <c r="G64" s="5" t="s">
        <v>249</v>
      </c>
      <c r="H64" s="5" t="s">
        <v>154</v>
      </c>
      <c r="I64" s="5" t="s">
        <v>14</v>
      </c>
      <c r="J64" s="5" t="str">
        <f t="shared" si="1"/>
        <v>RACKPDU-RACK-R3-Z3W-R2-03-A</v>
      </c>
      <c r="K64" s="5" t="str">
        <f t="shared" si="2"/>
        <v>RACKPDU-RACK-R3-Z3W-R2-03-B</v>
      </c>
      <c r="L64" s="5">
        <v>30</v>
      </c>
      <c r="M64" s="5">
        <f>VLOOKUP($H64,'Cooling-Rack'!$A$2:$G$265,5,FALSE)</f>
        <v>22.5</v>
      </c>
      <c r="N64" s="5">
        <f>VLOOKUP($H64,'Cooling-Rack'!$A$2:$G$265,7,FALSE)</f>
        <v>7.5</v>
      </c>
      <c r="O64" s="5">
        <v>36</v>
      </c>
      <c r="P64" s="103">
        <v>0.75</v>
      </c>
      <c r="Q64" s="103">
        <v>0.25</v>
      </c>
      <c r="R64" s="9" t="s">
        <v>30</v>
      </c>
      <c r="S64" s="5" t="s">
        <v>29</v>
      </c>
      <c r="T64" s="5" t="s">
        <v>70</v>
      </c>
      <c r="U64" s="5" t="s">
        <v>72</v>
      </c>
      <c r="V64" s="5" t="s">
        <v>293</v>
      </c>
      <c r="W64" s="5" t="s">
        <v>294</v>
      </c>
      <c r="X64" s="5" t="s">
        <v>80</v>
      </c>
      <c r="Y64" s="5" t="s">
        <v>76</v>
      </c>
      <c r="Z64" s="5" t="s">
        <v>77</v>
      </c>
      <c r="AA64" s="5" t="s">
        <v>74</v>
      </c>
      <c r="AB64" s="5" t="s">
        <v>75</v>
      </c>
      <c r="AC64" s="5" t="s">
        <v>78</v>
      </c>
      <c r="AD64" s="5" t="s">
        <v>79</v>
      </c>
      <c r="AE64" s="5" t="s">
        <v>385</v>
      </c>
      <c r="AF64" s="5" t="s">
        <v>384</v>
      </c>
      <c r="AG64" s="5" t="s">
        <v>392</v>
      </c>
      <c r="AH64" s="5" t="s">
        <v>395</v>
      </c>
      <c r="AL64" s="5">
        <v>0</v>
      </c>
      <c r="AM64" s="5">
        <f t="shared" si="3"/>
        <v>0</v>
      </c>
      <c r="AN64" s="5">
        <f t="shared" si="4"/>
        <v>0</v>
      </c>
      <c r="AO64" s="5">
        <v>30</v>
      </c>
      <c r="AP64" s="5">
        <f t="shared" si="5"/>
        <v>22.5</v>
      </c>
      <c r="AQ64" s="5">
        <f t="shared" si="6"/>
        <v>7.5</v>
      </c>
      <c r="BA64" s="5">
        <f t="shared" si="7"/>
        <v>30</v>
      </c>
      <c r="BB64" s="5">
        <f t="shared" si="8"/>
        <v>30</v>
      </c>
      <c r="BC64" s="5">
        <f t="shared" si="9"/>
        <v>0</v>
      </c>
      <c r="BD64" s="5">
        <f t="shared" si="10"/>
        <v>30</v>
      </c>
      <c r="BE64" s="5">
        <f t="shared" si="11"/>
        <v>30</v>
      </c>
      <c r="BF64" s="5">
        <f t="shared" si="12"/>
        <v>30</v>
      </c>
      <c r="BG64" s="103">
        <f t="shared" si="13"/>
        <v>1</v>
      </c>
      <c r="BH64" s="103">
        <f t="shared" si="14"/>
        <v>1</v>
      </c>
      <c r="BI64" s="103">
        <f t="shared" si="15"/>
        <v>0</v>
      </c>
      <c r="BJ64" s="103">
        <f t="shared" si="16"/>
        <v>1</v>
      </c>
      <c r="BK64" s="103">
        <f t="shared" si="17"/>
        <v>1</v>
      </c>
      <c r="BL64" s="103">
        <f t="shared" si="18"/>
        <v>1</v>
      </c>
      <c r="BM64" s="103"/>
      <c r="BO64" s="5" t="s">
        <v>913</v>
      </c>
      <c r="BP64" s="124">
        <f t="shared" si="19"/>
        <v>25</v>
      </c>
      <c r="BQ64" s="5">
        <f t="shared" si="20"/>
        <v>0</v>
      </c>
      <c r="BR64" s="5">
        <f t="shared" si="21"/>
        <v>0</v>
      </c>
      <c r="BS64" s="5">
        <f t="shared" si="22"/>
        <v>1</v>
      </c>
      <c r="BT64" s="5">
        <f t="shared" si="23"/>
        <v>0</v>
      </c>
      <c r="BU64" s="5">
        <f t="shared" si="24"/>
        <v>0</v>
      </c>
      <c r="BV64" s="5">
        <f t="shared" si="25"/>
        <v>0</v>
      </c>
    </row>
    <row r="65" spans="1:74" s="5" customFormat="1" x14ac:dyDescent="0.2">
      <c r="A65" s="5" t="s">
        <v>137</v>
      </c>
      <c r="B65" s="5" t="s">
        <v>151</v>
      </c>
      <c r="C65" s="5">
        <v>30</v>
      </c>
      <c r="F65" s="5" t="s">
        <v>246</v>
      </c>
      <c r="G65" s="5" t="s">
        <v>249</v>
      </c>
      <c r="H65" s="5" t="s">
        <v>155</v>
      </c>
      <c r="I65" s="5" t="s">
        <v>14</v>
      </c>
      <c r="J65" s="5" t="str">
        <f t="shared" si="1"/>
        <v>RACKPDU-RACK-R3-Z3W-R2-04-A</v>
      </c>
      <c r="K65" s="5" t="str">
        <f t="shared" si="2"/>
        <v>RACKPDU-RACK-R3-Z3W-R2-04-B</v>
      </c>
      <c r="L65" s="5">
        <v>30</v>
      </c>
      <c r="M65" s="5">
        <f>VLOOKUP($H65,'Cooling-Rack'!$A$2:$G$265,5,FALSE)</f>
        <v>22.5</v>
      </c>
      <c r="N65" s="5">
        <f>VLOOKUP($H65,'Cooling-Rack'!$A$2:$G$265,7,FALSE)</f>
        <v>7.5</v>
      </c>
      <c r="O65" s="5">
        <v>36</v>
      </c>
      <c r="P65" s="103">
        <v>0.75</v>
      </c>
      <c r="Q65" s="103">
        <v>0.25</v>
      </c>
      <c r="R65" s="9" t="s">
        <v>30</v>
      </c>
      <c r="S65" s="5" t="s">
        <v>29</v>
      </c>
      <c r="T65" s="5" t="s">
        <v>70</v>
      </c>
      <c r="U65" s="5" t="s">
        <v>72</v>
      </c>
      <c r="V65" s="5" t="s">
        <v>293</v>
      </c>
      <c r="W65" s="5" t="s">
        <v>294</v>
      </c>
      <c r="X65" s="5" t="s">
        <v>80</v>
      </c>
      <c r="Y65" s="5" t="s">
        <v>76</v>
      </c>
      <c r="Z65" s="5" t="s">
        <v>77</v>
      </c>
      <c r="AA65" s="5" t="s">
        <v>74</v>
      </c>
      <c r="AB65" s="5" t="s">
        <v>75</v>
      </c>
      <c r="AC65" s="5" t="s">
        <v>78</v>
      </c>
      <c r="AD65" s="5" t="s">
        <v>79</v>
      </c>
      <c r="AE65" s="5" t="s">
        <v>385</v>
      </c>
      <c r="AF65" s="5" t="s">
        <v>384</v>
      </c>
      <c r="AG65" s="5" t="s">
        <v>392</v>
      </c>
      <c r="AH65" s="5" t="s">
        <v>395</v>
      </c>
      <c r="AL65" s="5">
        <v>0</v>
      </c>
      <c r="AM65" s="5">
        <f t="shared" si="3"/>
        <v>0</v>
      </c>
      <c r="AN65" s="5">
        <f t="shared" si="4"/>
        <v>0</v>
      </c>
      <c r="AO65" s="5">
        <v>30</v>
      </c>
      <c r="AP65" s="5">
        <f t="shared" si="5"/>
        <v>22.5</v>
      </c>
      <c r="AQ65" s="5">
        <f t="shared" si="6"/>
        <v>7.5</v>
      </c>
      <c r="BA65" s="5">
        <f t="shared" si="7"/>
        <v>30</v>
      </c>
      <c r="BB65" s="5">
        <f t="shared" si="8"/>
        <v>30</v>
      </c>
      <c r="BC65" s="5">
        <f t="shared" si="9"/>
        <v>0</v>
      </c>
      <c r="BD65" s="5">
        <f t="shared" si="10"/>
        <v>30</v>
      </c>
      <c r="BE65" s="5">
        <f t="shared" si="11"/>
        <v>30</v>
      </c>
      <c r="BF65" s="5">
        <f t="shared" si="12"/>
        <v>30</v>
      </c>
      <c r="BG65" s="103">
        <f t="shared" si="13"/>
        <v>1</v>
      </c>
      <c r="BH65" s="103">
        <f t="shared" si="14"/>
        <v>1</v>
      </c>
      <c r="BI65" s="103">
        <f t="shared" si="15"/>
        <v>0</v>
      </c>
      <c r="BJ65" s="103">
        <f t="shared" si="16"/>
        <v>1</v>
      </c>
      <c r="BK65" s="103">
        <f t="shared" si="17"/>
        <v>1</v>
      </c>
      <c r="BL65" s="103">
        <f t="shared" si="18"/>
        <v>1</v>
      </c>
      <c r="BM65" s="103"/>
      <c r="BO65" s="5" t="s">
        <v>914</v>
      </c>
      <c r="BP65" s="124">
        <f t="shared" si="19"/>
        <v>25</v>
      </c>
      <c r="BQ65" s="5">
        <f t="shared" si="20"/>
        <v>0</v>
      </c>
      <c r="BR65" s="5">
        <f t="shared" si="21"/>
        <v>0</v>
      </c>
      <c r="BS65" s="5">
        <f t="shared" si="22"/>
        <v>1</v>
      </c>
      <c r="BT65" s="5">
        <f t="shared" si="23"/>
        <v>0</v>
      </c>
      <c r="BU65" s="5">
        <f t="shared" si="24"/>
        <v>0</v>
      </c>
      <c r="BV65" s="5">
        <f t="shared" si="25"/>
        <v>0</v>
      </c>
    </row>
    <row r="66" spans="1:74" s="5" customFormat="1" x14ac:dyDescent="0.2">
      <c r="A66" s="5" t="s">
        <v>137</v>
      </c>
      <c r="B66" s="5" t="s">
        <v>151</v>
      </c>
      <c r="C66" s="5">
        <v>30</v>
      </c>
      <c r="F66" s="5" t="s">
        <v>246</v>
      </c>
      <c r="G66" s="5" t="s">
        <v>249</v>
      </c>
      <c r="H66" s="5" t="s">
        <v>156</v>
      </c>
      <c r="I66" s="5" t="s">
        <v>14</v>
      </c>
      <c r="J66" s="5" t="str">
        <f t="shared" si="1"/>
        <v>RACKPDU-RACK-R3-Z3W-R2-05-A</v>
      </c>
      <c r="K66" s="5" t="str">
        <f t="shared" si="2"/>
        <v>RACKPDU-RACK-R3-Z3W-R2-05-B</v>
      </c>
      <c r="L66" s="5">
        <v>30</v>
      </c>
      <c r="M66" s="5">
        <f>VLOOKUP($H66,'Cooling-Rack'!$A$2:$G$265,5,FALSE)</f>
        <v>22.5</v>
      </c>
      <c r="N66" s="5">
        <f>VLOOKUP($H66,'Cooling-Rack'!$A$2:$G$265,7,FALSE)</f>
        <v>7.5</v>
      </c>
      <c r="O66" s="5">
        <v>36</v>
      </c>
      <c r="P66" s="103">
        <v>0.75</v>
      </c>
      <c r="Q66" s="103">
        <v>0.25</v>
      </c>
      <c r="R66" s="5" t="s">
        <v>27</v>
      </c>
      <c r="S66" s="5" t="s">
        <v>29</v>
      </c>
      <c r="T66" s="5" t="s">
        <v>70</v>
      </c>
      <c r="U66" s="5" t="s">
        <v>72</v>
      </c>
      <c r="V66" s="5" t="s">
        <v>293</v>
      </c>
      <c r="W66" s="5" t="s">
        <v>294</v>
      </c>
      <c r="X66" s="5" t="s">
        <v>80</v>
      </c>
      <c r="Y66" s="5" t="s">
        <v>76</v>
      </c>
      <c r="Z66" s="5" t="s">
        <v>77</v>
      </c>
      <c r="AA66" s="5" t="s">
        <v>74</v>
      </c>
      <c r="AB66" s="5" t="s">
        <v>75</v>
      </c>
      <c r="AC66" s="5" t="s">
        <v>78</v>
      </c>
      <c r="AD66" s="5" t="s">
        <v>79</v>
      </c>
      <c r="AE66" s="5" t="s">
        <v>385</v>
      </c>
      <c r="AF66" s="5" t="s">
        <v>384</v>
      </c>
      <c r="AG66" s="5" t="s">
        <v>392</v>
      </c>
      <c r="AH66" s="5" t="s">
        <v>395</v>
      </c>
      <c r="AL66" s="5">
        <v>0</v>
      </c>
      <c r="AM66" s="5">
        <f t="shared" si="3"/>
        <v>0</v>
      </c>
      <c r="AN66" s="5">
        <f t="shared" si="4"/>
        <v>0</v>
      </c>
      <c r="AO66" s="5">
        <v>30</v>
      </c>
      <c r="AP66" s="5">
        <f t="shared" si="5"/>
        <v>22.5</v>
      </c>
      <c r="AQ66" s="5">
        <f t="shared" si="6"/>
        <v>7.5</v>
      </c>
      <c r="BA66" s="5">
        <f t="shared" si="7"/>
        <v>30</v>
      </c>
      <c r="BB66" s="5">
        <f t="shared" si="8"/>
        <v>30</v>
      </c>
      <c r="BC66" s="5">
        <f t="shared" si="9"/>
        <v>0</v>
      </c>
      <c r="BD66" s="5">
        <f t="shared" si="10"/>
        <v>30</v>
      </c>
      <c r="BE66" s="5">
        <f t="shared" si="11"/>
        <v>30</v>
      </c>
      <c r="BF66" s="5">
        <f t="shared" si="12"/>
        <v>30</v>
      </c>
      <c r="BG66" s="103">
        <f t="shared" si="13"/>
        <v>1</v>
      </c>
      <c r="BH66" s="103">
        <f t="shared" si="14"/>
        <v>1</v>
      </c>
      <c r="BI66" s="103">
        <f t="shared" si="15"/>
        <v>0</v>
      </c>
      <c r="BJ66" s="103">
        <f t="shared" si="16"/>
        <v>1</v>
      </c>
      <c r="BK66" s="103">
        <f t="shared" si="17"/>
        <v>1</v>
      </c>
      <c r="BL66" s="103">
        <f t="shared" si="18"/>
        <v>1</v>
      </c>
      <c r="BM66" s="103"/>
      <c r="BO66" s="5" t="s">
        <v>915</v>
      </c>
      <c r="BP66" s="124">
        <f t="shared" si="19"/>
        <v>25</v>
      </c>
      <c r="BQ66" s="5">
        <f t="shared" si="20"/>
        <v>0</v>
      </c>
      <c r="BR66" s="5">
        <f t="shared" si="21"/>
        <v>0</v>
      </c>
      <c r="BS66" s="5">
        <f t="shared" si="22"/>
        <v>1</v>
      </c>
      <c r="BT66" s="5">
        <f t="shared" si="23"/>
        <v>0</v>
      </c>
      <c r="BU66" s="5">
        <f t="shared" si="24"/>
        <v>0</v>
      </c>
      <c r="BV66" s="5">
        <f t="shared" si="25"/>
        <v>0</v>
      </c>
    </row>
    <row r="67" spans="1:74" s="5" customFormat="1" x14ac:dyDescent="0.2">
      <c r="A67" s="5" t="s">
        <v>137</v>
      </c>
      <c r="B67" s="5" t="s">
        <v>151</v>
      </c>
      <c r="C67" s="5">
        <v>30</v>
      </c>
      <c r="F67" s="5" t="s">
        <v>246</v>
      </c>
      <c r="G67" s="5" t="s">
        <v>249</v>
      </c>
      <c r="H67" s="5" t="s">
        <v>157</v>
      </c>
      <c r="I67" s="5" t="s">
        <v>14</v>
      </c>
      <c r="J67" s="5" t="str">
        <f t="shared" ref="J67:J130" si="26">"RACKPDU-"&amp;H67&amp;"-A"</f>
        <v>RACKPDU-RACK-R3-Z3W-R2-06-A</v>
      </c>
      <c r="K67" s="5" t="str">
        <f t="shared" ref="K67:K130" si="27">"RACKPDU-"&amp;H67&amp;"-B"</f>
        <v>RACKPDU-RACK-R3-Z3W-R2-06-B</v>
      </c>
      <c r="L67" s="5">
        <v>30</v>
      </c>
      <c r="M67" s="5">
        <f>VLOOKUP($H67,'Cooling-Rack'!$A$2:$G$265,5,FALSE)</f>
        <v>22.5</v>
      </c>
      <c r="N67" s="5">
        <f>VLOOKUP($H67,'Cooling-Rack'!$A$2:$G$265,7,FALSE)</f>
        <v>7.5</v>
      </c>
      <c r="O67" s="5">
        <v>36</v>
      </c>
      <c r="P67" s="103">
        <v>0.75</v>
      </c>
      <c r="Q67" s="103">
        <v>0.25</v>
      </c>
      <c r="R67" s="5" t="s">
        <v>27</v>
      </c>
      <c r="S67" s="5" t="s">
        <v>29</v>
      </c>
      <c r="T67" s="5" t="s">
        <v>70</v>
      </c>
      <c r="U67" s="5" t="s">
        <v>72</v>
      </c>
      <c r="V67" s="5" t="s">
        <v>293</v>
      </c>
      <c r="W67" s="5" t="s">
        <v>294</v>
      </c>
      <c r="X67" s="5" t="s">
        <v>80</v>
      </c>
      <c r="Y67" s="5" t="s">
        <v>76</v>
      </c>
      <c r="Z67" s="5" t="s">
        <v>77</v>
      </c>
      <c r="AA67" s="5" t="s">
        <v>74</v>
      </c>
      <c r="AB67" s="5" t="s">
        <v>75</v>
      </c>
      <c r="AC67" s="5" t="s">
        <v>78</v>
      </c>
      <c r="AD67" s="5" t="s">
        <v>79</v>
      </c>
      <c r="AE67" s="5" t="s">
        <v>385</v>
      </c>
      <c r="AF67" s="5" t="s">
        <v>384</v>
      </c>
      <c r="AG67" s="5" t="s">
        <v>392</v>
      </c>
      <c r="AH67" s="5" t="s">
        <v>395</v>
      </c>
      <c r="AL67" s="5">
        <v>0</v>
      </c>
      <c r="AM67" s="5">
        <f t="shared" ref="AM67:AM130" si="28">AL67/$L67*$M67</f>
        <v>0</v>
      </c>
      <c r="AN67" s="5">
        <f t="shared" ref="AN67:AN130" si="29">AL67/$L67*$N67</f>
        <v>0</v>
      </c>
      <c r="AO67" s="5">
        <v>30</v>
      </c>
      <c r="AP67" s="5">
        <f t="shared" ref="AP67:AP130" si="30">AO67/$L67*$M67</f>
        <v>22.5</v>
      </c>
      <c r="AQ67" s="5">
        <f t="shared" ref="AQ67:AQ130" si="31">AO67/$L67*$N67</f>
        <v>7.5</v>
      </c>
      <c r="BA67" s="5">
        <f t="shared" ref="BA67:BA130" si="32">$L67-$AI67</f>
        <v>30</v>
      </c>
      <c r="BB67" s="5">
        <f t="shared" ref="BB67:BB130" si="33">$L67-$AL67</f>
        <v>30</v>
      </c>
      <c r="BC67" s="5">
        <f t="shared" ref="BC67:BC130" si="34">$L67-$AO67</f>
        <v>0</v>
      </c>
      <c r="BD67" s="5">
        <f t="shared" ref="BD67:BD130" si="35">$L67-$AR67</f>
        <v>30</v>
      </c>
      <c r="BE67" s="5">
        <f t="shared" ref="BE67:BE130" si="36">$L67-$AU67</f>
        <v>30</v>
      </c>
      <c r="BF67" s="5">
        <f t="shared" ref="BF67:BF130" si="37">$L67-$AX67</f>
        <v>30</v>
      </c>
      <c r="BG67" s="103">
        <f t="shared" ref="BG67:BG130" si="38">BA67/$L67</f>
        <v>1</v>
      </c>
      <c r="BH67" s="103">
        <f t="shared" ref="BH67:BH130" si="39">BB67/$L67</f>
        <v>1</v>
      </c>
      <c r="BI67" s="103">
        <f t="shared" ref="BI67:BI130" si="40">BC67/$L67</f>
        <v>0</v>
      </c>
      <c r="BJ67" s="103">
        <f t="shared" ref="BJ67:BJ130" si="41">BD67/$L67</f>
        <v>1</v>
      </c>
      <c r="BK67" s="103">
        <f t="shared" ref="BK67:BK130" si="42">BE67/$L67</f>
        <v>1</v>
      </c>
      <c r="BL67" s="103">
        <f t="shared" ref="BL67:BL130" si="43">BF67/$L67</f>
        <v>1</v>
      </c>
      <c r="BM67" s="103"/>
      <c r="BO67" s="5" t="s">
        <v>916</v>
      </c>
      <c r="BP67" s="124">
        <f t="shared" ref="BP67:BP130" si="44">M67/0.9</f>
        <v>25</v>
      </c>
      <c r="BQ67" s="5">
        <f t="shared" ref="BQ67:BQ130" si="45">IF($AI67&gt;0, 1, 0)</f>
        <v>0</v>
      </c>
      <c r="BR67" s="5">
        <f t="shared" ref="BR67:BR130" si="46">IF($AL67&gt;0, 1, 0)</f>
        <v>0</v>
      </c>
      <c r="BS67" s="5">
        <f t="shared" ref="BS67:BS130" si="47">IF($AO67&gt;0, 1, 0)</f>
        <v>1</v>
      </c>
      <c r="BT67" s="5">
        <f t="shared" ref="BT67:BT130" si="48">IF($AR67&gt;0, 1, 0)</f>
        <v>0</v>
      </c>
      <c r="BU67" s="5">
        <f t="shared" ref="BU67:BU130" si="49">IF($AU67&gt;0, 1, 0)</f>
        <v>0</v>
      </c>
      <c r="BV67" s="5">
        <f t="shared" ref="BV67:BV130" si="50">IF(AX67&gt;0, 1, 0)</f>
        <v>0</v>
      </c>
    </row>
    <row r="68" spans="1:74" s="5" customFormat="1" x14ac:dyDescent="0.2">
      <c r="A68" s="5" t="s">
        <v>137</v>
      </c>
      <c r="B68" s="5" t="s">
        <v>151</v>
      </c>
      <c r="C68" s="5">
        <v>30</v>
      </c>
      <c r="F68" s="5" t="s">
        <v>246</v>
      </c>
      <c r="G68" s="5" t="s">
        <v>249</v>
      </c>
      <c r="H68" s="5" t="s">
        <v>158</v>
      </c>
      <c r="I68" s="5" t="s">
        <v>14</v>
      </c>
      <c r="J68" s="5" t="str">
        <f t="shared" si="26"/>
        <v>RACKPDU-RACK-R3-Z3W-R2-07-A</v>
      </c>
      <c r="K68" s="5" t="str">
        <f t="shared" si="27"/>
        <v>RACKPDU-RACK-R3-Z3W-R2-07-B</v>
      </c>
      <c r="L68" s="5">
        <v>30</v>
      </c>
      <c r="M68" s="5">
        <f>VLOOKUP($H68,'Cooling-Rack'!$A$2:$G$265,5,FALSE)</f>
        <v>22.5</v>
      </c>
      <c r="N68" s="5">
        <f>VLOOKUP($H68,'Cooling-Rack'!$A$2:$G$265,7,FALSE)</f>
        <v>7.5</v>
      </c>
      <c r="O68" s="5">
        <v>36</v>
      </c>
      <c r="P68" s="103">
        <v>0.75</v>
      </c>
      <c r="Q68" s="103">
        <v>0.25</v>
      </c>
      <c r="R68" s="5" t="s">
        <v>27</v>
      </c>
      <c r="S68" s="11" t="s">
        <v>31</v>
      </c>
      <c r="T68" s="5" t="s">
        <v>70</v>
      </c>
      <c r="U68" s="25" t="s">
        <v>71</v>
      </c>
      <c r="V68" s="5" t="s">
        <v>293</v>
      </c>
      <c r="W68" s="25" t="s">
        <v>294</v>
      </c>
      <c r="X68" s="5" t="s">
        <v>80</v>
      </c>
      <c r="Y68" s="5" t="s">
        <v>76</v>
      </c>
      <c r="Z68" s="5" t="s">
        <v>77</v>
      </c>
      <c r="AA68" s="5" t="s">
        <v>74</v>
      </c>
      <c r="AB68" s="5" t="s">
        <v>75</v>
      </c>
      <c r="AC68" s="5" t="s">
        <v>78</v>
      </c>
      <c r="AD68" s="5" t="s">
        <v>79</v>
      </c>
      <c r="AE68" s="5" t="s">
        <v>385</v>
      </c>
      <c r="AF68" s="5" t="s">
        <v>384</v>
      </c>
      <c r="AG68" s="5" t="s">
        <v>392</v>
      </c>
      <c r="AH68" s="5" t="s">
        <v>395</v>
      </c>
      <c r="AL68" s="5">
        <v>0</v>
      </c>
      <c r="AM68" s="5">
        <f t="shared" si="28"/>
        <v>0</v>
      </c>
      <c r="AN68" s="5">
        <f t="shared" si="29"/>
        <v>0</v>
      </c>
      <c r="AO68" s="5">
        <v>30</v>
      </c>
      <c r="AP68" s="5">
        <f t="shared" si="30"/>
        <v>22.5</v>
      </c>
      <c r="AQ68" s="5">
        <f t="shared" si="31"/>
        <v>7.5</v>
      </c>
      <c r="BA68" s="5">
        <f t="shared" si="32"/>
        <v>30</v>
      </c>
      <c r="BB68" s="5">
        <f t="shared" si="33"/>
        <v>30</v>
      </c>
      <c r="BC68" s="5">
        <f t="shared" si="34"/>
        <v>0</v>
      </c>
      <c r="BD68" s="5">
        <f t="shared" si="35"/>
        <v>30</v>
      </c>
      <c r="BE68" s="5">
        <f t="shared" si="36"/>
        <v>30</v>
      </c>
      <c r="BF68" s="5">
        <f t="shared" si="37"/>
        <v>30</v>
      </c>
      <c r="BG68" s="103">
        <f t="shared" si="38"/>
        <v>1</v>
      </c>
      <c r="BH68" s="103">
        <f t="shared" si="39"/>
        <v>1</v>
      </c>
      <c r="BI68" s="103">
        <f t="shared" si="40"/>
        <v>0</v>
      </c>
      <c r="BJ68" s="103">
        <f t="shared" si="41"/>
        <v>1</v>
      </c>
      <c r="BK68" s="103">
        <f t="shared" si="42"/>
        <v>1</v>
      </c>
      <c r="BL68" s="103">
        <f t="shared" si="43"/>
        <v>1</v>
      </c>
      <c r="BM68" s="103"/>
      <c r="BO68" s="5" t="s">
        <v>917</v>
      </c>
      <c r="BP68" s="124">
        <f t="shared" si="44"/>
        <v>25</v>
      </c>
      <c r="BQ68" s="5">
        <f t="shared" si="45"/>
        <v>0</v>
      </c>
      <c r="BR68" s="5">
        <f t="shared" si="46"/>
        <v>0</v>
      </c>
      <c r="BS68" s="5">
        <f t="shared" si="47"/>
        <v>1</v>
      </c>
      <c r="BT68" s="5">
        <f t="shared" si="48"/>
        <v>0</v>
      </c>
      <c r="BU68" s="5">
        <f t="shared" si="49"/>
        <v>0</v>
      </c>
      <c r="BV68" s="5">
        <f t="shared" si="50"/>
        <v>0</v>
      </c>
    </row>
    <row r="69" spans="1:74" s="5" customFormat="1" x14ac:dyDescent="0.2">
      <c r="A69" s="5" t="s">
        <v>137</v>
      </c>
      <c r="B69" s="5" t="s">
        <v>151</v>
      </c>
      <c r="C69" s="5">
        <v>30</v>
      </c>
      <c r="F69" s="5" t="s">
        <v>246</v>
      </c>
      <c r="G69" s="5" t="s">
        <v>249</v>
      </c>
      <c r="H69" s="5" t="s">
        <v>159</v>
      </c>
      <c r="I69" s="5" t="s">
        <v>14</v>
      </c>
      <c r="J69" s="5" t="str">
        <f t="shared" si="26"/>
        <v>RACKPDU-RACK-R3-Z3W-R2-08-A</v>
      </c>
      <c r="K69" s="5" t="str">
        <f t="shared" si="27"/>
        <v>RACKPDU-RACK-R3-Z3W-R2-08-B</v>
      </c>
      <c r="L69" s="5">
        <v>30</v>
      </c>
      <c r="M69" s="5">
        <f>VLOOKUP($H69,'Cooling-Rack'!$A$2:$G$265,5,FALSE)</f>
        <v>22.5</v>
      </c>
      <c r="N69" s="5">
        <f>VLOOKUP($H69,'Cooling-Rack'!$A$2:$G$265,7,FALSE)</f>
        <v>7.5</v>
      </c>
      <c r="O69" s="5">
        <v>36</v>
      </c>
      <c r="P69" s="103">
        <v>0.75</v>
      </c>
      <c r="Q69" s="103">
        <v>0.25</v>
      </c>
      <c r="R69" s="5" t="s">
        <v>27</v>
      </c>
      <c r="S69" s="11" t="s">
        <v>31</v>
      </c>
      <c r="T69" s="5" t="s">
        <v>70</v>
      </c>
      <c r="U69" s="25" t="s">
        <v>71</v>
      </c>
      <c r="V69" s="5" t="s">
        <v>293</v>
      </c>
      <c r="W69" s="25" t="s">
        <v>294</v>
      </c>
      <c r="X69" s="5" t="s">
        <v>80</v>
      </c>
      <c r="Y69" s="5" t="s">
        <v>76</v>
      </c>
      <c r="Z69" s="5" t="s">
        <v>77</v>
      </c>
      <c r="AA69" s="5" t="s">
        <v>74</v>
      </c>
      <c r="AB69" s="5" t="s">
        <v>75</v>
      </c>
      <c r="AC69" s="5" t="s">
        <v>78</v>
      </c>
      <c r="AD69" s="5" t="s">
        <v>79</v>
      </c>
      <c r="AE69" s="5" t="s">
        <v>385</v>
      </c>
      <c r="AF69" s="5" t="s">
        <v>384</v>
      </c>
      <c r="AG69" s="5" t="s">
        <v>392</v>
      </c>
      <c r="AH69" s="5" t="s">
        <v>395</v>
      </c>
      <c r="AL69" s="5">
        <v>0</v>
      </c>
      <c r="AM69" s="5">
        <f t="shared" si="28"/>
        <v>0</v>
      </c>
      <c r="AN69" s="5">
        <f t="shared" si="29"/>
        <v>0</v>
      </c>
      <c r="AO69" s="5">
        <v>30</v>
      </c>
      <c r="AP69" s="5">
        <f t="shared" si="30"/>
        <v>22.5</v>
      </c>
      <c r="AQ69" s="5">
        <f t="shared" si="31"/>
        <v>7.5</v>
      </c>
      <c r="BA69" s="5">
        <f t="shared" si="32"/>
        <v>30</v>
      </c>
      <c r="BB69" s="5">
        <f t="shared" si="33"/>
        <v>30</v>
      </c>
      <c r="BC69" s="5">
        <f t="shared" si="34"/>
        <v>0</v>
      </c>
      <c r="BD69" s="5">
        <f t="shared" si="35"/>
        <v>30</v>
      </c>
      <c r="BE69" s="5">
        <f t="shared" si="36"/>
        <v>30</v>
      </c>
      <c r="BF69" s="5">
        <f t="shared" si="37"/>
        <v>30</v>
      </c>
      <c r="BG69" s="103">
        <f t="shared" si="38"/>
        <v>1</v>
      </c>
      <c r="BH69" s="103">
        <f t="shared" si="39"/>
        <v>1</v>
      </c>
      <c r="BI69" s="103">
        <f t="shared" si="40"/>
        <v>0</v>
      </c>
      <c r="BJ69" s="103">
        <f t="shared" si="41"/>
        <v>1</v>
      </c>
      <c r="BK69" s="103">
        <f t="shared" si="42"/>
        <v>1</v>
      </c>
      <c r="BL69" s="103">
        <f t="shared" si="43"/>
        <v>1</v>
      </c>
      <c r="BM69" s="103"/>
      <c r="BO69" s="5" t="s">
        <v>918</v>
      </c>
      <c r="BP69" s="124">
        <f t="shared" si="44"/>
        <v>25</v>
      </c>
      <c r="BQ69" s="5">
        <f t="shared" si="45"/>
        <v>0</v>
      </c>
      <c r="BR69" s="5">
        <f t="shared" si="46"/>
        <v>0</v>
      </c>
      <c r="BS69" s="5">
        <f t="shared" si="47"/>
        <v>1</v>
      </c>
      <c r="BT69" s="5">
        <f t="shared" si="48"/>
        <v>0</v>
      </c>
      <c r="BU69" s="5">
        <f t="shared" si="49"/>
        <v>0</v>
      </c>
      <c r="BV69" s="5">
        <f t="shared" si="50"/>
        <v>0</v>
      </c>
    </row>
    <row r="70" spans="1:74" s="5" customFormat="1" x14ac:dyDescent="0.2">
      <c r="A70" s="5" t="s">
        <v>137</v>
      </c>
      <c r="B70" s="5" t="s">
        <v>151</v>
      </c>
      <c r="C70" s="5">
        <v>30</v>
      </c>
      <c r="F70" s="5" t="s">
        <v>246</v>
      </c>
      <c r="G70" s="5" t="s">
        <v>249</v>
      </c>
      <c r="H70" s="5" t="s">
        <v>160</v>
      </c>
      <c r="I70" s="5" t="s">
        <v>14</v>
      </c>
      <c r="J70" s="5" t="str">
        <f t="shared" si="26"/>
        <v>RACKPDU-RACK-R3-Z3W-R2-09-A</v>
      </c>
      <c r="K70" s="5" t="str">
        <f t="shared" si="27"/>
        <v>RACKPDU-RACK-R3-Z3W-R2-09-B</v>
      </c>
      <c r="L70" s="5">
        <v>30</v>
      </c>
      <c r="M70" s="5">
        <f>VLOOKUP($H70,'Cooling-Rack'!$A$2:$G$265,5,FALSE)</f>
        <v>22.5</v>
      </c>
      <c r="N70" s="5">
        <f>VLOOKUP($H70,'Cooling-Rack'!$A$2:$G$265,7,FALSE)</f>
        <v>7.5</v>
      </c>
      <c r="O70" s="5">
        <v>36</v>
      </c>
      <c r="P70" s="103">
        <v>0.75</v>
      </c>
      <c r="Q70" s="103">
        <v>0.25</v>
      </c>
      <c r="R70" s="9" t="s">
        <v>30</v>
      </c>
      <c r="S70" s="11" t="s">
        <v>31</v>
      </c>
      <c r="T70" s="5" t="s">
        <v>70</v>
      </c>
      <c r="U70" s="25" t="s">
        <v>71</v>
      </c>
      <c r="V70" s="5" t="s">
        <v>293</v>
      </c>
      <c r="W70" s="25" t="s">
        <v>294</v>
      </c>
      <c r="X70" s="5" t="s">
        <v>80</v>
      </c>
      <c r="Y70" s="5" t="s">
        <v>76</v>
      </c>
      <c r="Z70" s="5" t="s">
        <v>77</v>
      </c>
      <c r="AA70" s="5" t="s">
        <v>74</v>
      </c>
      <c r="AB70" s="5" t="s">
        <v>75</v>
      </c>
      <c r="AC70" s="5" t="s">
        <v>78</v>
      </c>
      <c r="AD70" s="5" t="s">
        <v>79</v>
      </c>
      <c r="AE70" s="5" t="s">
        <v>385</v>
      </c>
      <c r="AF70" s="5" t="s">
        <v>384</v>
      </c>
      <c r="AG70" s="5" t="s">
        <v>392</v>
      </c>
      <c r="AH70" s="5" t="s">
        <v>395</v>
      </c>
      <c r="AL70" s="5">
        <v>0</v>
      </c>
      <c r="AM70" s="5">
        <f t="shared" si="28"/>
        <v>0</v>
      </c>
      <c r="AN70" s="5">
        <f t="shared" si="29"/>
        <v>0</v>
      </c>
      <c r="AO70" s="5">
        <v>30</v>
      </c>
      <c r="AP70" s="5">
        <f t="shared" si="30"/>
        <v>22.5</v>
      </c>
      <c r="AQ70" s="5">
        <f t="shared" si="31"/>
        <v>7.5</v>
      </c>
      <c r="BA70" s="5">
        <f t="shared" si="32"/>
        <v>30</v>
      </c>
      <c r="BB70" s="5">
        <f t="shared" si="33"/>
        <v>30</v>
      </c>
      <c r="BC70" s="5">
        <f t="shared" si="34"/>
        <v>0</v>
      </c>
      <c r="BD70" s="5">
        <f t="shared" si="35"/>
        <v>30</v>
      </c>
      <c r="BE70" s="5">
        <f t="shared" si="36"/>
        <v>30</v>
      </c>
      <c r="BF70" s="5">
        <f t="shared" si="37"/>
        <v>30</v>
      </c>
      <c r="BG70" s="103">
        <f t="shared" si="38"/>
        <v>1</v>
      </c>
      <c r="BH70" s="103">
        <f t="shared" si="39"/>
        <v>1</v>
      </c>
      <c r="BI70" s="103">
        <f t="shared" si="40"/>
        <v>0</v>
      </c>
      <c r="BJ70" s="103">
        <f t="shared" si="41"/>
        <v>1</v>
      </c>
      <c r="BK70" s="103">
        <f t="shared" si="42"/>
        <v>1</v>
      </c>
      <c r="BL70" s="103">
        <f t="shared" si="43"/>
        <v>1</v>
      </c>
      <c r="BM70" s="103"/>
      <c r="BO70" s="5" t="s">
        <v>919</v>
      </c>
      <c r="BP70" s="124">
        <f t="shared" si="44"/>
        <v>25</v>
      </c>
      <c r="BQ70" s="5">
        <f t="shared" si="45"/>
        <v>0</v>
      </c>
      <c r="BR70" s="5">
        <f t="shared" si="46"/>
        <v>0</v>
      </c>
      <c r="BS70" s="5">
        <f t="shared" si="47"/>
        <v>1</v>
      </c>
      <c r="BT70" s="5">
        <f t="shared" si="48"/>
        <v>0</v>
      </c>
      <c r="BU70" s="5">
        <f t="shared" si="49"/>
        <v>0</v>
      </c>
      <c r="BV70" s="5">
        <f t="shared" si="50"/>
        <v>0</v>
      </c>
    </row>
    <row r="71" spans="1:74" s="5" customFormat="1" x14ac:dyDescent="0.2">
      <c r="A71" s="5" t="s">
        <v>137</v>
      </c>
      <c r="B71" s="5" t="s">
        <v>151</v>
      </c>
      <c r="C71" s="5">
        <v>30</v>
      </c>
      <c r="F71" s="5" t="s">
        <v>246</v>
      </c>
      <c r="G71" s="5" t="s">
        <v>249</v>
      </c>
      <c r="H71" s="5" t="s">
        <v>161</v>
      </c>
      <c r="I71" s="5" t="s">
        <v>14</v>
      </c>
      <c r="J71" s="5" t="str">
        <f t="shared" si="26"/>
        <v>RACKPDU-RACK-R3-Z3W-R2-10-A</v>
      </c>
      <c r="K71" s="5" t="str">
        <f t="shared" si="27"/>
        <v>RACKPDU-RACK-R3-Z3W-R2-10-B</v>
      </c>
      <c r="L71" s="5">
        <v>30</v>
      </c>
      <c r="M71" s="5">
        <f>VLOOKUP($H71,'Cooling-Rack'!$A$2:$G$265,5,FALSE)</f>
        <v>22.5</v>
      </c>
      <c r="N71" s="5">
        <f>VLOOKUP($H71,'Cooling-Rack'!$A$2:$G$265,7,FALSE)</f>
        <v>7.5</v>
      </c>
      <c r="O71" s="5">
        <v>36</v>
      </c>
      <c r="P71" s="103">
        <v>0.75</v>
      </c>
      <c r="Q71" s="103">
        <v>0.25</v>
      </c>
      <c r="R71" s="9" t="s">
        <v>30</v>
      </c>
      <c r="S71" s="11" t="s">
        <v>31</v>
      </c>
      <c r="T71" s="5" t="s">
        <v>70</v>
      </c>
      <c r="U71" s="25" t="s">
        <v>71</v>
      </c>
      <c r="V71" s="5" t="s">
        <v>293</v>
      </c>
      <c r="W71" s="25" t="s">
        <v>294</v>
      </c>
      <c r="X71" s="5" t="s">
        <v>80</v>
      </c>
      <c r="Y71" s="5" t="s">
        <v>76</v>
      </c>
      <c r="Z71" s="5" t="s">
        <v>77</v>
      </c>
      <c r="AA71" s="5" t="s">
        <v>74</v>
      </c>
      <c r="AB71" s="5" t="s">
        <v>75</v>
      </c>
      <c r="AC71" s="5" t="s">
        <v>78</v>
      </c>
      <c r="AD71" s="5" t="s">
        <v>79</v>
      </c>
      <c r="AE71" s="5" t="s">
        <v>385</v>
      </c>
      <c r="AF71" s="5" t="s">
        <v>384</v>
      </c>
      <c r="AG71" s="5" t="s">
        <v>392</v>
      </c>
      <c r="AH71" s="5" t="s">
        <v>395</v>
      </c>
      <c r="AL71" s="5">
        <v>0</v>
      </c>
      <c r="AM71" s="5">
        <f t="shared" si="28"/>
        <v>0</v>
      </c>
      <c r="AN71" s="5">
        <f t="shared" si="29"/>
        <v>0</v>
      </c>
      <c r="AO71" s="5">
        <v>30</v>
      </c>
      <c r="AP71" s="5">
        <f t="shared" si="30"/>
        <v>22.5</v>
      </c>
      <c r="AQ71" s="5">
        <f t="shared" si="31"/>
        <v>7.5</v>
      </c>
      <c r="BA71" s="5">
        <f t="shared" si="32"/>
        <v>30</v>
      </c>
      <c r="BB71" s="5">
        <f t="shared" si="33"/>
        <v>30</v>
      </c>
      <c r="BC71" s="5">
        <f t="shared" si="34"/>
        <v>0</v>
      </c>
      <c r="BD71" s="5">
        <f t="shared" si="35"/>
        <v>30</v>
      </c>
      <c r="BE71" s="5">
        <f t="shared" si="36"/>
        <v>30</v>
      </c>
      <c r="BF71" s="5">
        <f t="shared" si="37"/>
        <v>30</v>
      </c>
      <c r="BG71" s="103">
        <f t="shared" si="38"/>
        <v>1</v>
      </c>
      <c r="BH71" s="103">
        <f t="shared" si="39"/>
        <v>1</v>
      </c>
      <c r="BI71" s="103">
        <f t="shared" si="40"/>
        <v>0</v>
      </c>
      <c r="BJ71" s="103">
        <f t="shared" si="41"/>
        <v>1</v>
      </c>
      <c r="BK71" s="103">
        <f t="shared" si="42"/>
        <v>1</v>
      </c>
      <c r="BL71" s="103">
        <f t="shared" si="43"/>
        <v>1</v>
      </c>
      <c r="BM71" s="103"/>
      <c r="BO71" s="5" t="s">
        <v>920</v>
      </c>
      <c r="BP71" s="124">
        <f t="shared" si="44"/>
        <v>25</v>
      </c>
      <c r="BQ71" s="5">
        <f t="shared" si="45"/>
        <v>0</v>
      </c>
      <c r="BR71" s="5">
        <f t="shared" si="46"/>
        <v>0</v>
      </c>
      <c r="BS71" s="5">
        <f t="shared" si="47"/>
        <v>1</v>
      </c>
      <c r="BT71" s="5">
        <f t="shared" si="48"/>
        <v>0</v>
      </c>
      <c r="BU71" s="5">
        <f t="shared" si="49"/>
        <v>0</v>
      </c>
      <c r="BV71" s="5">
        <f t="shared" si="50"/>
        <v>0</v>
      </c>
    </row>
    <row r="72" spans="1:74" s="5" customFormat="1" x14ac:dyDescent="0.2">
      <c r="A72" s="5" t="s">
        <v>137</v>
      </c>
      <c r="B72" s="5" t="s">
        <v>151</v>
      </c>
      <c r="C72" s="5">
        <v>30</v>
      </c>
      <c r="F72" s="5" t="s">
        <v>246</v>
      </c>
      <c r="G72" s="5" t="s">
        <v>249</v>
      </c>
      <c r="H72" s="5" t="s">
        <v>162</v>
      </c>
      <c r="I72" s="5" t="s">
        <v>14</v>
      </c>
      <c r="J72" s="5" t="str">
        <f t="shared" si="26"/>
        <v>RACKPDU-RACK-R3-Z3W-R2-11-A</v>
      </c>
      <c r="K72" s="5" t="str">
        <f t="shared" si="27"/>
        <v>RACKPDU-RACK-R3-Z3W-R2-11-B</v>
      </c>
      <c r="L72" s="5">
        <v>30</v>
      </c>
      <c r="M72" s="5">
        <f>VLOOKUP($H72,'Cooling-Rack'!$A$2:$G$265,5,FALSE)</f>
        <v>22.5</v>
      </c>
      <c r="N72" s="5">
        <f>VLOOKUP($H72,'Cooling-Rack'!$A$2:$G$265,7,FALSE)</f>
        <v>7.5</v>
      </c>
      <c r="O72" s="5">
        <v>36</v>
      </c>
      <c r="P72" s="103">
        <v>0.75</v>
      </c>
      <c r="Q72" s="103">
        <v>0.25</v>
      </c>
      <c r="R72" s="9" t="s">
        <v>30</v>
      </c>
      <c r="S72" s="11" t="s">
        <v>31</v>
      </c>
      <c r="T72" s="5" t="s">
        <v>70</v>
      </c>
      <c r="U72" s="25" t="s">
        <v>71</v>
      </c>
      <c r="V72" s="5" t="s">
        <v>293</v>
      </c>
      <c r="W72" s="25" t="s">
        <v>294</v>
      </c>
      <c r="X72" s="5" t="s">
        <v>80</v>
      </c>
      <c r="Y72" s="5" t="s">
        <v>76</v>
      </c>
      <c r="Z72" s="5" t="s">
        <v>77</v>
      </c>
      <c r="AA72" s="5" t="s">
        <v>74</v>
      </c>
      <c r="AB72" s="5" t="s">
        <v>75</v>
      </c>
      <c r="AC72" s="5" t="s">
        <v>78</v>
      </c>
      <c r="AD72" s="5" t="s">
        <v>79</v>
      </c>
      <c r="AE72" s="5" t="s">
        <v>385</v>
      </c>
      <c r="AF72" s="5" t="s">
        <v>384</v>
      </c>
      <c r="AG72" s="5" t="s">
        <v>392</v>
      </c>
      <c r="AH72" s="5" t="s">
        <v>395</v>
      </c>
      <c r="AL72" s="5">
        <v>0</v>
      </c>
      <c r="AM72" s="5">
        <f t="shared" si="28"/>
        <v>0</v>
      </c>
      <c r="AN72" s="5">
        <f t="shared" si="29"/>
        <v>0</v>
      </c>
      <c r="AO72" s="5">
        <v>0</v>
      </c>
      <c r="AP72" s="5">
        <f t="shared" si="30"/>
        <v>0</v>
      </c>
      <c r="AQ72" s="5">
        <f t="shared" si="31"/>
        <v>0</v>
      </c>
      <c r="BA72" s="5">
        <f t="shared" si="32"/>
        <v>30</v>
      </c>
      <c r="BB72" s="5">
        <f t="shared" si="33"/>
        <v>30</v>
      </c>
      <c r="BC72" s="5">
        <f t="shared" si="34"/>
        <v>30</v>
      </c>
      <c r="BD72" s="5">
        <f t="shared" si="35"/>
        <v>30</v>
      </c>
      <c r="BE72" s="5">
        <f t="shared" si="36"/>
        <v>30</v>
      </c>
      <c r="BF72" s="5">
        <f t="shared" si="37"/>
        <v>30</v>
      </c>
      <c r="BG72" s="103">
        <f t="shared" si="38"/>
        <v>1</v>
      </c>
      <c r="BH72" s="103">
        <f t="shared" si="39"/>
        <v>1</v>
      </c>
      <c r="BI72" s="103">
        <f t="shared" si="40"/>
        <v>1</v>
      </c>
      <c r="BJ72" s="103">
        <f t="shared" si="41"/>
        <v>1</v>
      </c>
      <c r="BK72" s="103">
        <f t="shared" si="42"/>
        <v>1</v>
      </c>
      <c r="BL72" s="103">
        <f t="shared" si="43"/>
        <v>1</v>
      </c>
      <c r="BM72" s="103"/>
      <c r="BO72" s="5" t="s">
        <v>921</v>
      </c>
      <c r="BP72" s="124">
        <f t="shared" si="44"/>
        <v>25</v>
      </c>
      <c r="BQ72" s="5">
        <f t="shared" si="45"/>
        <v>0</v>
      </c>
      <c r="BR72" s="5">
        <f t="shared" si="46"/>
        <v>0</v>
      </c>
      <c r="BS72" s="5">
        <f t="shared" si="47"/>
        <v>0</v>
      </c>
      <c r="BT72" s="5">
        <f t="shared" si="48"/>
        <v>0</v>
      </c>
      <c r="BU72" s="5">
        <f t="shared" si="49"/>
        <v>0</v>
      </c>
      <c r="BV72" s="5">
        <f t="shared" si="50"/>
        <v>0</v>
      </c>
    </row>
    <row r="73" spans="1:74" s="5" customFormat="1" x14ac:dyDescent="0.2">
      <c r="A73" s="5" t="s">
        <v>137</v>
      </c>
      <c r="B73" s="5" t="s">
        <v>151</v>
      </c>
      <c r="C73" s="5">
        <v>30</v>
      </c>
      <c r="F73" s="5" t="s">
        <v>246</v>
      </c>
      <c r="G73" s="5" t="s">
        <v>249</v>
      </c>
      <c r="H73" s="5" t="s">
        <v>163</v>
      </c>
      <c r="I73" s="5" t="s">
        <v>14</v>
      </c>
      <c r="J73" s="5" t="str">
        <f t="shared" si="26"/>
        <v>RACKPDU-RACK-R3-Z3W-R2-12-A</v>
      </c>
      <c r="K73" s="5" t="str">
        <f t="shared" si="27"/>
        <v>RACKPDU-RACK-R3-Z3W-R2-12-B</v>
      </c>
      <c r="L73" s="5">
        <v>30</v>
      </c>
      <c r="M73" s="5">
        <f>VLOOKUP($H73,'Cooling-Rack'!$A$2:$G$265,5,FALSE)</f>
        <v>22.5</v>
      </c>
      <c r="N73" s="5">
        <f>VLOOKUP($H73,'Cooling-Rack'!$A$2:$G$265,7,FALSE)</f>
        <v>7.5</v>
      </c>
      <c r="O73" s="5">
        <v>36</v>
      </c>
      <c r="P73" s="103">
        <v>0.75</v>
      </c>
      <c r="Q73" s="103">
        <v>0.25</v>
      </c>
      <c r="R73" s="9" t="s">
        <v>30</v>
      </c>
      <c r="S73" s="11" t="s">
        <v>31</v>
      </c>
      <c r="T73" s="5" t="s">
        <v>70</v>
      </c>
      <c r="U73" s="25" t="s">
        <v>71</v>
      </c>
      <c r="V73" s="5" t="s">
        <v>293</v>
      </c>
      <c r="W73" s="25" t="s">
        <v>294</v>
      </c>
      <c r="X73" s="5" t="s">
        <v>80</v>
      </c>
      <c r="Y73" s="5" t="s">
        <v>76</v>
      </c>
      <c r="Z73" s="5" t="s">
        <v>77</v>
      </c>
      <c r="AA73" s="5" t="s">
        <v>74</v>
      </c>
      <c r="AB73" s="5" t="s">
        <v>75</v>
      </c>
      <c r="AC73" s="5" t="s">
        <v>78</v>
      </c>
      <c r="AD73" s="5" t="s">
        <v>79</v>
      </c>
      <c r="AE73" s="5" t="s">
        <v>385</v>
      </c>
      <c r="AF73" s="5" t="s">
        <v>384</v>
      </c>
      <c r="AG73" s="5" t="s">
        <v>392</v>
      </c>
      <c r="AH73" s="5" t="s">
        <v>395</v>
      </c>
      <c r="AL73" s="5">
        <v>0</v>
      </c>
      <c r="AM73" s="5">
        <f t="shared" si="28"/>
        <v>0</v>
      </c>
      <c r="AN73" s="5">
        <f t="shared" si="29"/>
        <v>0</v>
      </c>
      <c r="AO73" s="5">
        <v>0</v>
      </c>
      <c r="AP73" s="5">
        <f t="shared" si="30"/>
        <v>0</v>
      </c>
      <c r="AQ73" s="5">
        <f t="shared" si="31"/>
        <v>0</v>
      </c>
      <c r="BA73" s="5">
        <f t="shared" si="32"/>
        <v>30</v>
      </c>
      <c r="BB73" s="5">
        <f t="shared" si="33"/>
        <v>30</v>
      </c>
      <c r="BC73" s="5">
        <f t="shared" si="34"/>
        <v>30</v>
      </c>
      <c r="BD73" s="5">
        <f t="shared" si="35"/>
        <v>30</v>
      </c>
      <c r="BE73" s="5">
        <f t="shared" si="36"/>
        <v>30</v>
      </c>
      <c r="BF73" s="5">
        <f t="shared" si="37"/>
        <v>30</v>
      </c>
      <c r="BG73" s="103">
        <f t="shared" si="38"/>
        <v>1</v>
      </c>
      <c r="BH73" s="103">
        <f t="shared" si="39"/>
        <v>1</v>
      </c>
      <c r="BI73" s="103">
        <f t="shared" si="40"/>
        <v>1</v>
      </c>
      <c r="BJ73" s="103">
        <f t="shared" si="41"/>
        <v>1</v>
      </c>
      <c r="BK73" s="103">
        <f t="shared" si="42"/>
        <v>1</v>
      </c>
      <c r="BL73" s="103">
        <f t="shared" si="43"/>
        <v>1</v>
      </c>
      <c r="BM73" s="103"/>
      <c r="BO73" s="5" t="s">
        <v>922</v>
      </c>
      <c r="BP73" s="124">
        <f t="shared" si="44"/>
        <v>25</v>
      </c>
      <c r="BQ73" s="5">
        <f t="shared" si="45"/>
        <v>0</v>
      </c>
      <c r="BR73" s="5">
        <f t="shared" si="46"/>
        <v>0</v>
      </c>
      <c r="BS73" s="5">
        <f t="shared" si="47"/>
        <v>0</v>
      </c>
      <c r="BT73" s="5">
        <f t="shared" si="48"/>
        <v>0</v>
      </c>
      <c r="BU73" s="5">
        <f t="shared" si="49"/>
        <v>0</v>
      </c>
      <c r="BV73" s="5">
        <f t="shared" si="50"/>
        <v>0</v>
      </c>
    </row>
    <row r="74" spans="1:74" s="7" customFormat="1" x14ac:dyDescent="0.2">
      <c r="A74" s="7" t="s">
        <v>164</v>
      </c>
      <c r="B74" s="7" t="s">
        <v>165</v>
      </c>
      <c r="C74" s="7">
        <v>45</v>
      </c>
      <c r="F74" s="7" t="s">
        <v>247</v>
      </c>
      <c r="G74" s="7" t="s">
        <v>250</v>
      </c>
      <c r="H74" s="7" t="s">
        <v>166</v>
      </c>
      <c r="I74" s="7" t="s">
        <v>15</v>
      </c>
      <c r="J74" s="7" t="str">
        <f t="shared" si="26"/>
        <v>RACKPDU-RACK-R3-Z4E-R1-01-A</v>
      </c>
      <c r="K74" s="7" t="str">
        <f t="shared" si="27"/>
        <v>RACKPDU-RACK-R3-Z4E-R1-01-B</v>
      </c>
      <c r="L74" s="7">
        <v>45</v>
      </c>
      <c r="M74" s="7">
        <f>VLOOKUP($H74,'Cooling-Rack'!$A$2:$G$265,5,FALSE)</f>
        <v>38.25</v>
      </c>
      <c r="N74" s="7">
        <f>VLOOKUP($H74,'Cooling-Rack'!$A$2:$G$265,7,FALSE)</f>
        <v>6.7500000000000009</v>
      </c>
      <c r="O74" s="7">
        <v>54</v>
      </c>
      <c r="P74" s="104">
        <v>0.85</v>
      </c>
      <c r="Q74" s="104">
        <v>0.15000000000000002</v>
      </c>
      <c r="R74" s="7" t="s">
        <v>27</v>
      </c>
      <c r="S74" s="7" t="s">
        <v>29</v>
      </c>
      <c r="T74" s="7" t="s">
        <v>70</v>
      </c>
      <c r="U74" s="7" t="s">
        <v>72</v>
      </c>
      <c r="V74" s="7" t="s">
        <v>293</v>
      </c>
      <c r="W74" s="7" t="s">
        <v>294</v>
      </c>
      <c r="X74" s="7" t="s">
        <v>80</v>
      </c>
      <c r="Y74" s="7" t="s">
        <v>76</v>
      </c>
      <c r="Z74" s="7" t="s">
        <v>77</v>
      </c>
      <c r="AA74" s="7" t="s">
        <v>74</v>
      </c>
      <c r="AB74" s="7" t="s">
        <v>75</v>
      </c>
      <c r="AC74" s="7" t="s">
        <v>78</v>
      </c>
      <c r="AD74" s="7" t="s">
        <v>79</v>
      </c>
      <c r="AE74" s="7" t="s">
        <v>385</v>
      </c>
      <c r="AF74" s="7" t="s">
        <v>384</v>
      </c>
      <c r="AG74" s="7" t="s">
        <v>392</v>
      </c>
      <c r="AH74" s="7" t="s">
        <v>395</v>
      </c>
      <c r="AL74" s="7">
        <v>0</v>
      </c>
      <c r="AM74" s="7">
        <f t="shared" si="28"/>
        <v>0</v>
      </c>
      <c r="AN74" s="7">
        <f t="shared" si="29"/>
        <v>0</v>
      </c>
      <c r="AO74" s="7">
        <v>0</v>
      </c>
      <c r="AP74" s="7">
        <f t="shared" si="30"/>
        <v>0</v>
      </c>
      <c r="AQ74" s="7">
        <f t="shared" si="31"/>
        <v>0</v>
      </c>
      <c r="AS74" s="7">
        <f t="shared" ref="AS74:AS137" si="51">AR74/$L74*$M74</f>
        <v>0</v>
      </c>
      <c r="AT74" s="7">
        <f t="shared" ref="AT74" si="52">AR74/$L74*$N74</f>
        <v>0</v>
      </c>
      <c r="AU74" s="7">
        <v>30</v>
      </c>
      <c r="AV74" s="7">
        <f t="shared" ref="AV74:AV137" si="53">AU74/$L74*$M74</f>
        <v>25.5</v>
      </c>
      <c r="AW74" s="7">
        <f t="shared" ref="AW74:AW125" si="54">AU74/$L74*$N74</f>
        <v>4.5</v>
      </c>
      <c r="BA74" s="7">
        <f t="shared" si="32"/>
        <v>45</v>
      </c>
      <c r="BB74" s="7">
        <f t="shared" si="33"/>
        <v>45</v>
      </c>
      <c r="BC74" s="7">
        <f t="shared" si="34"/>
        <v>45</v>
      </c>
      <c r="BD74" s="7">
        <f t="shared" si="35"/>
        <v>45</v>
      </c>
      <c r="BE74" s="7">
        <f t="shared" si="36"/>
        <v>15</v>
      </c>
      <c r="BF74" s="7">
        <f t="shared" si="37"/>
        <v>45</v>
      </c>
      <c r="BG74" s="104">
        <f t="shared" si="38"/>
        <v>1</v>
      </c>
      <c r="BH74" s="104">
        <f t="shared" si="39"/>
        <v>1</v>
      </c>
      <c r="BI74" s="104">
        <f t="shared" si="40"/>
        <v>1</v>
      </c>
      <c r="BJ74" s="104">
        <f t="shared" si="41"/>
        <v>1</v>
      </c>
      <c r="BK74" s="104">
        <f t="shared" si="42"/>
        <v>0.33333333333333331</v>
      </c>
      <c r="BL74" s="104">
        <f t="shared" si="43"/>
        <v>1</v>
      </c>
      <c r="BM74" s="104"/>
      <c r="BO74" s="7" t="s">
        <v>923</v>
      </c>
      <c r="BP74" s="125">
        <f t="shared" si="44"/>
        <v>42.5</v>
      </c>
      <c r="BQ74" s="7">
        <f t="shared" si="45"/>
        <v>0</v>
      </c>
      <c r="BR74" s="7">
        <f t="shared" si="46"/>
        <v>0</v>
      </c>
      <c r="BS74" s="7">
        <f t="shared" si="47"/>
        <v>0</v>
      </c>
      <c r="BT74" s="7">
        <f t="shared" si="48"/>
        <v>0</v>
      </c>
      <c r="BU74" s="7">
        <f t="shared" si="49"/>
        <v>1</v>
      </c>
      <c r="BV74" s="7">
        <f t="shared" si="50"/>
        <v>0</v>
      </c>
    </row>
    <row r="75" spans="1:74" s="7" customFormat="1" x14ac:dyDescent="0.2">
      <c r="A75" s="7" t="s">
        <v>164</v>
      </c>
      <c r="B75" s="7" t="s">
        <v>165</v>
      </c>
      <c r="C75" s="7">
        <v>45</v>
      </c>
      <c r="F75" s="7" t="s">
        <v>247</v>
      </c>
      <c r="G75" s="7" t="s">
        <v>250</v>
      </c>
      <c r="H75" s="7" t="s">
        <v>167</v>
      </c>
      <c r="I75" s="7" t="s">
        <v>15</v>
      </c>
      <c r="J75" s="7" t="str">
        <f t="shared" si="26"/>
        <v>RACKPDU-RACK-R3-Z4E-R1-02-A</v>
      </c>
      <c r="K75" s="7" t="str">
        <f t="shared" si="27"/>
        <v>RACKPDU-RACK-R3-Z4E-R1-02-B</v>
      </c>
      <c r="L75" s="7">
        <v>45</v>
      </c>
      <c r="M75" s="7">
        <f>VLOOKUP($H75,'Cooling-Rack'!$A$2:$G$265,5,FALSE)</f>
        <v>38.25</v>
      </c>
      <c r="N75" s="7">
        <f>VLOOKUP($H75,'Cooling-Rack'!$A$2:$G$265,7,FALSE)</f>
        <v>6.7500000000000009</v>
      </c>
      <c r="O75" s="7">
        <v>54</v>
      </c>
      <c r="P75" s="104">
        <v>0.85</v>
      </c>
      <c r="Q75" s="104">
        <v>0.15000000000000002</v>
      </c>
      <c r="R75" s="7" t="s">
        <v>27</v>
      </c>
      <c r="S75" s="7" t="s">
        <v>29</v>
      </c>
      <c r="T75" s="7" t="s">
        <v>70</v>
      </c>
      <c r="U75" s="7" t="s">
        <v>72</v>
      </c>
      <c r="V75" s="7" t="s">
        <v>293</v>
      </c>
      <c r="W75" s="7" t="s">
        <v>294</v>
      </c>
      <c r="X75" s="7" t="s">
        <v>80</v>
      </c>
      <c r="Y75" s="7" t="s">
        <v>76</v>
      </c>
      <c r="Z75" s="7" t="s">
        <v>77</v>
      </c>
      <c r="AA75" s="7" t="s">
        <v>74</v>
      </c>
      <c r="AB75" s="7" t="s">
        <v>75</v>
      </c>
      <c r="AC75" s="7" t="s">
        <v>78</v>
      </c>
      <c r="AD75" s="7" t="s">
        <v>79</v>
      </c>
      <c r="AE75" s="7" t="s">
        <v>385</v>
      </c>
      <c r="AF75" s="7" t="s">
        <v>384</v>
      </c>
      <c r="AG75" s="7" t="s">
        <v>392</v>
      </c>
      <c r="AH75" s="7" t="s">
        <v>395</v>
      </c>
      <c r="AL75" s="7">
        <v>0</v>
      </c>
      <c r="AM75" s="7">
        <f t="shared" si="28"/>
        <v>0</v>
      </c>
      <c r="AN75" s="7">
        <f t="shared" si="29"/>
        <v>0</v>
      </c>
      <c r="AO75" s="7">
        <v>0</v>
      </c>
      <c r="AP75" s="7">
        <f t="shared" si="30"/>
        <v>0</v>
      </c>
      <c r="AQ75" s="7">
        <f t="shared" si="31"/>
        <v>0</v>
      </c>
      <c r="AS75" s="7">
        <f t="shared" si="51"/>
        <v>0</v>
      </c>
      <c r="AT75" s="7">
        <f t="shared" ref="AT75:AT138" si="55">AR75/$L75*$N75</f>
        <v>0</v>
      </c>
      <c r="AU75" s="7">
        <v>30</v>
      </c>
      <c r="AV75" s="7">
        <f t="shared" si="53"/>
        <v>25.5</v>
      </c>
      <c r="AW75" s="7">
        <f t="shared" si="54"/>
        <v>4.5</v>
      </c>
      <c r="BA75" s="7">
        <f t="shared" si="32"/>
        <v>45</v>
      </c>
      <c r="BB75" s="7">
        <f t="shared" si="33"/>
        <v>45</v>
      </c>
      <c r="BC75" s="7">
        <f t="shared" si="34"/>
        <v>45</v>
      </c>
      <c r="BD75" s="7">
        <f t="shared" si="35"/>
        <v>45</v>
      </c>
      <c r="BE75" s="7">
        <f t="shared" si="36"/>
        <v>15</v>
      </c>
      <c r="BF75" s="7">
        <f t="shared" si="37"/>
        <v>45</v>
      </c>
      <c r="BG75" s="104">
        <f t="shared" si="38"/>
        <v>1</v>
      </c>
      <c r="BH75" s="104">
        <f t="shared" si="39"/>
        <v>1</v>
      </c>
      <c r="BI75" s="104">
        <f t="shared" si="40"/>
        <v>1</v>
      </c>
      <c r="BJ75" s="104">
        <f t="shared" si="41"/>
        <v>1</v>
      </c>
      <c r="BK75" s="104">
        <f t="shared" si="42"/>
        <v>0.33333333333333331</v>
      </c>
      <c r="BL75" s="104">
        <f t="shared" si="43"/>
        <v>1</v>
      </c>
      <c r="BM75" s="104"/>
      <c r="BO75" s="7" t="s">
        <v>924</v>
      </c>
      <c r="BP75" s="125">
        <f t="shared" si="44"/>
        <v>42.5</v>
      </c>
      <c r="BQ75" s="7">
        <f t="shared" si="45"/>
        <v>0</v>
      </c>
      <c r="BR75" s="7">
        <f t="shared" si="46"/>
        <v>0</v>
      </c>
      <c r="BS75" s="7">
        <f t="shared" si="47"/>
        <v>0</v>
      </c>
      <c r="BT75" s="7">
        <f t="shared" si="48"/>
        <v>0</v>
      </c>
      <c r="BU75" s="7">
        <f t="shared" si="49"/>
        <v>1</v>
      </c>
      <c r="BV75" s="7">
        <f t="shared" si="50"/>
        <v>0</v>
      </c>
    </row>
    <row r="76" spans="1:74" s="7" customFormat="1" x14ac:dyDescent="0.2">
      <c r="A76" s="7" t="s">
        <v>164</v>
      </c>
      <c r="B76" s="7" t="s">
        <v>165</v>
      </c>
      <c r="C76" s="7">
        <v>45</v>
      </c>
      <c r="F76" s="7" t="s">
        <v>247</v>
      </c>
      <c r="G76" s="7" t="s">
        <v>250</v>
      </c>
      <c r="H76" s="7" t="s">
        <v>168</v>
      </c>
      <c r="I76" s="7" t="s">
        <v>15</v>
      </c>
      <c r="J76" s="7" t="str">
        <f t="shared" si="26"/>
        <v>RACKPDU-RACK-R3-Z4E-R1-03-A</v>
      </c>
      <c r="K76" s="7" t="str">
        <f t="shared" si="27"/>
        <v>RACKPDU-RACK-R3-Z4E-R1-03-B</v>
      </c>
      <c r="L76" s="7">
        <v>45</v>
      </c>
      <c r="M76" s="7">
        <f>VLOOKUP($H76,'Cooling-Rack'!$A$2:$G$265,5,FALSE)</f>
        <v>38.25</v>
      </c>
      <c r="N76" s="7">
        <f>VLOOKUP($H76,'Cooling-Rack'!$A$2:$G$265,7,FALSE)</f>
        <v>6.7500000000000009</v>
      </c>
      <c r="O76" s="7">
        <v>54</v>
      </c>
      <c r="P76" s="104">
        <v>0.85</v>
      </c>
      <c r="Q76" s="104">
        <v>0.15000000000000002</v>
      </c>
      <c r="R76" s="7" t="s">
        <v>27</v>
      </c>
      <c r="S76" s="7" t="s">
        <v>29</v>
      </c>
      <c r="T76" s="7" t="s">
        <v>70</v>
      </c>
      <c r="U76" s="7" t="s">
        <v>72</v>
      </c>
      <c r="V76" s="7" t="s">
        <v>293</v>
      </c>
      <c r="W76" s="7" t="s">
        <v>294</v>
      </c>
      <c r="X76" s="7" t="s">
        <v>80</v>
      </c>
      <c r="Y76" s="7" t="s">
        <v>76</v>
      </c>
      <c r="Z76" s="7" t="s">
        <v>77</v>
      </c>
      <c r="AA76" s="7" t="s">
        <v>74</v>
      </c>
      <c r="AB76" s="7" t="s">
        <v>75</v>
      </c>
      <c r="AC76" s="7" t="s">
        <v>78</v>
      </c>
      <c r="AD76" s="7" t="s">
        <v>79</v>
      </c>
      <c r="AE76" s="7" t="s">
        <v>385</v>
      </c>
      <c r="AF76" s="7" t="s">
        <v>384</v>
      </c>
      <c r="AG76" s="7" t="s">
        <v>392</v>
      </c>
      <c r="AH76" s="7" t="s">
        <v>395</v>
      </c>
      <c r="AL76" s="7">
        <v>0</v>
      </c>
      <c r="AM76" s="7">
        <f t="shared" si="28"/>
        <v>0</v>
      </c>
      <c r="AN76" s="7">
        <f t="shared" si="29"/>
        <v>0</v>
      </c>
      <c r="AO76" s="7">
        <v>0</v>
      </c>
      <c r="AP76" s="7">
        <f t="shared" si="30"/>
        <v>0</v>
      </c>
      <c r="AQ76" s="7">
        <f t="shared" si="31"/>
        <v>0</v>
      </c>
      <c r="AS76" s="7">
        <f t="shared" si="51"/>
        <v>0</v>
      </c>
      <c r="AT76" s="7">
        <f t="shared" si="55"/>
        <v>0</v>
      </c>
      <c r="AU76" s="7">
        <v>30</v>
      </c>
      <c r="AV76" s="7">
        <f t="shared" si="53"/>
        <v>25.5</v>
      </c>
      <c r="AW76" s="7">
        <f t="shared" si="54"/>
        <v>4.5</v>
      </c>
      <c r="BA76" s="7">
        <f t="shared" si="32"/>
        <v>45</v>
      </c>
      <c r="BB76" s="7">
        <f t="shared" si="33"/>
        <v>45</v>
      </c>
      <c r="BC76" s="7">
        <f t="shared" si="34"/>
        <v>45</v>
      </c>
      <c r="BD76" s="7">
        <f t="shared" si="35"/>
        <v>45</v>
      </c>
      <c r="BE76" s="7">
        <f t="shared" si="36"/>
        <v>15</v>
      </c>
      <c r="BF76" s="7">
        <f t="shared" si="37"/>
        <v>45</v>
      </c>
      <c r="BG76" s="104">
        <f t="shared" si="38"/>
        <v>1</v>
      </c>
      <c r="BH76" s="104">
        <f t="shared" si="39"/>
        <v>1</v>
      </c>
      <c r="BI76" s="104">
        <f t="shared" si="40"/>
        <v>1</v>
      </c>
      <c r="BJ76" s="104">
        <f t="shared" si="41"/>
        <v>1</v>
      </c>
      <c r="BK76" s="104">
        <f t="shared" si="42"/>
        <v>0.33333333333333331</v>
      </c>
      <c r="BL76" s="104">
        <f t="shared" si="43"/>
        <v>1</v>
      </c>
      <c r="BM76" s="104"/>
      <c r="BO76" s="7" t="s">
        <v>925</v>
      </c>
      <c r="BP76" s="125">
        <f t="shared" si="44"/>
        <v>42.5</v>
      </c>
      <c r="BQ76" s="7">
        <f t="shared" si="45"/>
        <v>0</v>
      </c>
      <c r="BR76" s="7">
        <f t="shared" si="46"/>
        <v>0</v>
      </c>
      <c r="BS76" s="7">
        <f t="shared" si="47"/>
        <v>0</v>
      </c>
      <c r="BT76" s="7">
        <f t="shared" si="48"/>
        <v>0</v>
      </c>
      <c r="BU76" s="7">
        <f t="shared" si="49"/>
        <v>1</v>
      </c>
      <c r="BV76" s="7">
        <f t="shared" si="50"/>
        <v>0</v>
      </c>
    </row>
    <row r="77" spans="1:74" s="7" customFormat="1" x14ac:dyDescent="0.2">
      <c r="A77" s="7" t="s">
        <v>164</v>
      </c>
      <c r="B77" s="7" t="s">
        <v>165</v>
      </c>
      <c r="C77" s="7">
        <v>45</v>
      </c>
      <c r="F77" s="7" t="s">
        <v>247</v>
      </c>
      <c r="G77" s="7" t="s">
        <v>250</v>
      </c>
      <c r="H77" s="7" t="s">
        <v>169</v>
      </c>
      <c r="I77" s="7" t="s">
        <v>15</v>
      </c>
      <c r="J77" s="7" t="str">
        <f t="shared" si="26"/>
        <v>RACKPDU-RACK-R3-Z4E-R1-04-A</v>
      </c>
      <c r="K77" s="7" t="str">
        <f t="shared" si="27"/>
        <v>RACKPDU-RACK-R3-Z4E-R1-04-B</v>
      </c>
      <c r="L77" s="7">
        <v>45</v>
      </c>
      <c r="M77" s="7">
        <f>VLOOKUP($H77,'Cooling-Rack'!$A$2:$G$265,5,FALSE)</f>
        <v>38.25</v>
      </c>
      <c r="N77" s="7">
        <f>VLOOKUP($H77,'Cooling-Rack'!$A$2:$G$265,7,FALSE)</f>
        <v>6.7500000000000009</v>
      </c>
      <c r="O77" s="7">
        <v>54</v>
      </c>
      <c r="P77" s="104">
        <v>0.85</v>
      </c>
      <c r="Q77" s="104">
        <v>0.15000000000000002</v>
      </c>
      <c r="R77" s="7" t="s">
        <v>27</v>
      </c>
      <c r="S77" s="7" t="s">
        <v>29</v>
      </c>
      <c r="T77" s="7" t="s">
        <v>70</v>
      </c>
      <c r="U77" s="7" t="s">
        <v>72</v>
      </c>
      <c r="V77" s="7" t="s">
        <v>293</v>
      </c>
      <c r="W77" s="7" t="s">
        <v>294</v>
      </c>
      <c r="X77" s="7" t="s">
        <v>80</v>
      </c>
      <c r="Y77" s="7" t="s">
        <v>76</v>
      </c>
      <c r="Z77" s="7" t="s">
        <v>77</v>
      </c>
      <c r="AA77" s="7" t="s">
        <v>74</v>
      </c>
      <c r="AB77" s="7" t="s">
        <v>75</v>
      </c>
      <c r="AC77" s="7" t="s">
        <v>78</v>
      </c>
      <c r="AD77" s="7" t="s">
        <v>79</v>
      </c>
      <c r="AE77" s="7" t="s">
        <v>385</v>
      </c>
      <c r="AF77" s="7" t="s">
        <v>384</v>
      </c>
      <c r="AG77" s="7" t="s">
        <v>392</v>
      </c>
      <c r="AH77" s="7" t="s">
        <v>395</v>
      </c>
      <c r="AL77" s="7">
        <v>0</v>
      </c>
      <c r="AM77" s="7">
        <f t="shared" si="28"/>
        <v>0</v>
      </c>
      <c r="AN77" s="7">
        <f t="shared" si="29"/>
        <v>0</v>
      </c>
      <c r="AO77" s="7">
        <v>0</v>
      </c>
      <c r="AP77" s="7">
        <f t="shared" si="30"/>
        <v>0</v>
      </c>
      <c r="AQ77" s="7">
        <f t="shared" si="31"/>
        <v>0</v>
      </c>
      <c r="AS77" s="7">
        <f t="shared" si="51"/>
        <v>0</v>
      </c>
      <c r="AT77" s="7">
        <f t="shared" si="55"/>
        <v>0</v>
      </c>
      <c r="AU77" s="7">
        <v>30</v>
      </c>
      <c r="AV77" s="7">
        <f t="shared" si="53"/>
        <v>25.5</v>
      </c>
      <c r="AW77" s="7">
        <f t="shared" si="54"/>
        <v>4.5</v>
      </c>
      <c r="BA77" s="7">
        <f t="shared" si="32"/>
        <v>45</v>
      </c>
      <c r="BB77" s="7">
        <f t="shared" si="33"/>
        <v>45</v>
      </c>
      <c r="BC77" s="7">
        <f t="shared" si="34"/>
        <v>45</v>
      </c>
      <c r="BD77" s="7">
        <f t="shared" si="35"/>
        <v>45</v>
      </c>
      <c r="BE77" s="7">
        <f t="shared" si="36"/>
        <v>15</v>
      </c>
      <c r="BF77" s="7">
        <f t="shared" si="37"/>
        <v>45</v>
      </c>
      <c r="BG77" s="104">
        <f t="shared" si="38"/>
        <v>1</v>
      </c>
      <c r="BH77" s="104">
        <f t="shared" si="39"/>
        <v>1</v>
      </c>
      <c r="BI77" s="104">
        <f t="shared" si="40"/>
        <v>1</v>
      </c>
      <c r="BJ77" s="104">
        <f t="shared" si="41"/>
        <v>1</v>
      </c>
      <c r="BK77" s="104">
        <f t="shared" si="42"/>
        <v>0.33333333333333331</v>
      </c>
      <c r="BL77" s="104">
        <f t="shared" si="43"/>
        <v>1</v>
      </c>
      <c r="BM77" s="104"/>
      <c r="BO77" s="7" t="s">
        <v>926</v>
      </c>
      <c r="BP77" s="125">
        <f t="shared" si="44"/>
        <v>42.5</v>
      </c>
      <c r="BQ77" s="7">
        <f t="shared" si="45"/>
        <v>0</v>
      </c>
      <c r="BR77" s="7">
        <f t="shared" si="46"/>
        <v>0</v>
      </c>
      <c r="BS77" s="7">
        <f t="shared" si="47"/>
        <v>0</v>
      </c>
      <c r="BT77" s="7">
        <f t="shared" si="48"/>
        <v>0</v>
      </c>
      <c r="BU77" s="7">
        <f t="shared" si="49"/>
        <v>1</v>
      </c>
      <c r="BV77" s="7">
        <f t="shared" si="50"/>
        <v>0</v>
      </c>
    </row>
    <row r="78" spans="1:74" s="7" customFormat="1" x14ac:dyDescent="0.2">
      <c r="A78" s="7" t="s">
        <v>164</v>
      </c>
      <c r="B78" s="7" t="s">
        <v>165</v>
      </c>
      <c r="C78" s="7">
        <v>45</v>
      </c>
      <c r="F78" s="7" t="s">
        <v>247</v>
      </c>
      <c r="G78" s="7" t="s">
        <v>250</v>
      </c>
      <c r="H78" s="7" t="s">
        <v>170</v>
      </c>
      <c r="I78" s="7" t="s">
        <v>15</v>
      </c>
      <c r="J78" s="7" t="str">
        <f t="shared" si="26"/>
        <v>RACKPDU-RACK-R3-Z4E-R1-05-A</v>
      </c>
      <c r="K78" s="7" t="str">
        <f t="shared" si="27"/>
        <v>RACKPDU-RACK-R3-Z4E-R1-05-B</v>
      </c>
      <c r="L78" s="7">
        <v>45</v>
      </c>
      <c r="M78" s="7">
        <f>VLOOKUP($H78,'Cooling-Rack'!$A$2:$G$265,5,FALSE)</f>
        <v>38.25</v>
      </c>
      <c r="N78" s="7">
        <f>VLOOKUP($H78,'Cooling-Rack'!$A$2:$G$265,7,FALSE)</f>
        <v>6.7500000000000009</v>
      </c>
      <c r="O78" s="7">
        <v>54</v>
      </c>
      <c r="P78" s="104">
        <v>0.85</v>
      </c>
      <c r="Q78" s="104">
        <v>0.15000000000000002</v>
      </c>
      <c r="R78" s="13" t="s">
        <v>32</v>
      </c>
      <c r="S78" s="7" t="s">
        <v>29</v>
      </c>
      <c r="T78" s="7" t="s">
        <v>70</v>
      </c>
      <c r="U78" s="7" t="s">
        <v>72</v>
      </c>
      <c r="V78" s="7" t="s">
        <v>293</v>
      </c>
      <c r="W78" s="7" t="s">
        <v>294</v>
      </c>
      <c r="X78" s="7" t="s">
        <v>80</v>
      </c>
      <c r="Y78" s="7" t="s">
        <v>76</v>
      </c>
      <c r="Z78" s="7" t="s">
        <v>77</v>
      </c>
      <c r="AA78" s="7" t="s">
        <v>74</v>
      </c>
      <c r="AB78" s="7" t="s">
        <v>75</v>
      </c>
      <c r="AC78" s="7" t="s">
        <v>78</v>
      </c>
      <c r="AD78" s="7" t="s">
        <v>79</v>
      </c>
      <c r="AE78" s="7" t="s">
        <v>385</v>
      </c>
      <c r="AF78" s="7" t="s">
        <v>384</v>
      </c>
      <c r="AG78" s="7" t="s">
        <v>392</v>
      </c>
      <c r="AH78" s="7" t="s">
        <v>395</v>
      </c>
      <c r="AL78" s="7">
        <v>0</v>
      </c>
      <c r="AM78" s="7">
        <f t="shared" si="28"/>
        <v>0</v>
      </c>
      <c r="AN78" s="7">
        <f t="shared" si="29"/>
        <v>0</v>
      </c>
      <c r="AO78" s="7">
        <v>0</v>
      </c>
      <c r="AP78" s="7">
        <f t="shared" si="30"/>
        <v>0</v>
      </c>
      <c r="AQ78" s="7">
        <f t="shared" si="31"/>
        <v>0</v>
      </c>
      <c r="AR78" s="7">
        <v>30</v>
      </c>
      <c r="AS78" s="7">
        <f t="shared" si="51"/>
        <v>25.5</v>
      </c>
      <c r="AT78" s="7">
        <f t="shared" si="55"/>
        <v>4.5</v>
      </c>
      <c r="AU78" s="7">
        <v>30</v>
      </c>
      <c r="AV78" s="7">
        <f t="shared" si="53"/>
        <v>25.5</v>
      </c>
      <c r="AW78" s="7">
        <f t="shared" si="54"/>
        <v>4.5</v>
      </c>
      <c r="BA78" s="7">
        <f t="shared" si="32"/>
        <v>45</v>
      </c>
      <c r="BB78" s="7">
        <f t="shared" si="33"/>
        <v>45</v>
      </c>
      <c r="BC78" s="7">
        <f t="shared" si="34"/>
        <v>45</v>
      </c>
      <c r="BD78" s="7">
        <f t="shared" si="35"/>
        <v>15</v>
      </c>
      <c r="BE78" s="7">
        <f t="shared" si="36"/>
        <v>15</v>
      </c>
      <c r="BF78" s="7">
        <f t="shared" si="37"/>
        <v>45</v>
      </c>
      <c r="BG78" s="104">
        <f t="shared" si="38"/>
        <v>1</v>
      </c>
      <c r="BH78" s="104">
        <f t="shared" si="39"/>
        <v>1</v>
      </c>
      <c r="BI78" s="104">
        <f t="shared" si="40"/>
        <v>1</v>
      </c>
      <c r="BJ78" s="104">
        <f t="shared" si="41"/>
        <v>0.33333333333333331</v>
      </c>
      <c r="BK78" s="104">
        <f t="shared" si="42"/>
        <v>0.33333333333333331</v>
      </c>
      <c r="BL78" s="104">
        <f t="shared" si="43"/>
        <v>1</v>
      </c>
      <c r="BM78" s="104"/>
      <c r="BO78" s="7" t="s">
        <v>927</v>
      </c>
      <c r="BP78" s="125">
        <f t="shared" si="44"/>
        <v>42.5</v>
      </c>
      <c r="BQ78" s="7">
        <f t="shared" si="45"/>
        <v>0</v>
      </c>
      <c r="BR78" s="7">
        <f t="shared" si="46"/>
        <v>0</v>
      </c>
      <c r="BS78" s="7">
        <f t="shared" si="47"/>
        <v>0</v>
      </c>
      <c r="BT78" s="7">
        <f t="shared" si="48"/>
        <v>1</v>
      </c>
      <c r="BU78" s="7">
        <f t="shared" si="49"/>
        <v>1</v>
      </c>
      <c r="BV78" s="7">
        <f t="shared" si="50"/>
        <v>0</v>
      </c>
    </row>
    <row r="79" spans="1:74" s="7" customFormat="1" x14ac:dyDescent="0.2">
      <c r="A79" s="7" t="s">
        <v>164</v>
      </c>
      <c r="B79" s="7" t="s">
        <v>165</v>
      </c>
      <c r="C79" s="7">
        <v>45</v>
      </c>
      <c r="F79" s="7" t="s">
        <v>247</v>
      </c>
      <c r="G79" s="7" t="s">
        <v>250</v>
      </c>
      <c r="H79" s="7" t="s">
        <v>171</v>
      </c>
      <c r="I79" s="7" t="s">
        <v>15</v>
      </c>
      <c r="J79" s="7" t="str">
        <f t="shared" si="26"/>
        <v>RACKPDU-RACK-R3-Z4E-R1-06-A</v>
      </c>
      <c r="K79" s="7" t="str">
        <f t="shared" si="27"/>
        <v>RACKPDU-RACK-R3-Z4E-R1-06-B</v>
      </c>
      <c r="L79" s="7">
        <v>45</v>
      </c>
      <c r="M79" s="7">
        <f>VLOOKUP($H79,'Cooling-Rack'!$A$2:$G$265,5,FALSE)</f>
        <v>38.25</v>
      </c>
      <c r="N79" s="7">
        <f>VLOOKUP($H79,'Cooling-Rack'!$A$2:$G$265,7,FALSE)</f>
        <v>6.7500000000000009</v>
      </c>
      <c r="O79" s="7">
        <v>54</v>
      </c>
      <c r="P79" s="104">
        <v>0.85</v>
      </c>
      <c r="Q79" s="104">
        <v>0.15000000000000002</v>
      </c>
      <c r="R79" s="13" t="s">
        <v>32</v>
      </c>
      <c r="S79" s="7" t="s">
        <v>29</v>
      </c>
      <c r="T79" s="7" t="s">
        <v>70</v>
      </c>
      <c r="U79" s="7" t="s">
        <v>72</v>
      </c>
      <c r="V79" s="7" t="s">
        <v>293</v>
      </c>
      <c r="W79" s="7" t="s">
        <v>294</v>
      </c>
      <c r="X79" s="7" t="s">
        <v>80</v>
      </c>
      <c r="Y79" s="7" t="s">
        <v>76</v>
      </c>
      <c r="Z79" s="7" t="s">
        <v>77</v>
      </c>
      <c r="AA79" s="7" t="s">
        <v>74</v>
      </c>
      <c r="AB79" s="7" t="s">
        <v>75</v>
      </c>
      <c r="AC79" s="7" t="s">
        <v>78</v>
      </c>
      <c r="AD79" s="7" t="s">
        <v>79</v>
      </c>
      <c r="AE79" s="7" t="s">
        <v>385</v>
      </c>
      <c r="AF79" s="7" t="s">
        <v>384</v>
      </c>
      <c r="AG79" s="7" t="s">
        <v>392</v>
      </c>
      <c r="AH79" s="7" t="s">
        <v>395</v>
      </c>
      <c r="AL79" s="7">
        <v>0</v>
      </c>
      <c r="AM79" s="7">
        <f t="shared" si="28"/>
        <v>0</v>
      </c>
      <c r="AN79" s="7">
        <f t="shared" si="29"/>
        <v>0</v>
      </c>
      <c r="AO79" s="7">
        <v>0</v>
      </c>
      <c r="AP79" s="7">
        <f t="shared" si="30"/>
        <v>0</v>
      </c>
      <c r="AQ79" s="7">
        <f t="shared" si="31"/>
        <v>0</v>
      </c>
      <c r="AR79" s="7">
        <v>30</v>
      </c>
      <c r="AS79" s="7">
        <f t="shared" si="51"/>
        <v>25.5</v>
      </c>
      <c r="AT79" s="7">
        <f t="shared" si="55"/>
        <v>4.5</v>
      </c>
      <c r="AU79" s="7">
        <v>30</v>
      </c>
      <c r="AV79" s="7">
        <f t="shared" si="53"/>
        <v>25.5</v>
      </c>
      <c r="AW79" s="7">
        <f t="shared" si="54"/>
        <v>4.5</v>
      </c>
      <c r="BA79" s="7">
        <f t="shared" si="32"/>
        <v>45</v>
      </c>
      <c r="BB79" s="7">
        <f t="shared" si="33"/>
        <v>45</v>
      </c>
      <c r="BC79" s="7">
        <f t="shared" si="34"/>
        <v>45</v>
      </c>
      <c r="BD79" s="7">
        <f t="shared" si="35"/>
        <v>15</v>
      </c>
      <c r="BE79" s="7">
        <f t="shared" si="36"/>
        <v>15</v>
      </c>
      <c r="BF79" s="7">
        <f t="shared" si="37"/>
        <v>45</v>
      </c>
      <c r="BG79" s="104">
        <f t="shared" si="38"/>
        <v>1</v>
      </c>
      <c r="BH79" s="104">
        <f t="shared" si="39"/>
        <v>1</v>
      </c>
      <c r="BI79" s="104">
        <f t="shared" si="40"/>
        <v>1</v>
      </c>
      <c r="BJ79" s="104">
        <f t="shared" si="41"/>
        <v>0.33333333333333331</v>
      </c>
      <c r="BK79" s="104">
        <f t="shared" si="42"/>
        <v>0.33333333333333331</v>
      </c>
      <c r="BL79" s="104">
        <f t="shared" si="43"/>
        <v>1</v>
      </c>
      <c r="BM79" s="104"/>
      <c r="BO79" s="7" t="s">
        <v>928</v>
      </c>
      <c r="BP79" s="125">
        <f t="shared" si="44"/>
        <v>42.5</v>
      </c>
      <c r="BQ79" s="7">
        <f t="shared" si="45"/>
        <v>0</v>
      </c>
      <c r="BR79" s="7">
        <f t="shared" si="46"/>
        <v>0</v>
      </c>
      <c r="BS79" s="7">
        <f t="shared" si="47"/>
        <v>0</v>
      </c>
      <c r="BT79" s="7">
        <f t="shared" si="48"/>
        <v>1</v>
      </c>
      <c r="BU79" s="7">
        <f t="shared" si="49"/>
        <v>1</v>
      </c>
      <c r="BV79" s="7">
        <f t="shared" si="50"/>
        <v>0</v>
      </c>
    </row>
    <row r="80" spans="1:74" s="7" customFormat="1" x14ac:dyDescent="0.2">
      <c r="A80" s="7" t="s">
        <v>164</v>
      </c>
      <c r="B80" s="7" t="s">
        <v>165</v>
      </c>
      <c r="C80" s="7">
        <v>45</v>
      </c>
      <c r="F80" s="7" t="s">
        <v>247</v>
      </c>
      <c r="G80" s="7" t="s">
        <v>250</v>
      </c>
      <c r="H80" s="7" t="s">
        <v>172</v>
      </c>
      <c r="I80" s="7" t="s">
        <v>15</v>
      </c>
      <c r="J80" s="7" t="str">
        <f t="shared" si="26"/>
        <v>RACKPDU-RACK-R3-Z4E-R1-07-A</v>
      </c>
      <c r="K80" s="7" t="str">
        <f t="shared" si="27"/>
        <v>RACKPDU-RACK-R3-Z4E-R1-07-B</v>
      </c>
      <c r="L80" s="7">
        <v>45</v>
      </c>
      <c r="M80" s="7">
        <f>VLOOKUP($H80,'Cooling-Rack'!$A$2:$G$265,5,FALSE)</f>
        <v>38.25</v>
      </c>
      <c r="N80" s="7">
        <f>VLOOKUP($H80,'Cooling-Rack'!$A$2:$G$265,7,FALSE)</f>
        <v>6.7500000000000009</v>
      </c>
      <c r="O80" s="7">
        <v>54</v>
      </c>
      <c r="P80" s="104">
        <v>0.85</v>
      </c>
      <c r="Q80" s="104">
        <v>0.15000000000000002</v>
      </c>
      <c r="R80" s="13" t="s">
        <v>32</v>
      </c>
      <c r="S80" s="15" t="s">
        <v>34</v>
      </c>
      <c r="T80" s="7" t="s">
        <v>70</v>
      </c>
      <c r="U80" s="7" t="s">
        <v>72</v>
      </c>
      <c r="V80" s="7" t="s">
        <v>293</v>
      </c>
      <c r="W80" s="7" t="s">
        <v>294</v>
      </c>
      <c r="X80" s="7" t="s">
        <v>80</v>
      </c>
      <c r="Y80" s="7" t="s">
        <v>76</v>
      </c>
      <c r="Z80" s="7" t="s">
        <v>77</v>
      </c>
      <c r="AA80" s="7" t="s">
        <v>74</v>
      </c>
      <c r="AB80" s="7" t="s">
        <v>75</v>
      </c>
      <c r="AC80" s="7" t="s">
        <v>78</v>
      </c>
      <c r="AD80" s="7" t="s">
        <v>79</v>
      </c>
      <c r="AE80" s="7" t="s">
        <v>385</v>
      </c>
      <c r="AF80" s="7" t="s">
        <v>384</v>
      </c>
      <c r="AG80" s="7" t="s">
        <v>392</v>
      </c>
      <c r="AH80" s="7" t="s">
        <v>395</v>
      </c>
      <c r="AL80" s="7">
        <v>0</v>
      </c>
      <c r="AM80" s="7">
        <f t="shared" si="28"/>
        <v>0</v>
      </c>
      <c r="AN80" s="7">
        <f t="shared" si="29"/>
        <v>0</v>
      </c>
      <c r="AO80" s="7">
        <v>0</v>
      </c>
      <c r="AP80" s="7">
        <f t="shared" si="30"/>
        <v>0</v>
      </c>
      <c r="AQ80" s="7">
        <f t="shared" si="31"/>
        <v>0</v>
      </c>
      <c r="AR80" s="7">
        <v>30</v>
      </c>
      <c r="AS80" s="7">
        <f t="shared" si="51"/>
        <v>25.5</v>
      </c>
      <c r="AT80" s="7">
        <f t="shared" si="55"/>
        <v>4.5</v>
      </c>
      <c r="AU80" s="7">
        <v>30</v>
      </c>
      <c r="AV80" s="7">
        <f t="shared" si="53"/>
        <v>25.5</v>
      </c>
      <c r="AW80" s="7">
        <f t="shared" si="54"/>
        <v>4.5</v>
      </c>
      <c r="BA80" s="7">
        <f t="shared" si="32"/>
        <v>45</v>
      </c>
      <c r="BB80" s="7">
        <f t="shared" si="33"/>
        <v>45</v>
      </c>
      <c r="BC80" s="7">
        <f t="shared" si="34"/>
        <v>45</v>
      </c>
      <c r="BD80" s="7">
        <f t="shared" si="35"/>
        <v>15</v>
      </c>
      <c r="BE80" s="7">
        <f t="shared" si="36"/>
        <v>15</v>
      </c>
      <c r="BF80" s="7">
        <f t="shared" si="37"/>
        <v>45</v>
      </c>
      <c r="BG80" s="104">
        <f t="shared" si="38"/>
        <v>1</v>
      </c>
      <c r="BH80" s="104">
        <f t="shared" si="39"/>
        <v>1</v>
      </c>
      <c r="BI80" s="104">
        <f t="shared" si="40"/>
        <v>1</v>
      </c>
      <c r="BJ80" s="104">
        <f t="shared" si="41"/>
        <v>0.33333333333333331</v>
      </c>
      <c r="BK80" s="104">
        <f t="shared" si="42"/>
        <v>0.33333333333333331</v>
      </c>
      <c r="BL80" s="104">
        <f t="shared" si="43"/>
        <v>1</v>
      </c>
      <c r="BM80" s="104"/>
      <c r="BO80" s="7" t="s">
        <v>929</v>
      </c>
      <c r="BP80" s="125">
        <f t="shared" si="44"/>
        <v>42.5</v>
      </c>
      <c r="BQ80" s="7">
        <f t="shared" si="45"/>
        <v>0</v>
      </c>
      <c r="BR80" s="7">
        <f t="shared" si="46"/>
        <v>0</v>
      </c>
      <c r="BS80" s="7">
        <f t="shared" si="47"/>
        <v>0</v>
      </c>
      <c r="BT80" s="7">
        <f t="shared" si="48"/>
        <v>1</v>
      </c>
      <c r="BU80" s="7">
        <f t="shared" si="49"/>
        <v>1</v>
      </c>
      <c r="BV80" s="7">
        <f t="shared" si="50"/>
        <v>0</v>
      </c>
    </row>
    <row r="81" spans="1:74" s="7" customFormat="1" x14ac:dyDescent="0.2">
      <c r="A81" s="7" t="s">
        <v>164</v>
      </c>
      <c r="B81" s="7" t="s">
        <v>165</v>
      </c>
      <c r="C81" s="7">
        <v>45</v>
      </c>
      <c r="F81" s="7" t="s">
        <v>247</v>
      </c>
      <c r="G81" s="7" t="s">
        <v>250</v>
      </c>
      <c r="H81" s="7" t="s">
        <v>173</v>
      </c>
      <c r="I81" s="7" t="s">
        <v>15</v>
      </c>
      <c r="J81" s="7" t="str">
        <f t="shared" si="26"/>
        <v>RACKPDU-RACK-R3-Z4E-R1-08-A</v>
      </c>
      <c r="K81" s="7" t="str">
        <f t="shared" si="27"/>
        <v>RACKPDU-RACK-R3-Z4E-R1-08-B</v>
      </c>
      <c r="L81" s="7">
        <v>45</v>
      </c>
      <c r="M81" s="7">
        <f>VLOOKUP($H81,'Cooling-Rack'!$A$2:$G$265,5,FALSE)</f>
        <v>38.25</v>
      </c>
      <c r="N81" s="7">
        <f>VLOOKUP($H81,'Cooling-Rack'!$A$2:$G$265,7,FALSE)</f>
        <v>6.7500000000000009</v>
      </c>
      <c r="O81" s="7">
        <v>54</v>
      </c>
      <c r="P81" s="104">
        <v>0.85</v>
      </c>
      <c r="Q81" s="104">
        <v>0.15000000000000002</v>
      </c>
      <c r="R81" s="13" t="s">
        <v>32</v>
      </c>
      <c r="S81" s="15" t="s">
        <v>34</v>
      </c>
      <c r="T81" s="7" t="s">
        <v>70</v>
      </c>
      <c r="U81" s="7" t="s">
        <v>72</v>
      </c>
      <c r="V81" s="7" t="s">
        <v>293</v>
      </c>
      <c r="W81" s="7" t="s">
        <v>294</v>
      </c>
      <c r="X81" s="7" t="s">
        <v>80</v>
      </c>
      <c r="Y81" s="7" t="s">
        <v>76</v>
      </c>
      <c r="Z81" s="7" t="s">
        <v>77</v>
      </c>
      <c r="AA81" s="7" t="s">
        <v>74</v>
      </c>
      <c r="AB81" s="7" t="s">
        <v>75</v>
      </c>
      <c r="AC81" s="7" t="s">
        <v>78</v>
      </c>
      <c r="AD81" s="7" t="s">
        <v>79</v>
      </c>
      <c r="AE81" s="7" t="s">
        <v>385</v>
      </c>
      <c r="AF81" s="7" t="s">
        <v>384</v>
      </c>
      <c r="AG81" s="7" t="s">
        <v>392</v>
      </c>
      <c r="AH81" s="7" t="s">
        <v>395</v>
      </c>
      <c r="AL81" s="7">
        <v>0</v>
      </c>
      <c r="AM81" s="7">
        <f t="shared" si="28"/>
        <v>0</v>
      </c>
      <c r="AN81" s="7">
        <f t="shared" si="29"/>
        <v>0</v>
      </c>
      <c r="AO81" s="7">
        <v>0</v>
      </c>
      <c r="AP81" s="7">
        <f t="shared" si="30"/>
        <v>0</v>
      </c>
      <c r="AQ81" s="7">
        <f t="shared" si="31"/>
        <v>0</v>
      </c>
      <c r="AR81" s="7">
        <v>30</v>
      </c>
      <c r="AS81" s="7">
        <f t="shared" si="51"/>
        <v>25.5</v>
      </c>
      <c r="AT81" s="7">
        <f t="shared" si="55"/>
        <v>4.5</v>
      </c>
      <c r="AU81" s="7">
        <v>30</v>
      </c>
      <c r="AV81" s="7">
        <f t="shared" si="53"/>
        <v>25.5</v>
      </c>
      <c r="AW81" s="7">
        <f t="shared" si="54"/>
        <v>4.5</v>
      </c>
      <c r="BA81" s="7">
        <f t="shared" si="32"/>
        <v>45</v>
      </c>
      <c r="BB81" s="7">
        <f t="shared" si="33"/>
        <v>45</v>
      </c>
      <c r="BC81" s="7">
        <f t="shared" si="34"/>
        <v>45</v>
      </c>
      <c r="BD81" s="7">
        <f t="shared" si="35"/>
        <v>15</v>
      </c>
      <c r="BE81" s="7">
        <f t="shared" si="36"/>
        <v>15</v>
      </c>
      <c r="BF81" s="7">
        <f t="shared" si="37"/>
        <v>45</v>
      </c>
      <c r="BG81" s="104">
        <f t="shared" si="38"/>
        <v>1</v>
      </c>
      <c r="BH81" s="104">
        <f t="shared" si="39"/>
        <v>1</v>
      </c>
      <c r="BI81" s="104">
        <f t="shared" si="40"/>
        <v>1</v>
      </c>
      <c r="BJ81" s="104">
        <f t="shared" si="41"/>
        <v>0.33333333333333331</v>
      </c>
      <c r="BK81" s="104">
        <f t="shared" si="42"/>
        <v>0.33333333333333331</v>
      </c>
      <c r="BL81" s="104">
        <f t="shared" si="43"/>
        <v>1</v>
      </c>
      <c r="BM81" s="104"/>
      <c r="BO81" s="7" t="s">
        <v>930</v>
      </c>
      <c r="BP81" s="125">
        <f t="shared" si="44"/>
        <v>42.5</v>
      </c>
      <c r="BQ81" s="7">
        <f t="shared" si="45"/>
        <v>0</v>
      </c>
      <c r="BR81" s="7">
        <f t="shared" si="46"/>
        <v>0</v>
      </c>
      <c r="BS81" s="7">
        <f t="shared" si="47"/>
        <v>0</v>
      </c>
      <c r="BT81" s="7">
        <f t="shared" si="48"/>
        <v>1</v>
      </c>
      <c r="BU81" s="7">
        <f t="shared" si="49"/>
        <v>1</v>
      </c>
      <c r="BV81" s="7">
        <f t="shared" si="50"/>
        <v>0</v>
      </c>
    </row>
    <row r="82" spans="1:74" s="7" customFormat="1" x14ac:dyDescent="0.2">
      <c r="A82" s="7" t="s">
        <v>164</v>
      </c>
      <c r="B82" s="7" t="s">
        <v>165</v>
      </c>
      <c r="C82" s="7">
        <v>45</v>
      </c>
      <c r="F82" s="7" t="s">
        <v>247</v>
      </c>
      <c r="G82" s="7" t="s">
        <v>250</v>
      </c>
      <c r="H82" s="7" t="s">
        <v>174</v>
      </c>
      <c r="I82" s="7" t="s">
        <v>15</v>
      </c>
      <c r="J82" s="7" t="str">
        <f t="shared" si="26"/>
        <v>RACKPDU-RACK-R3-Z4E-R1-09-A</v>
      </c>
      <c r="K82" s="7" t="str">
        <f t="shared" si="27"/>
        <v>RACKPDU-RACK-R3-Z4E-R1-09-B</v>
      </c>
      <c r="L82" s="7">
        <v>45</v>
      </c>
      <c r="M82" s="7">
        <f>VLOOKUP($H82,'Cooling-Rack'!$A$2:$G$265,5,FALSE)</f>
        <v>38.25</v>
      </c>
      <c r="N82" s="7">
        <f>VLOOKUP($H82,'Cooling-Rack'!$A$2:$G$265,7,FALSE)</f>
        <v>6.7500000000000009</v>
      </c>
      <c r="O82" s="7">
        <v>54</v>
      </c>
      <c r="P82" s="104">
        <v>0.85</v>
      </c>
      <c r="Q82" s="104">
        <v>0.15000000000000002</v>
      </c>
      <c r="R82" s="13" t="s">
        <v>32</v>
      </c>
      <c r="S82" s="15" t="s">
        <v>34</v>
      </c>
      <c r="T82" s="7" t="s">
        <v>70</v>
      </c>
      <c r="U82" s="7" t="s">
        <v>72</v>
      </c>
      <c r="V82" s="7" t="s">
        <v>293</v>
      </c>
      <c r="W82" s="7" t="s">
        <v>294</v>
      </c>
      <c r="X82" s="7" t="s">
        <v>80</v>
      </c>
      <c r="Y82" s="7" t="s">
        <v>76</v>
      </c>
      <c r="Z82" s="7" t="s">
        <v>77</v>
      </c>
      <c r="AA82" s="7" t="s">
        <v>74</v>
      </c>
      <c r="AB82" s="7" t="s">
        <v>75</v>
      </c>
      <c r="AC82" s="7" t="s">
        <v>78</v>
      </c>
      <c r="AD82" s="7" t="s">
        <v>79</v>
      </c>
      <c r="AE82" s="7" t="s">
        <v>385</v>
      </c>
      <c r="AF82" s="7" t="s">
        <v>384</v>
      </c>
      <c r="AG82" s="7" t="s">
        <v>392</v>
      </c>
      <c r="AH82" s="7" t="s">
        <v>395</v>
      </c>
      <c r="AL82" s="7">
        <v>0</v>
      </c>
      <c r="AM82" s="7">
        <f t="shared" si="28"/>
        <v>0</v>
      </c>
      <c r="AN82" s="7">
        <f t="shared" si="29"/>
        <v>0</v>
      </c>
      <c r="AO82" s="7">
        <v>0</v>
      </c>
      <c r="AP82" s="7">
        <f t="shared" si="30"/>
        <v>0</v>
      </c>
      <c r="AQ82" s="7">
        <f t="shared" si="31"/>
        <v>0</v>
      </c>
      <c r="AR82" s="7">
        <v>30</v>
      </c>
      <c r="AS82" s="7">
        <f t="shared" si="51"/>
        <v>25.5</v>
      </c>
      <c r="AT82" s="7">
        <f t="shared" si="55"/>
        <v>4.5</v>
      </c>
      <c r="AU82" s="7">
        <v>30</v>
      </c>
      <c r="AV82" s="7">
        <f t="shared" si="53"/>
        <v>25.5</v>
      </c>
      <c r="AW82" s="7">
        <f t="shared" si="54"/>
        <v>4.5</v>
      </c>
      <c r="BA82" s="7">
        <f t="shared" si="32"/>
        <v>45</v>
      </c>
      <c r="BB82" s="7">
        <f t="shared" si="33"/>
        <v>45</v>
      </c>
      <c r="BC82" s="7">
        <f t="shared" si="34"/>
        <v>45</v>
      </c>
      <c r="BD82" s="7">
        <f t="shared" si="35"/>
        <v>15</v>
      </c>
      <c r="BE82" s="7">
        <f t="shared" si="36"/>
        <v>15</v>
      </c>
      <c r="BF82" s="7">
        <f t="shared" si="37"/>
        <v>45</v>
      </c>
      <c r="BG82" s="104">
        <f t="shared" si="38"/>
        <v>1</v>
      </c>
      <c r="BH82" s="104">
        <f t="shared" si="39"/>
        <v>1</v>
      </c>
      <c r="BI82" s="104">
        <f t="shared" si="40"/>
        <v>1</v>
      </c>
      <c r="BJ82" s="104">
        <f t="shared" si="41"/>
        <v>0.33333333333333331</v>
      </c>
      <c r="BK82" s="104">
        <f t="shared" si="42"/>
        <v>0.33333333333333331</v>
      </c>
      <c r="BL82" s="104">
        <f t="shared" si="43"/>
        <v>1</v>
      </c>
      <c r="BM82" s="104"/>
      <c r="BO82" s="7" t="s">
        <v>931</v>
      </c>
      <c r="BP82" s="125">
        <f t="shared" si="44"/>
        <v>42.5</v>
      </c>
      <c r="BQ82" s="7">
        <f t="shared" si="45"/>
        <v>0</v>
      </c>
      <c r="BR82" s="7">
        <f t="shared" si="46"/>
        <v>0</v>
      </c>
      <c r="BS82" s="7">
        <f t="shared" si="47"/>
        <v>0</v>
      </c>
      <c r="BT82" s="7">
        <f t="shared" si="48"/>
        <v>1</v>
      </c>
      <c r="BU82" s="7">
        <f t="shared" si="49"/>
        <v>1</v>
      </c>
      <c r="BV82" s="7">
        <f t="shared" si="50"/>
        <v>0</v>
      </c>
    </row>
    <row r="83" spans="1:74" s="7" customFormat="1" x14ac:dyDescent="0.2">
      <c r="A83" s="7" t="s">
        <v>164</v>
      </c>
      <c r="B83" s="7" t="s">
        <v>165</v>
      </c>
      <c r="C83" s="7">
        <v>45</v>
      </c>
      <c r="F83" s="7" t="s">
        <v>247</v>
      </c>
      <c r="G83" s="7" t="s">
        <v>250</v>
      </c>
      <c r="H83" s="7" t="s">
        <v>175</v>
      </c>
      <c r="I83" s="7" t="s">
        <v>15</v>
      </c>
      <c r="J83" s="7" t="str">
        <f t="shared" si="26"/>
        <v>RACKPDU-RACK-R3-Z4E-R1-10-A</v>
      </c>
      <c r="K83" s="7" t="str">
        <f t="shared" si="27"/>
        <v>RACKPDU-RACK-R3-Z4E-R1-10-B</v>
      </c>
      <c r="L83" s="7">
        <v>45</v>
      </c>
      <c r="M83" s="7">
        <f>VLOOKUP($H83,'Cooling-Rack'!$A$2:$G$265,5,FALSE)</f>
        <v>38.25</v>
      </c>
      <c r="N83" s="7">
        <f>VLOOKUP($H83,'Cooling-Rack'!$A$2:$G$265,7,FALSE)</f>
        <v>6.7500000000000009</v>
      </c>
      <c r="O83" s="7">
        <v>54</v>
      </c>
      <c r="P83" s="104">
        <v>0.85</v>
      </c>
      <c r="Q83" s="104">
        <v>0.15000000000000002</v>
      </c>
      <c r="R83" s="13" t="s">
        <v>32</v>
      </c>
      <c r="S83" s="15" t="s">
        <v>34</v>
      </c>
      <c r="T83" s="7" t="s">
        <v>70</v>
      </c>
      <c r="U83" s="7" t="s">
        <v>72</v>
      </c>
      <c r="V83" s="7" t="s">
        <v>293</v>
      </c>
      <c r="W83" s="7" t="s">
        <v>294</v>
      </c>
      <c r="X83" s="7" t="s">
        <v>80</v>
      </c>
      <c r="Y83" s="7" t="s">
        <v>76</v>
      </c>
      <c r="Z83" s="7" t="s">
        <v>77</v>
      </c>
      <c r="AA83" s="7" t="s">
        <v>74</v>
      </c>
      <c r="AB83" s="7" t="s">
        <v>75</v>
      </c>
      <c r="AC83" s="7" t="s">
        <v>78</v>
      </c>
      <c r="AD83" s="7" t="s">
        <v>79</v>
      </c>
      <c r="AE83" s="7" t="s">
        <v>385</v>
      </c>
      <c r="AF83" s="7" t="s">
        <v>384</v>
      </c>
      <c r="AG83" s="7" t="s">
        <v>392</v>
      </c>
      <c r="AH83" s="7" t="s">
        <v>395</v>
      </c>
      <c r="AL83" s="7">
        <v>0</v>
      </c>
      <c r="AM83" s="7">
        <f t="shared" si="28"/>
        <v>0</v>
      </c>
      <c r="AN83" s="7">
        <f t="shared" si="29"/>
        <v>0</v>
      </c>
      <c r="AO83" s="7">
        <v>0</v>
      </c>
      <c r="AP83" s="7">
        <f t="shared" si="30"/>
        <v>0</v>
      </c>
      <c r="AQ83" s="7">
        <f t="shared" si="31"/>
        <v>0</v>
      </c>
      <c r="AR83" s="7">
        <v>30</v>
      </c>
      <c r="AS83" s="7">
        <f t="shared" si="51"/>
        <v>25.5</v>
      </c>
      <c r="AT83" s="7">
        <f t="shared" si="55"/>
        <v>4.5</v>
      </c>
      <c r="AU83" s="7">
        <v>30</v>
      </c>
      <c r="AV83" s="7">
        <f t="shared" si="53"/>
        <v>25.5</v>
      </c>
      <c r="AW83" s="7">
        <f t="shared" si="54"/>
        <v>4.5</v>
      </c>
      <c r="BA83" s="7">
        <f t="shared" si="32"/>
        <v>45</v>
      </c>
      <c r="BB83" s="7">
        <f t="shared" si="33"/>
        <v>45</v>
      </c>
      <c r="BC83" s="7">
        <f t="shared" si="34"/>
        <v>45</v>
      </c>
      <c r="BD83" s="7">
        <f t="shared" si="35"/>
        <v>15</v>
      </c>
      <c r="BE83" s="7">
        <f t="shared" si="36"/>
        <v>15</v>
      </c>
      <c r="BF83" s="7">
        <f t="shared" si="37"/>
        <v>45</v>
      </c>
      <c r="BG83" s="104">
        <f t="shared" si="38"/>
        <v>1</v>
      </c>
      <c r="BH83" s="104">
        <f t="shared" si="39"/>
        <v>1</v>
      </c>
      <c r="BI83" s="104">
        <f t="shared" si="40"/>
        <v>1</v>
      </c>
      <c r="BJ83" s="104">
        <f t="shared" si="41"/>
        <v>0.33333333333333331</v>
      </c>
      <c r="BK83" s="104">
        <f t="shared" si="42"/>
        <v>0.33333333333333331</v>
      </c>
      <c r="BL83" s="104">
        <f t="shared" si="43"/>
        <v>1</v>
      </c>
      <c r="BM83" s="104"/>
      <c r="BO83" s="7" t="s">
        <v>932</v>
      </c>
      <c r="BP83" s="125">
        <f t="shared" si="44"/>
        <v>42.5</v>
      </c>
      <c r="BQ83" s="7">
        <f t="shared" si="45"/>
        <v>0</v>
      </c>
      <c r="BR83" s="7">
        <f t="shared" si="46"/>
        <v>0</v>
      </c>
      <c r="BS83" s="7">
        <f t="shared" si="47"/>
        <v>0</v>
      </c>
      <c r="BT83" s="7">
        <f t="shared" si="48"/>
        <v>1</v>
      </c>
      <c r="BU83" s="7">
        <f t="shared" si="49"/>
        <v>1</v>
      </c>
      <c r="BV83" s="7">
        <f t="shared" si="50"/>
        <v>0</v>
      </c>
    </row>
    <row r="84" spans="1:74" s="7" customFormat="1" x14ac:dyDescent="0.2">
      <c r="A84" s="7" t="s">
        <v>164</v>
      </c>
      <c r="B84" s="7" t="s">
        <v>165</v>
      </c>
      <c r="C84" s="7">
        <v>45</v>
      </c>
      <c r="F84" s="7" t="s">
        <v>247</v>
      </c>
      <c r="G84" s="7" t="s">
        <v>250</v>
      </c>
      <c r="H84" s="7" t="s">
        <v>176</v>
      </c>
      <c r="I84" s="7" t="s">
        <v>15</v>
      </c>
      <c r="J84" s="7" t="str">
        <f t="shared" si="26"/>
        <v>RACKPDU-RACK-R3-Z4E-R1-11-A</v>
      </c>
      <c r="K84" s="7" t="str">
        <f t="shared" si="27"/>
        <v>RACKPDU-RACK-R3-Z4E-R1-11-B</v>
      </c>
      <c r="L84" s="7">
        <v>45</v>
      </c>
      <c r="M84" s="7">
        <f>VLOOKUP($H84,'Cooling-Rack'!$A$2:$G$265,5,FALSE)</f>
        <v>38.25</v>
      </c>
      <c r="N84" s="7">
        <f>VLOOKUP($H84,'Cooling-Rack'!$A$2:$G$265,7,FALSE)</f>
        <v>6.7500000000000009</v>
      </c>
      <c r="O84" s="7">
        <v>54</v>
      </c>
      <c r="P84" s="104">
        <v>0.85</v>
      </c>
      <c r="Q84" s="104">
        <v>0.15000000000000002</v>
      </c>
      <c r="R84" s="13" t="s">
        <v>32</v>
      </c>
      <c r="S84" s="15" t="s">
        <v>34</v>
      </c>
      <c r="T84" s="7" t="s">
        <v>70</v>
      </c>
      <c r="U84" s="7" t="s">
        <v>72</v>
      </c>
      <c r="V84" s="7" t="s">
        <v>293</v>
      </c>
      <c r="W84" s="7" t="s">
        <v>294</v>
      </c>
      <c r="X84" s="7" t="s">
        <v>80</v>
      </c>
      <c r="Y84" s="7" t="s">
        <v>76</v>
      </c>
      <c r="Z84" s="7" t="s">
        <v>77</v>
      </c>
      <c r="AA84" s="7" t="s">
        <v>74</v>
      </c>
      <c r="AB84" s="7" t="s">
        <v>75</v>
      </c>
      <c r="AC84" s="7" t="s">
        <v>78</v>
      </c>
      <c r="AD84" s="7" t="s">
        <v>79</v>
      </c>
      <c r="AE84" s="7" t="s">
        <v>385</v>
      </c>
      <c r="AF84" s="7" t="s">
        <v>384</v>
      </c>
      <c r="AG84" s="7" t="s">
        <v>392</v>
      </c>
      <c r="AH84" s="7" t="s">
        <v>395</v>
      </c>
      <c r="AL84" s="7">
        <v>0</v>
      </c>
      <c r="AM84" s="7">
        <f t="shared" si="28"/>
        <v>0</v>
      </c>
      <c r="AN84" s="7">
        <f t="shared" si="29"/>
        <v>0</v>
      </c>
      <c r="AO84" s="7">
        <v>0</v>
      </c>
      <c r="AP84" s="7">
        <f t="shared" si="30"/>
        <v>0</v>
      </c>
      <c r="AQ84" s="7">
        <f t="shared" si="31"/>
        <v>0</v>
      </c>
      <c r="AR84" s="7">
        <v>30</v>
      </c>
      <c r="AS84" s="7">
        <f t="shared" si="51"/>
        <v>25.5</v>
      </c>
      <c r="AT84" s="7">
        <f t="shared" si="55"/>
        <v>4.5</v>
      </c>
      <c r="AU84" s="7">
        <v>30</v>
      </c>
      <c r="AV84" s="7">
        <f t="shared" si="53"/>
        <v>25.5</v>
      </c>
      <c r="AW84" s="7">
        <f t="shared" si="54"/>
        <v>4.5</v>
      </c>
      <c r="BA84" s="7">
        <f t="shared" si="32"/>
        <v>45</v>
      </c>
      <c r="BB84" s="7">
        <f t="shared" si="33"/>
        <v>45</v>
      </c>
      <c r="BC84" s="7">
        <f t="shared" si="34"/>
        <v>45</v>
      </c>
      <c r="BD84" s="7">
        <f t="shared" si="35"/>
        <v>15</v>
      </c>
      <c r="BE84" s="7">
        <f t="shared" si="36"/>
        <v>15</v>
      </c>
      <c r="BF84" s="7">
        <f t="shared" si="37"/>
        <v>45</v>
      </c>
      <c r="BG84" s="104">
        <f t="shared" si="38"/>
        <v>1</v>
      </c>
      <c r="BH84" s="104">
        <f t="shared" si="39"/>
        <v>1</v>
      </c>
      <c r="BI84" s="104">
        <f t="shared" si="40"/>
        <v>1</v>
      </c>
      <c r="BJ84" s="104">
        <f t="shared" si="41"/>
        <v>0.33333333333333331</v>
      </c>
      <c r="BK84" s="104">
        <f t="shared" si="42"/>
        <v>0.33333333333333331</v>
      </c>
      <c r="BL84" s="104">
        <f t="shared" si="43"/>
        <v>1</v>
      </c>
      <c r="BM84" s="104"/>
      <c r="BO84" s="7" t="s">
        <v>933</v>
      </c>
      <c r="BP84" s="125">
        <f t="shared" si="44"/>
        <v>42.5</v>
      </c>
      <c r="BQ84" s="7">
        <f t="shared" si="45"/>
        <v>0</v>
      </c>
      <c r="BR84" s="7">
        <f t="shared" si="46"/>
        <v>0</v>
      </c>
      <c r="BS84" s="7">
        <f t="shared" si="47"/>
        <v>0</v>
      </c>
      <c r="BT84" s="7">
        <f t="shared" si="48"/>
        <v>1</v>
      </c>
      <c r="BU84" s="7">
        <f t="shared" si="49"/>
        <v>1</v>
      </c>
      <c r="BV84" s="7">
        <f t="shared" si="50"/>
        <v>0</v>
      </c>
    </row>
    <row r="85" spans="1:74" s="7" customFormat="1" x14ac:dyDescent="0.2">
      <c r="A85" s="7" t="s">
        <v>164</v>
      </c>
      <c r="B85" s="7" t="s">
        <v>165</v>
      </c>
      <c r="C85" s="7">
        <v>45</v>
      </c>
      <c r="F85" s="7" t="s">
        <v>247</v>
      </c>
      <c r="G85" s="7" t="s">
        <v>250</v>
      </c>
      <c r="H85" s="7" t="s">
        <v>177</v>
      </c>
      <c r="I85" s="7" t="s">
        <v>15</v>
      </c>
      <c r="J85" s="7" t="str">
        <f t="shared" si="26"/>
        <v>RACKPDU-RACK-R3-Z4E-R1-12-A</v>
      </c>
      <c r="K85" s="7" t="str">
        <f t="shared" si="27"/>
        <v>RACKPDU-RACK-R3-Z4E-R1-12-B</v>
      </c>
      <c r="L85" s="7">
        <v>45</v>
      </c>
      <c r="M85" s="7">
        <f>VLOOKUP($H85,'Cooling-Rack'!$A$2:$G$265,5,FALSE)</f>
        <v>38.25</v>
      </c>
      <c r="N85" s="7">
        <f>VLOOKUP($H85,'Cooling-Rack'!$A$2:$G$265,7,FALSE)</f>
        <v>6.7500000000000009</v>
      </c>
      <c r="O85" s="7">
        <v>54</v>
      </c>
      <c r="P85" s="104">
        <v>0.85</v>
      </c>
      <c r="Q85" s="104">
        <v>0.15000000000000002</v>
      </c>
      <c r="R85" s="13" t="s">
        <v>32</v>
      </c>
      <c r="S85" s="15" t="s">
        <v>34</v>
      </c>
      <c r="T85" s="7" t="s">
        <v>70</v>
      </c>
      <c r="U85" s="7" t="s">
        <v>72</v>
      </c>
      <c r="V85" s="7" t="s">
        <v>293</v>
      </c>
      <c r="W85" s="7" t="s">
        <v>294</v>
      </c>
      <c r="X85" s="7" t="s">
        <v>80</v>
      </c>
      <c r="Y85" s="7" t="s">
        <v>76</v>
      </c>
      <c r="Z85" s="7" t="s">
        <v>77</v>
      </c>
      <c r="AA85" s="7" t="s">
        <v>74</v>
      </c>
      <c r="AB85" s="7" t="s">
        <v>75</v>
      </c>
      <c r="AC85" s="7" t="s">
        <v>78</v>
      </c>
      <c r="AD85" s="7" t="s">
        <v>79</v>
      </c>
      <c r="AE85" s="7" t="s">
        <v>385</v>
      </c>
      <c r="AF85" s="7" t="s">
        <v>384</v>
      </c>
      <c r="AG85" s="7" t="s">
        <v>392</v>
      </c>
      <c r="AH85" s="7" t="s">
        <v>395</v>
      </c>
      <c r="AL85" s="7">
        <v>0</v>
      </c>
      <c r="AM85" s="7">
        <f t="shared" si="28"/>
        <v>0</v>
      </c>
      <c r="AN85" s="7">
        <f t="shared" si="29"/>
        <v>0</v>
      </c>
      <c r="AO85" s="7">
        <v>0</v>
      </c>
      <c r="AP85" s="7">
        <f t="shared" si="30"/>
        <v>0</v>
      </c>
      <c r="AQ85" s="7">
        <f t="shared" si="31"/>
        <v>0</v>
      </c>
      <c r="AR85" s="7">
        <v>30</v>
      </c>
      <c r="AS85" s="7">
        <f t="shared" si="51"/>
        <v>25.5</v>
      </c>
      <c r="AT85" s="7">
        <f t="shared" si="55"/>
        <v>4.5</v>
      </c>
      <c r="AU85" s="7">
        <v>30</v>
      </c>
      <c r="AV85" s="7">
        <f t="shared" si="53"/>
        <v>25.5</v>
      </c>
      <c r="AW85" s="7">
        <f t="shared" si="54"/>
        <v>4.5</v>
      </c>
      <c r="BA85" s="7">
        <f t="shared" si="32"/>
        <v>45</v>
      </c>
      <c r="BB85" s="7">
        <f t="shared" si="33"/>
        <v>45</v>
      </c>
      <c r="BC85" s="7">
        <f t="shared" si="34"/>
        <v>45</v>
      </c>
      <c r="BD85" s="7">
        <f t="shared" si="35"/>
        <v>15</v>
      </c>
      <c r="BE85" s="7">
        <f t="shared" si="36"/>
        <v>15</v>
      </c>
      <c r="BF85" s="7">
        <f t="shared" si="37"/>
        <v>45</v>
      </c>
      <c r="BG85" s="104">
        <f t="shared" si="38"/>
        <v>1</v>
      </c>
      <c r="BH85" s="104">
        <f t="shared" si="39"/>
        <v>1</v>
      </c>
      <c r="BI85" s="104">
        <f t="shared" si="40"/>
        <v>1</v>
      </c>
      <c r="BJ85" s="104">
        <f t="shared" si="41"/>
        <v>0.33333333333333331</v>
      </c>
      <c r="BK85" s="104">
        <f t="shared" si="42"/>
        <v>0.33333333333333331</v>
      </c>
      <c r="BL85" s="104">
        <f t="shared" si="43"/>
        <v>1</v>
      </c>
      <c r="BM85" s="104"/>
      <c r="BO85" s="7" t="s">
        <v>934</v>
      </c>
      <c r="BP85" s="125">
        <f t="shared" si="44"/>
        <v>42.5</v>
      </c>
      <c r="BQ85" s="7">
        <f t="shared" si="45"/>
        <v>0</v>
      </c>
      <c r="BR85" s="7">
        <f t="shared" si="46"/>
        <v>0</v>
      </c>
      <c r="BS85" s="7">
        <f t="shared" si="47"/>
        <v>0</v>
      </c>
      <c r="BT85" s="7">
        <f t="shared" si="48"/>
        <v>1</v>
      </c>
      <c r="BU85" s="7">
        <f t="shared" si="49"/>
        <v>1</v>
      </c>
      <c r="BV85" s="7">
        <f t="shared" si="50"/>
        <v>0</v>
      </c>
    </row>
    <row r="86" spans="1:74" s="6" customFormat="1" x14ac:dyDescent="0.2">
      <c r="A86" s="6" t="s">
        <v>164</v>
      </c>
      <c r="B86" s="6" t="s">
        <v>178</v>
      </c>
      <c r="C86" s="6">
        <v>45</v>
      </c>
      <c r="F86" s="6" t="s">
        <v>247</v>
      </c>
      <c r="G86" s="6" t="s">
        <v>250</v>
      </c>
      <c r="H86" s="6" t="s">
        <v>179</v>
      </c>
      <c r="I86" s="6" t="s">
        <v>15</v>
      </c>
      <c r="J86" s="6" t="str">
        <f t="shared" si="26"/>
        <v>RACKPDU-RACK-R3-Z4E-R2-01-A</v>
      </c>
      <c r="K86" s="6" t="str">
        <f t="shared" si="27"/>
        <v>RACKPDU-RACK-R3-Z4E-R2-01-B</v>
      </c>
      <c r="L86" s="6">
        <v>45</v>
      </c>
      <c r="M86" s="6">
        <f>VLOOKUP($H86,'Cooling-Rack'!$A$2:$G$265,5,FALSE)</f>
        <v>38.25</v>
      </c>
      <c r="N86" s="6">
        <f>VLOOKUP($H86,'Cooling-Rack'!$A$2:$G$265,7,FALSE)</f>
        <v>6.7500000000000009</v>
      </c>
      <c r="O86" s="6">
        <v>54</v>
      </c>
      <c r="P86" s="105">
        <v>0.85</v>
      </c>
      <c r="Q86" s="105">
        <v>0.15000000000000002</v>
      </c>
      <c r="R86" s="12" t="s">
        <v>30</v>
      </c>
      <c r="S86" s="12" t="s">
        <v>28</v>
      </c>
      <c r="T86" s="6" t="s">
        <v>70</v>
      </c>
      <c r="U86" s="6" t="s">
        <v>72</v>
      </c>
      <c r="V86" s="6" t="s">
        <v>293</v>
      </c>
      <c r="W86" s="6" t="s">
        <v>294</v>
      </c>
      <c r="X86" s="6" t="s">
        <v>80</v>
      </c>
      <c r="Y86" s="6" t="s">
        <v>76</v>
      </c>
      <c r="Z86" s="6" t="s">
        <v>77</v>
      </c>
      <c r="AA86" s="6" t="s">
        <v>74</v>
      </c>
      <c r="AB86" s="6" t="s">
        <v>75</v>
      </c>
      <c r="AC86" s="6" t="s">
        <v>78</v>
      </c>
      <c r="AD86" s="6" t="s">
        <v>79</v>
      </c>
      <c r="AE86" s="6" t="s">
        <v>385</v>
      </c>
      <c r="AF86" s="6" t="s">
        <v>384</v>
      </c>
      <c r="AG86" s="6" t="s">
        <v>392</v>
      </c>
      <c r="AH86" s="6" t="s">
        <v>395</v>
      </c>
      <c r="AL86" s="6">
        <v>0</v>
      </c>
      <c r="AM86" s="6">
        <f t="shared" si="28"/>
        <v>0</v>
      </c>
      <c r="AN86" s="6">
        <f t="shared" si="29"/>
        <v>0</v>
      </c>
      <c r="AO86" s="6">
        <v>0</v>
      </c>
      <c r="AP86" s="6">
        <f t="shared" si="30"/>
        <v>0</v>
      </c>
      <c r="AQ86" s="6">
        <f t="shared" si="31"/>
        <v>0</v>
      </c>
      <c r="AS86" s="6">
        <f t="shared" si="51"/>
        <v>0</v>
      </c>
      <c r="AT86" s="6">
        <f t="shared" si="55"/>
        <v>0</v>
      </c>
      <c r="AU86" s="6">
        <v>30</v>
      </c>
      <c r="AV86" s="6">
        <f t="shared" si="53"/>
        <v>25.5</v>
      </c>
      <c r="AW86" s="6">
        <f t="shared" si="54"/>
        <v>4.5</v>
      </c>
      <c r="BA86" s="6">
        <f t="shared" si="32"/>
        <v>45</v>
      </c>
      <c r="BB86" s="6">
        <f t="shared" si="33"/>
        <v>45</v>
      </c>
      <c r="BC86" s="6">
        <f t="shared" si="34"/>
        <v>45</v>
      </c>
      <c r="BD86" s="6">
        <f t="shared" si="35"/>
        <v>45</v>
      </c>
      <c r="BE86" s="6">
        <f t="shared" si="36"/>
        <v>15</v>
      </c>
      <c r="BF86" s="6">
        <f t="shared" si="37"/>
        <v>45</v>
      </c>
      <c r="BG86" s="105">
        <f t="shared" si="38"/>
        <v>1</v>
      </c>
      <c r="BH86" s="105">
        <f t="shared" si="39"/>
        <v>1</v>
      </c>
      <c r="BI86" s="105">
        <f t="shared" si="40"/>
        <v>1</v>
      </c>
      <c r="BJ86" s="105">
        <f t="shared" si="41"/>
        <v>1</v>
      </c>
      <c r="BK86" s="105">
        <f t="shared" si="42"/>
        <v>0.33333333333333331</v>
      </c>
      <c r="BL86" s="105">
        <f t="shared" si="43"/>
        <v>1</v>
      </c>
      <c r="BM86" s="105"/>
      <c r="BO86" s="6" t="s">
        <v>935</v>
      </c>
      <c r="BP86" s="126">
        <f t="shared" si="44"/>
        <v>42.5</v>
      </c>
      <c r="BQ86" s="6">
        <f t="shared" si="45"/>
        <v>0</v>
      </c>
      <c r="BR86" s="6">
        <f t="shared" si="46"/>
        <v>0</v>
      </c>
      <c r="BS86" s="6">
        <f t="shared" si="47"/>
        <v>0</v>
      </c>
      <c r="BT86" s="6">
        <f t="shared" si="48"/>
        <v>0</v>
      </c>
      <c r="BU86" s="6">
        <f t="shared" si="49"/>
        <v>1</v>
      </c>
      <c r="BV86" s="6">
        <f t="shared" si="50"/>
        <v>0</v>
      </c>
    </row>
    <row r="87" spans="1:74" s="6" customFormat="1" x14ac:dyDescent="0.2">
      <c r="A87" s="6" t="s">
        <v>164</v>
      </c>
      <c r="B87" s="6" t="s">
        <v>178</v>
      </c>
      <c r="C87" s="6">
        <v>45</v>
      </c>
      <c r="F87" s="6" t="s">
        <v>247</v>
      </c>
      <c r="G87" s="6" t="s">
        <v>250</v>
      </c>
      <c r="H87" s="6" t="s">
        <v>180</v>
      </c>
      <c r="I87" s="6" t="s">
        <v>15</v>
      </c>
      <c r="J87" s="6" t="str">
        <f t="shared" si="26"/>
        <v>RACKPDU-RACK-R3-Z4E-R2-02-A</v>
      </c>
      <c r="K87" s="6" t="str">
        <f t="shared" si="27"/>
        <v>RACKPDU-RACK-R3-Z4E-R2-02-B</v>
      </c>
      <c r="L87" s="6">
        <v>45</v>
      </c>
      <c r="M87" s="6">
        <f>VLOOKUP($H87,'Cooling-Rack'!$A$2:$G$265,5,FALSE)</f>
        <v>38.25</v>
      </c>
      <c r="N87" s="6">
        <f>VLOOKUP($H87,'Cooling-Rack'!$A$2:$G$265,7,FALSE)</f>
        <v>6.7500000000000009</v>
      </c>
      <c r="O87" s="6">
        <v>54</v>
      </c>
      <c r="P87" s="105">
        <v>0.85</v>
      </c>
      <c r="Q87" s="105">
        <v>0.15000000000000002</v>
      </c>
      <c r="R87" s="12" t="s">
        <v>30</v>
      </c>
      <c r="S87" s="12" t="s">
        <v>28</v>
      </c>
      <c r="T87" s="6" t="s">
        <v>70</v>
      </c>
      <c r="U87" s="6" t="s">
        <v>72</v>
      </c>
      <c r="V87" s="6" t="s">
        <v>293</v>
      </c>
      <c r="W87" s="6" t="s">
        <v>294</v>
      </c>
      <c r="X87" s="6" t="s">
        <v>80</v>
      </c>
      <c r="Y87" s="6" t="s">
        <v>76</v>
      </c>
      <c r="Z87" s="6" t="s">
        <v>77</v>
      </c>
      <c r="AA87" s="6" t="s">
        <v>74</v>
      </c>
      <c r="AB87" s="6" t="s">
        <v>75</v>
      </c>
      <c r="AC87" s="6" t="s">
        <v>78</v>
      </c>
      <c r="AD87" s="6" t="s">
        <v>79</v>
      </c>
      <c r="AE87" s="6" t="s">
        <v>385</v>
      </c>
      <c r="AF87" s="6" t="s">
        <v>384</v>
      </c>
      <c r="AG87" s="6" t="s">
        <v>392</v>
      </c>
      <c r="AH87" s="6" t="s">
        <v>395</v>
      </c>
      <c r="AL87" s="6">
        <v>0</v>
      </c>
      <c r="AM87" s="6">
        <f t="shared" si="28"/>
        <v>0</v>
      </c>
      <c r="AN87" s="6">
        <f t="shared" si="29"/>
        <v>0</v>
      </c>
      <c r="AO87" s="6">
        <v>0</v>
      </c>
      <c r="AP87" s="6">
        <f t="shared" si="30"/>
        <v>0</v>
      </c>
      <c r="AQ87" s="6">
        <f t="shared" si="31"/>
        <v>0</v>
      </c>
      <c r="AS87" s="6">
        <f t="shared" si="51"/>
        <v>0</v>
      </c>
      <c r="AT87" s="6">
        <f t="shared" si="55"/>
        <v>0</v>
      </c>
      <c r="AU87" s="6">
        <v>30</v>
      </c>
      <c r="AV87" s="6">
        <f t="shared" si="53"/>
        <v>25.5</v>
      </c>
      <c r="AW87" s="6">
        <f t="shared" si="54"/>
        <v>4.5</v>
      </c>
      <c r="BA87" s="6">
        <f t="shared" si="32"/>
        <v>45</v>
      </c>
      <c r="BB87" s="6">
        <f t="shared" si="33"/>
        <v>45</v>
      </c>
      <c r="BC87" s="6">
        <f t="shared" si="34"/>
        <v>45</v>
      </c>
      <c r="BD87" s="6">
        <f t="shared" si="35"/>
        <v>45</v>
      </c>
      <c r="BE87" s="6">
        <f t="shared" si="36"/>
        <v>15</v>
      </c>
      <c r="BF87" s="6">
        <f t="shared" si="37"/>
        <v>45</v>
      </c>
      <c r="BG87" s="105">
        <f t="shared" si="38"/>
        <v>1</v>
      </c>
      <c r="BH87" s="105">
        <f t="shared" si="39"/>
        <v>1</v>
      </c>
      <c r="BI87" s="105">
        <f t="shared" si="40"/>
        <v>1</v>
      </c>
      <c r="BJ87" s="105">
        <f t="shared" si="41"/>
        <v>1</v>
      </c>
      <c r="BK87" s="105">
        <f t="shared" si="42"/>
        <v>0.33333333333333331</v>
      </c>
      <c r="BL87" s="105">
        <f t="shared" si="43"/>
        <v>1</v>
      </c>
      <c r="BM87" s="105"/>
      <c r="BO87" s="6" t="s">
        <v>936</v>
      </c>
      <c r="BP87" s="126">
        <f t="shared" si="44"/>
        <v>42.5</v>
      </c>
      <c r="BQ87" s="6">
        <f t="shared" si="45"/>
        <v>0</v>
      </c>
      <c r="BR87" s="6">
        <f t="shared" si="46"/>
        <v>0</v>
      </c>
      <c r="BS87" s="6">
        <f t="shared" si="47"/>
        <v>0</v>
      </c>
      <c r="BT87" s="6">
        <f t="shared" si="48"/>
        <v>0</v>
      </c>
      <c r="BU87" s="6">
        <f t="shared" si="49"/>
        <v>1</v>
      </c>
      <c r="BV87" s="6">
        <f t="shared" si="50"/>
        <v>0</v>
      </c>
    </row>
    <row r="88" spans="1:74" s="6" customFormat="1" x14ac:dyDescent="0.2">
      <c r="A88" s="6" t="s">
        <v>164</v>
      </c>
      <c r="B88" s="6" t="s">
        <v>178</v>
      </c>
      <c r="C88" s="6">
        <v>45</v>
      </c>
      <c r="F88" s="6" t="s">
        <v>247</v>
      </c>
      <c r="G88" s="6" t="s">
        <v>250</v>
      </c>
      <c r="H88" s="6" t="s">
        <v>181</v>
      </c>
      <c r="I88" s="6" t="s">
        <v>15</v>
      </c>
      <c r="J88" s="6" t="str">
        <f t="shared" si="26"/>
        <v>RACKPDU-RACK-R3-Z4E-R2-03-A</v>
      </c>
      <c r="K88" s="6" t="str">
        <f t="shared" si="27"/>
        <v>RACKPDU-RACK-R3-Z4E-R2-03-B</v>
      </c>
      <c r="L88" s="6">
        <v>45</v>
      </c>
      <c r="M88" s="6">
        <f>VLOOKUP($H88,'Cooling-Rack'!$A$2:$G$265,5,FALSE)</f>
        <v>38.25</v>
      </c>
      <c r="N88" s="6">
        <f>VLOOKUP($H88,'Cooling-Rack'!$A$2:$G$265,7,FALSE)</f>
        <v>6.7500000000000009</v>
      </c>
      <c r="O88" s="6">
        <v>54</v>
      </c>
      <c r="P88" s="105">
        <v>0.85</v>
      </c>
      <c r="Q88" s="105">
        <v>0.15000000000000002</v>
      </c>
      <c r="R88" s="12" t="s">
        <v>30</v>
      </c>
      <c r="S88" s="12" t="s">
        <v>28</v>
      </c>
      <c r="T88" s="6" t="s">
        <v>70</v>
      </c>
      <c r="U88" s="6" t="s">
        <v>72</v>
      </c>
      <c r="V88" s="6" t="s">
        <v>293</v>
      </c>
      <c r="W88" s="6" t="s">
        <v>294</v>
      </c>
      <c r="X88" s="6" t="s">
        <v>80</v>
      </c>
      <c r="Y88" s="6" t="s">
        <v>76</v>
      </c>
      <c r="Z88" s="6" t="s">
        <v>77</v>
      </c>
      <c r="AA88" s="6" t="s">
        <v>74</v>
      </c>
      <c r="AB88" s="6" t="s">
        <v>75</v>
      </c>
      <c r="AC88" s="6" t="s">
        <v>78</v>
      </c>
      <c r="AD88" s="6" t="s">
        <v>79</v>
      </c>
      <c r="AE88" s="6" t="s">
        <v>385</v>
      </c>
      <c r="AF88" s="6" t="s">
        <v>384</v>
      </c>
      <c r="AG88" s="6" t="s">
        <v>392</v>
      </c>
      <c r="AH88" s="6" t="s">
        <v>395</v>
      </c>
      <c r="AL88" s="6">
        <v>0</v>
      </c>
      <c r="AM88" s="6">
        <f t="shared" si="28"/>
        <v>0</v>
      </c>
      <c r="AN88" s="6">
        <f t="shared" si="29"/>
        <v>0</v>
      </c>
      <c r="AO88" s="6">
        <v>0</v>
      </c>
      <c r="AP88" s="6">
        <f t="shared" si="30"/>
        <v>0</v>
      </c>
      <c r="AQ88" s="6">
        <f t="shared" si="31"/>
        <v>0</v>
      </c>
      <c r="AS88" s="6">
        <f t="shared" si="51"/>
        <v>0</v>
      </c>
      <c r="AT88" s="6">
        <f t="shared" si="55"/>
        <v>0</v>
      </c>
      <c r="AU88" s="6">
        <v>30</v>
      </c>
      <c r="AV88" s="6">
        <f t="shared" si="53"/>
        <v>25.5</v>
      </c>
      <c r="AW88" s="6">
        <f t="shared" si="54"/>
        <v>4.5</v>
      </c>
      <c r="BA88" s="6">
        <f t="shared" si="32"/>
        <v>45</v>
      </c>
      <c r="BB88" s="6">
        <f t="shared" si="33"/>
        <v>45</v>
      </c>
      <c r="BC88" s="6">
        <f t="shared" si="34"/>
        <v>45</v>
      </c>
      <c r="BD88" s="6">
        <f t="shared" si="35"/>
        <v>45</v>
      </c>
      <c r="BE88" s="6">
        <f t="shared" si="36"/>
        <v>15</v>
      </c>
      <c r="BF88" s="6">
        <f t="shared" si="37"/>
        <v>45</v>
      </c>
      <c r="BG88" s="105">
        <f t="shared" si="38"/>
        <v>1</v>
      </c>
      <c r="BH88" s="105">
        <f t="shared" si="39"/>
        <v>1</v>
      </c>
      <c r="BI88" s="105">
        <f t="shared" si="40"/>
        <v>1</v>
      </c>
      <c r="BJ88" s="105">
        <f t="shared" si="41"/>
        <v>1</v>
      </c>
      <c r="BK88" s="105">
        <f t="shared" si="42"/>
        <v>0.33333333333333331</v>
      </c>
      <c r="BL88" s="105">
        <f t="shared" si="43"/>
        <v>1</v>
      </c>
      <c r="BM88" s="105"/>
      <c r="BO88" s="6" t="s">
        <v>937</v>
      </c>
      <c r="BP88" s="126">
        <f t="shared" si="44"/>
        <v>42.5</v>
      </c>
      <c r="BQ88" s="6">
        <f t="shared" si="45"/>
        <v>0</v>
      </c>
      <c r="BR88" s="6">
        <f t="shared" si="46"/>
        <v>0</v>
      </c>
      <c r="BS88" s="6">
        <f t="shared" si="47"/>
        <v>0</v>
      </c>
      <c r="BT88" s="6">
        <f t="shared" si="48"/>
        <v>0</v>
      </c>
      <c r="BU88" s="6">
        <f t="shared" si="49"/>
        <v>1</v>
      </c>
      <c r="BV88" s="6">
        <f t="shared" si="50"/>
        <v>0</v>
      </c>
    </row>
    <row r="89" spans="1:74" s="6" customFormat="1" x14ac:dyDescent="0.2">
      <c r="A89" s="6" t="s">
        <v>164</v>
      </c>
      <c r="B89" s="6" t="s">
        <v>178</v>
      </c>
      <c r="C89" s="6">
        <v>45</v>
      </c>
      <c r="F89" s="6" t="s">
        <v>247</v>
      </c>
      <c r="G89" s="6" t="s">
        <v>250</v>
      </c>
      <c r="H89" s="6" t="s">
        <v>182</v>
      </c>
      <c r="I89" s="6" t="s">
        <v>15</v>
      </c>
      <c r="J89" s="6" t="str">
        <f t="shared" si="26"/>
        <v>RACKPDU-RACK-R3-Z4E-R2-04-A</v>
      </c>
      <c r="K89" s="6" t="str">
        <f t="shared" si="27"/>
        <v>RACKPDU-RACK-R3-Z4E-R2-04-B</v>
      </c>
      <c r="L89" s="6">
        <v>45</v>
      </c>
      <c r="M89" s="6">
        <f>VLOOKUP($H89,'Cooling-Rack'!$A$2:$G$265,5,FALSE)</f>
        <v>38.25</v>
      </c>
      <c r="N89" s="6">
        <f>VLOOKUP($H89,'Cooling-Rack'!$A$2:$G$265,7,FALSE)</f>
        <v>6.7500000000000009</v>
      </c>
      <c r="O89" s="6">
        <v>54</v>
      </c>
      <c r="P89" s="105">
        <v>0.85</v>
      </c>
      <c r="Q89" s="105">
        <v>0.15000000000000002</v>
      </c>
      <c r="R89" s="12" t="s">
        <v>30</v>
      </c>
      <c r="S89" s="12" t="s">
        <v>28</v>
      </c>
      <c r="T89" s="6" t="s">
        <v>70</v>
      </c>
      <c r="U89" s="6" t="s">
        <v>72</v>
      </c>
      <c r="V89" s="6" t="s">
        <v>293</v>
      </c>
      <c r="W89" s="6" t="s">
        <v>294</v>
      </c>
      <c r="X89" s="6" t="s">
        <v>80</v>
      </c>
      <c r="Y89" s="6" t="s">
        <v>76</v>
      </c>
      <c r="Z89" s="6" t="s">
        <v>77</v>
      </c>
      <c r="AA89" s="6" t="s">
        <v>74</v>
      </c>
      <c r="AB89" s="6" t="s">
        <v>75</v>
      </c>
      <c r="AC89" s="6" t="s">
        <v>78</v>
      </c>
      <c r="AD89" s="6" t="s">
        <v>79</v>
      </c>
      <c r="AE89" s="6" t="s">
        <v>385</v>
      </c>
      <c r="AF89" s="6" t="s">
        <v>384</v>
      </c>
      <c r="AG89" s="6" t="s">
        <v>392</v>
      </c>
      <c r="AH89" s="6" t="s">
        <v>395</v>
      </c>
      <c r="AL89" s="6">
        <v>0</v>
      </c>
      <c r="AM89" s="6">
        <f t="shared" si="28"/>
        <v>0</v>
      </c>
      <c r="AN89" s="6">
        <f t="shared" si="29"/>
        <v>0</v>
      </c>
      <c r="AO89" s="6">
        <v>0</v>
      </c>
      <c r="AP89" s="6">
        <f t="shared" si="30"/>
        <v>0</v>
      </c>
      <c r="AQ89" s="6">
        <f t="shared" si="31"/>
        <v>0</v>
      </c>
      <c r="AS89" s="6">
        <f t="shared" si="51"/>
        <v>0</v>
      </c>
      <c r="AT89" s="6">
        <f t="shared" si="55"/>
        <v>0</v>
      </c>
      <c r="AU89" s="6">
        <v>30</v>
      </c>
      <c r="AV89" s="6">
        <f t="shared" si="53"/>
        <v>25.5</v>
      </c>
      <c r="AW89" s="6">
        <f t="shared" si="54"/>
        <v>4.5</v>
      </c>
      <c r="BA89" s="6">
        <f t="shared" si="32"/>
        <v>45</v>
      </c>
      <c r="BB89" s="6">
        <f t="shared" si="33"/>
        <v>45</v>
      </c>
      <c r="BC89" s="6">
        <f t="shared" si="34"/>
        <v>45</v>
      </c>
      <c r="BD89" s="6">
        <f t="shared" si="35"/>
        <v>45</v>
      </c>
      <c r="BE89" s="6">
        <f t="shared" si="36"/>
        <v>15</v>
      </c>
      <c r="BF89" s="6">
        <f t="shared" si="37"/>
        <v>45</v>
      </c>
      <c r="BG89" s="105">
        <f t="shared" si="38"/>
        <v>1</v>
      </c>
      <c r="BH89" s="105">
        <f t="shared" si="39"/>
        <v>1</v>
      </c>
      <c r="BI89" s="105">
        <f t="shared" si="40"/>
        <v>1</v>
      </c>
      <c r="BJ89" s="105">
        <f t="shared" si="41"/>
        <v>1</v>
      </c>
      <c r="BK89" s="105">
        <f t="shared" si="42"/>
        <v>0.33333333333333331</v>
      </c>
      <c r="BL89" s="105">
        <f t="shared" si="43"/>
        <v>1</v>
      </c>
      <c r="BM89" s="105"/>
      <c r="BO89" s="6" t="s">
        <v>938</v>
      </c>
      <c r="BP89" s="126">
        <f t="shared" si="44"/>
        <v>42.5</v>
      </c>
      <c r="BQ89" s="6">
        <f t="shared" si="45"/>
        <v>0</v>
      </c>
      <c r="BR89" s="6">
        <f t="shared" si="46"/>
        <v>0</v>
      </c>
      <c r="BS89" s="6">
        <f t="shared" si="47"/>
        <v>0</v>
      </c>
      <c r="BT89" s="6">
        <f t="shared" si="48"/>
        <v>0</v>
      </c>
      <c r="BU89" s="6">
        <f t="shared" si="49"/>
        <v>1</v>
      </c>
      <c r="BV89" s="6">
        <f t="shared" si="50"/>
        <v>0</v>
      </c>
    </row>
    <row r="90" spans="1:74" s="6" customFormat="1" x14ac:dyDescent="0.2">
      <c r="A90" s="6" t="s">
        <v>164</v>
      </c>
      <c r="B90" s="6" t="s">
        <v>178</v>
      </c>
      <c r="C90" s="6">
        <v>45</v>
      </c>
      <c r="F90" s="6" t="s">
        <v>247</v>
      </c>
      <c r="G90" s="6" t="s">
        <v>250</v>
      </c>
      <c r="H90" s="6" t="s">
        <v>183</v>
      </c>
      <c r="I90" s="6" t="s">
        <v>15</v>
      </c>
      <c r="J90" s="6" t="str">
        <f t="shared" si="26"/>
        <v>RACKPDU-RACK-R3-Z4E-R2-05-A</v>
      </c>
      <c r="K90" s="6" t="str">
        <f t="shared" si="27"/>
        <v>RACKPDU-RACK-R3-Z4E-R2-05-B</v>
      </c>
      <c r="L90" s="6">
        <v>45</v>
      </c>
      <c r="M90" s="6">
        <f>VLOOKUP($H90,'Cooling-Rack'!$A$2:$G$265,5,FALSE)</f>
        <v>38.25</v>
      </c>
      <c r="N90" s="6">
        <f>VLOOKUP($H90,'Cooling-Rack'!$A$2:$G$265,7,FALSE)</f>
        <v>6.7500000000000009</v>
      </c>
      <c r="O90" s="6">
        <v>54</v>
      </c>
      <c r="P90" s="105">
        <v>0.85</v>
      </c>
      <c r="Q90" s="105">
        <v>0.15000000000000002</v>
      </c>
      <c r="R90" s="14" t="s">
        <v>33</v>
      </c>
      <c r="S90" s="12" t="s">
        <v>28</v>
      </c>
      <c r="T90" s="6" t="s">
        <v>70</v>
      </c>
      <c r="U90" s="6" t="s">
        <v>72</v>
      </c>
      <c r="V90" s="6" t="s">
        <v>293</v>
      </c>
      <c r="W90" s="6" t="s">
        <v>294</v>
      </c>
      <c r="X90" s="6" t="s">
        <v>80</v>
      </c>
      <c r="Y90" s="6" t="s">
        <v>76</v>
      </c>
      <c r="Z90" s="6" t="s">
        <v>77</v>
      </c>
      <c r="AA90" s="6" t="s">
        <v>74</v>
      </c>
      <c r="AB90" s="6" t="s">
        <v>75</v>
      </c>
      <c r="AC90" s="6" t="s">
        <v>78</v>
      </c>
      <c r="AD90" s="6" t="s">
        <v>79</v>
      </c>
      <c r="AE90" s="6" t="s">
        <v>385</v>
      </c>
      <c r="AF90" s="6" t="s">
        <v>384</v>
      </c>
      <c r="AG90" s="6" t="s">
        <v>392</v>
      </c>
      <c r="AH90" s="6" t="s">
        <v>395</v>
      </c>
      <c r="AL90" s="6">
        <v>0</v>
      </c>
      <c r="AM90" s="6">
        <f t="shared" si="28"/>
        <v>0</v>
      </c>
      <c r="AN90" s="6">
        <f t="shared" si="29"/>
        <v>0</v>
      </c>
      <c r="AO90" s="6">
        <v>0</v>
      </c>
      <c r="AP90" s="6">
        <f t="shared" si="30"/>
        <v>0</v>
      </c>
      <c r="AQ90" s="6">
        <f t="shared" si="31"/>
        <v>0</v>
      </c>
      <c r="AR90" s="6">
        <v>30</v>
      </c>
      <c r="AS90" s="6">
        <f t="shared" si="51"/>
        <v>25.5</v>
      </c>
      <c r="AT90" s="6">
        <f t="shared" si="55"/>
        <v>4.5</v>
      </c>
      <c r="AU90" s="6">
        <v>30</v>
      </c>
      <c r="AV90" s="6">
        <f t="shared" si="53"/>
        <v>25.5</v>
      </c>
      <c r="AW90" s="6">
        <f t="shared" si="54"/>
        <v>4.5</v>
      </c>
      <c r="BA90" s="6">
        <f t="shared" si="32"/>
        <v>45</v>
      </c>
      <c r="BB90" s="6">
        <f t="shared" si="33"/>
        <v>45</v>
      </c>
      <c r="BC90" s="6">
        <f t="shared" si="34"/>
        <v>45</v>
      </c>
      <c r="BD90" s="6">
        <f t="shared" si="35"/>
        <v>15</v>
      </c>
      <c r="BE90" s="6">
        <f t="shared" si="36"/>
        <v>15</v>
      </c>
      <c r="BF90" s="6">
        <f t="shared" si="37"/>
        <v>45</v>
      </c>
      <c r="BG90" s="105">
        <f t="shared" si="38"/>
        <v>1</v>
      </c>
      <c r="BH90" s="105">
        <f t="shared" si="39"/>
        <v>1</v>
      </c>
      <c r="BI90" s="105">
        <f t="shared" si="40"/>
        <v>1</v>
      </c>
      <c r="BJ90" s="105">
        <f t="shared" si="41"/>
        <v>0.33333333333333331</v>
      </c>
      <c r="BK90" s="105">
        <f t="shared" si="42"/>
        <v>0.33333333333333331</v>
      </c>
      <c r="BL90" s="105">
        <f t="shared" si="43"/>
        <v>1</v>
      </c>
      <c r="BM90" s="105"/>
      <c r="BO90" s="6" t="s">
        <v>939</v>
      </c>
      <c r="BP90" s="126">
        <f t="shared" si="44"/>
        <v>42.5</v>
      </c>
      <c r="BQ90" s="6">
        <f t="shared" si="45"/>
        <v>0</v>
      </c>
      <c r="BR90" s="6">
        <f t="shared" si="46"/>
        <v>0</v>
      </c>
      <c r="BS90" s="6">
        <f t="shared" si="47"/>
        <v>0</v>
      </c>
      <c r="BT90" s="6">
        <f t="shared" si="48"/>
        <v>1</v>
      </c>
      <c r="BU90" s="6">
        <f t="shared" si="49"/>
        <v>1</v>
      </c>
      <c r="BV90" s="6">
        <f t="shared" si="50"/>
        <v>0</v>
      </c>
    </row>
    <row r="91" spans="1:74" s="6" customFormat="1" x14ac:dyDescent="0.2">
      <c r="A91" s="6" t="s">
        <v>164</v>
      </c>
      <c r="B91" s="6" t="s">
        <v>178</v>
      </c>
      <c r="C91" s="6">
        <v>45</v>
      </c>
      <c r="F91" s="6" t="s">
        <v>247</v>
      </c>
      <c r="G91" s="6" t="s">
        <v>250</v>
      </c>
      <c r="H91" s="6" t="s">
        <v>184</v>
      </c>
      <c r="I91" s="6" t="s">
        <v>15</v>
      </c>
      <c r="J91" s="6" t="str">
        <f t="shared" si="26"/>
        <v>RACKPDU-RACK-R3-Z4E-R2-06-A</v>
      </c>
      <c r="K91" s="6" t="str">
        <f t="shared" si="27"/>
        <v>RACKPDU-RACK-R3-Z4E-R2-06-B</v>
      </c>
      <c r="L91" s="6">
        <v>45</v>
      </c>
      <c r="M91" s="6">
        <f>VLOOKUP($H91,'Cooling-Rack'!$A$2:$G$265,5,FALSE)</f>
        <v>38.25</v>
      </c>
      <c r="N91" s="6">
        <f>VLOOKUP($H91,'Cooling-Rack'!$A$2:$G$265,7,FALSE)</f>
        <v>6.7500000000000009</v>
      </c>
      <c r="O91" s="6">
        <v>54</v>
      </c>
      <c r="P91" s="105">
        <v>0.85</v>
      </c>
      <c r="Q91" s="105">
        <v>0.15000000000000002</v>
      </c>
      <c r="R91" s="14" t="s">
        <v>33</v>
      </c>
      <c r="S91" s="12" t="s">
        <v>28</v>
      </c>
      <c r="T91" s="6" t="s">
        <v>70</v>
      </c>
      <c r="U91" s="6" t="s">
        <v>72</v>
      </c>
      <c r="V91" s="6" t="s">
        <v>293</v>
      </c>
      <c r="W91" s="6" t="s">
        <v>294</v>
      </c>
      <c r="X91" s="6" t="s">
        <v>80</v>
      </c>
      <c r="Y91" s="6" t="s">
        <v>76</v>
      </c>
      <c r="Z91" s="6" t="s">
        <v>77</v>
      </c>
      <c r="AA91" s="6" t="s">
        <v>74</v>
      </c>
      <c r="AB91" s="6" t="s">
        <v>75</v>
      </c>
      <c r="AC91" s="6" t="s">
        <v>78</v>
      </c>
      <c r="AD91" s="6" t="s">
        <v>79</v>
      </c>
      <c r="AE91" s="6" t="s">
        <v>385</v>
      </c>
      <c r="AF91" s="6" t="s">
        <v>384</v>
      </c>
      <c r="AG91" s="6" t="s">
        <v>392</v>
      </c>
      <c r="AH91" s="6" t="s">
        <v>395</v>
      </c>
      <c r="AL91" s="6">
        <v>0</v>
      </c>
      <c r="AM91" s="6">
        <f t="shared" si="28"/>
        <v>0</v>
      </c>
      <c r="AN91" s="6">
        <f t="shared" si="29"/>
        <v>0</v>
      </c>
      <c r="AO91" s="6">
        <v>0</v>
      </c>
      <c r="AP91" s="6">
        <f t="shared" si="30"/>
        <v>0</v>
      </c>
      <c r="AQ91" s="6">
        <f t="shared" si="31"/>
        <v>0</v>
      </c>
      <c r="AR91" s="6">
        <v>30</v>
      </c>
      <c r="AS91" s="6">
        <f t="shared" si="51"/>
        <v>25.5</v>
      </c>
      <c r="AT91" s="6">
        <f t="shared" si="55"/>
        <v>4.5</v>
      </c>
      <c r="AU91" s="6">
        <v>30</v>
      </c>
      <c r="AV91" s="6">
        <f t="shared" si="53"/>
        <v>25.5</v>
      </c>
      <c r="AW91" s="6">
        <f t="shared" si="54"/>
        <v>4.5</v>
      </c>
      <c r="BA91" s="6">
        <f t="shared" si="32"/>
        <v>45</v>
      </c>
      <c r="BB91" s="6">
        <f t="shared" si="33"/>
        <v>45</v>
      </c>
      <c r="BC91" s="6">
        <f t="shared" si="34"/>
        <v>45</v>
      </c>
      <c r="BD91" s="6">
        <f t="shared" si="35"/>
        <v>15</v>
      </c>
      <c r="BE91" s="6">
        <f t="shared" si="36"/>
        <v>15</v>
      </c>
      <c r="BF91" s="6">
        <f t="shared" si="37"/>
        <v>45</v>
      </c>
      <c r="BG91" s="105">
        <f t="shared" si="38"/>
        <v>1</v>
      </c>
      <c r="BH91" s="105">
        <f t="shared" si="39"/>
        <v>1</v>
      </c>
      <c r="BI91" s="105">
        <f t="shared" si="40"/>
        <v>1</v>
      </c>
      <c r="BJ91" s="105">
        <f t="shared" si="41"/>
        <v>0.33333333333333331</v>
      </c>
      <c r="BK91" s="105">
        <f t="shared" si="42"/>
        <v>0.33333333333333331</v>
      </c>
      <c r="BL91" s="105">
        <f t="shared" si="43"/>
        <v>1</v>
      </c>
      <c r="BM91" s="105"/>
      <c r="BO91" s="6" t="s">
        <v>940</v>
      </c>
      <c r="BP91" s="126">
        <f t="shared" si="44"/>
        <v>42.5</v>
      </c>
      <c r="BQ91" s="6">
        <f t="shared" si="45"/>
        <v>0</v>
      </c>
      <c r="BR91" s="6">
        <f t="shared" si="46"/>
        <v>0</v>
      </c>
      <c r="BS91" s="6">
        <f t="shared" si="47"/>
        <v>0</v>
      </c>
      <c r="BT91" s="6">
        <f t="shared" si="48"/>
        <v>1</v>
      </c>
      <c r="BU91" s="6">
        <f t="shared" si="49"/>
        <v>1</v>
      </c>
      <c r="BV91" s="6">
        <f t="shared" si="50"/>
        <v>0</v>
      </c>
    </row>
    <row r="92" spans="1:74" s="6" customFormat="1" x14ac:dyDescent="0.2">
      <c r="A92" s="6" t="s">
        <v>164</v>
      </c>
      <c r="B92" s="6" t="s">
        <v>178</v>
      </c>
      <c r="C92" s="6">
        <v>45</v>
      </c>
      <c r="F92" s="6" t="s">
        <v>247</v>
      </c>
      <c r="G92" s="6" t="s">
        <v>250</v>
      </c>
      <c r="H92" s="6" t="s">
        <v>185</v>
      </c>
      <c r="I92" s="6" t="s">
        <v>15</v>
      </c>
      <c r="J92" s="6" t="str">
        <f t="shared" si="26"/>
        <v>RACKPDU-RACK-R3-Z4E-R2-07-A</v>
      </c>
      <c r="K92" s="6" t="str">
        <f t="shared" si="27"/>
        <v>RACKPDU-RACK-R3-Z4E-R2-07-B</v>
      </c>
      <c r="L92" s="6">
        <v>45</v>
      </c>
      <c r="M92" s="6">
        <f>VLOOKUP($H92,'Cooling-Rack'!$A$2:$G$265,5,FALSE)</f>
        <v>38.25</v>
      </c>
      <c r="N92" s="6">
        <f>VLOOKUP($H92,'Cooling-Rack'!$A$2:$G$265,7,FALSE)</f>
        <v>6.7500000000000009</v>
      </c>
      <c r="O92" s="6">
        <v>54</v>
      </c>
      <c r="P92" s="105">
        <v>0.85</v>
      </c>
      <c r="Q92" s="105">
        <v>0.15000000000000002</v>
      </c>
      <c r="R92" s="14" t="s">
        <v>33</v>
      </c>
      <c r="S92" s="16" t="s">
        <v>34</v>
      </c>
      <c r="T92" s="6" t="s">
        <v>70</v>
      </c>
      <c r="U92" s="6" t="s">
        <v>72</v>
      </c>
      <c r="V92" s="6" t="s">
        <v>293</v>
      </c>
      <c r="W92" s="6" t="s">
        <v>294</v>
      </c>
      <c r="X92" s="6" t="s">
        <v>80</v>
      </c>
      <c r="Y92" s="6" t="s">
        <v>76</v>
      </c>
      <c r="Z92" s="6" t="s">
        <v>77</v>
      </c>
      <c r="AA92" s="6" t="s">
        <v>74</v>
      </c>
      <c r="AB92" s="6" t="s">
        <v>75</v>
      </c>
      <c r="AC92" s="6" t="s">
        <v>78</v>
      </c>
      <c r="AD92" s="6" t="s">
        <v>79</v>
      </c>
      <c r="AE92" s="6" t="s">
        <v>385</v>
      </c>
      <c r="AF92" s="6" t="s">
        <v>384</v>
      </c>
      <c r="AG92" s="6" t="s">
        <v>392</v>
      </c>
      <c r="AH92" s="6" t="s">
        <v>395</v>
      </c>
      <c r="AL92" s="6">
        <v>0</v>
      </c>
      <c r="AM92" s="6">
        <f t="shared" si="28"/>
        <v>0</v>
      </c>
      <c r="AN92" s="6">
        <f t="shared" si="29"/>
        <v>0</v>
      </c>
      <c r="AO92" s="6">
        <v>0</v>
      </c>
      <c r="AP92" s="6">
        <f t="shared" si="30"/>
        <v>0</v>
      </c>
      <c r="AQ92" s="6">
        <f t="shared" si="31"/>
        <v>0</v>
      </c>
      <c r="AR92" s="6">
        <v>30</v>
      </c>
      <c r="AS92" s="6">
        <f t="shared" si="51"/>
        <v>25.5</v>
      </c>
      <c r="AT92" s="6">
        <f t="shared" si="55"/>
        <v>4.5</v>
      </c>
      <c r="AU92" s="6">
        <v>30</v>
      </c>
      <c r="AV92" s="6">
        <f t="shared" si="53"/>
        <v>25.5</v>
      </c>
      <c r="AW92" s="6">
        <f t="shared" si="54"/>
        <v>4.5</v>
      </c>
      <c r="BA92" s="6">
        <f t="shared" si="32"/>
        <v>45</v>
      </c>
      <c r="BB92" s="6">
        <f t="shared" si="33"/>
        <v>45</v>
      </c>
      <c r="BC92" s="6">
        <f t="shared" si="34"/>
        <v>45</v>
      </c>
      <c r="BD92" s="6">
        <f t="shared" si="35"/>
        <v>15</v>
      </c>
      <c r="BE92" s="6">
        <f t="shared" si="36"/>
        <v>15</v>
      </c>
      <c r="BF92" s="6">
        <f t="shared" si="37"/>
        <v>45</v>
      </c>
      <c r="BG92" s="105">
        <f t="shared" si="38"/>
        <v>1</v>
      </c>
      <c r="BH92" s="105">
        <f t="shared" si="39"/>
        <v>1</v>
      </c>
      <c r="BI92" s="105">
        <f t="shared" si="40"/>
        <v>1</v>
      </c>
      <c r="BJ92" s="105">
        <f t="shared" si="41"/>
        <v>0.33333333333333331</v>
      </c>
      <c r="BK92" s="105">
        <f t="shared" si="42"/>
        <v>0.33333333333333331</v>
      </c>
      <c r="BL92" s="105">
        <f t="shared" si="43"/>
        <v>1</v>
      </c>
      <c r="BM92" s="105"/>
      <c r="BO92" s="6" t="s">
        <v>941</v>
      </c>
      <c r="BP92" s="126">
        <f t="shared" si="44"/>
        <v>42.5</v>
      </c>
      <c r="BQ92" s="6">
        <f t="shared" si="45"/>
        <v>0</v>
      </c>
      <c r="BR92" s="6">
        <f t="shared" si="46"/>
        <v>0</v>
      </c>
      <c r="BS92" s="6">
        <f t="shared" si="47"/>
        <v>0</v>
      </c>
      <c r="BT92" s="6">
        <f t="shared" si="48"/>
        <v>1</v>
      </c>
      <c r="BU92" s="6">
        <f t="shared" si="49"/>
        <v>1</v>
      </c>
      <c r="BV92" s="6">
        <f t="shared" si="50"/>
        <v>0</v>
      </c>
    </row>
    <row r="93" spans="1:74" s="6" customFormat="1" x14ac:dyDescent="0.2">
      <c r="A93" s="6" t="s">
        <v>164</v>
      </c>
      <c r="B93" s="6" t="s">
        <v>178</v>
      </c>
      <c r="C93" s="6">
        <v>45</v>
      </c>
      <c r="F93" s="6" t="s">
        <v>247</v>
      </c>
      <c r="G93" s="6" t="s">
        <v>250</v>
      </c>
      <c r="H93" s="6" t="s">
        <v>186</v>
      </c>
      <c r="I93" s="6" t="s">
        <v>15</v>
      </c>
      <c r="J93" s="6" t="str">
        <f t="shared" si="26"/>
        <v>RACKPDU-RACK-R3-Z4E-R2-08-A</v>
      </c>
      <c r="K93" s="6" t="str">
        <f t="shared" si="27"/>
        <v>RACKPDU-RACK-R3-Z4E-R2-08-B</v>
      </c>
      <c r="L93" s="6">
        <v>45</v>
      </c>
      <c r="M93" s="6">
        <f>VLOOKUP($H93,'Cooling-Rack'!$A$2:$G$265,5,FALSE)</f>
        <v>38.25</v>
      </c>
      <c r="N93" s="6">
        <f>VLOOKUP($H93,'Cooling-Rack'!$A$2:$G$265,7,FALSE)</f>
        <v>6.7500000000000009</v>
      </c>
      <c r="O93" s="6">
        <v>54</v>
      </c>
      <c r="P93" s="105">
        <v>0.85</v>
      </c>
      <c r="Q93" s="105">
        <v>0.15000000000000002</v>
      </c>
      <c r="R93" s="14" t="s">
        <v>33</v>
      </c>
      <c r="S93" s="16" t="s">
        <v>34</v>
      </c>
      <c r="T93" s="6" t="s">
        <v>70</v>
      </c>
      <c r="U93" s="6" t="s">
        <v>72</v>
      </c>
      <c r="V93" s="6" t="s">
        <v>293</v>
      </c>
      <c r="W93" s="6" t="s">
        <v>294</v>
      </c>
      <c r="X93" s="6" t="s">
        <v>80</v>
      </c>
      <c r="Y93" s="6" t="s">
        <v>76</v>
      </c>
      <c r="Z93" s="6" t="s">
        <v>77</v>
      </c>
      <c r="AA93" s="6" t="s">
        <v>74</v>
      </c>
      <c r="AB93" s="6" t="s">
        <v>75</v>
      </c>
      <c r="AC93" s="6" t="s">
        <v>78</v>
      </c>
      <c r="AD93" s="6" t="s">
        <v>79</v>
      </c>
      <c r="AE93" s="6" t="s">
        <v>385</v>
      </c>
      <c r="AF93" s="6" t="s">
        <v>384</v>
      </c>
      <c r="AG93" s="6" t="s">
        <v>392</v>
      </c>
      <c r="AH93" s="6" t="s">
        <v>395</v>
      </c>
      <c r="AL93" s="6">
        <v>0</v>
      </c>
      <c r="AM93" s="6">
        <f t="shared" si="28"/>
        <v>0</v>
      </c>
      <c r="AN93" s="6">
        <f t="shared" si="29"/>
        <v>0</v>
      </c>
      <c r="AO93" s="6">
        <v>0</v>
      </c>
      <c r="AP93" s="6">
        <f t="shared" si="30"/>
        <v>0</v>
      </c>
      <c r="AQ93" s="6">
        <f t="shared" si="31"/>
        <v>0</v>
      </c>
      <c r="AR93" s="6">
        <v>30</v>
      </c>
      <c r="AS93" s="6">
        <f t="shared" si="51"/>
        <v>25.5</v>
      </c>
      <c r="AT93" s="6">
        <f t="shared" si="55"/>
        <v>4.5</v>
      </c>
      <c r="AU93" s="6">
        <v>30</v>
      </c>
      <c r="AV93" s="6">
        <f t="shared" si="53"/>
        <v>25.5</v>
      </c>
      <c r="AW93" s="6">
        <f t="shared" si="54"/>
        <v>4.5</v>
      </c>
      <c r="BA93" s="6">
        <f t="shared" si="32"/>
        <v>45</v>
      </c>
      <c r="BB93" s="6">
        <f t="shared" si="33"/>
        <v>45</v>
      </c>
      <c r="BC93" s="6">
        <f t="shared" si="34"/>
        <v>45</v>
      </c>
      <c r="BD93" s="6">
        <f t="shared" si="35"/>
        <v>15</v>
      </c>
      <c r="BE93" s="6">
        <f t="shared" si="36"/>
        <v>15</v>
      </c>
      <c r="BF93" s="6">
        <f t="shared" si="37"/>
        <v>45</v>
      </c>
      <c r="BG93" s="105">
        <f t="shared" si="38"/>
        <v>1</v>
      </c>
      <c r="BH93" s="105">
        <f t="shared" si="39"/>
        <v>1</v>
      </c>
      <c r="BI93" s="105">
        <f t="shared" si="40"/>
        <v>1</v>
      </c>
      <c r="BJ93" s="105">
        <f t="shared" si="41"/>
        <v>0.33333333333333331</v>
      </c>
      <c r="BK93" s="105">
        <f t="shared" si="42"/>
        <v>0.33333333333333331</v>
      </c>
      <c r="BL93" s="105">
        <f t="shared" si="43"/>
        <v>1</v>
      </c>
      <c r="BM93" s="105"/>
      <c r="BO93" s="6" t="s">
        <v>942</v>
      </c>
      <c r="BP93" s="126">
        <f t="shared" si="44"/>
        <v>42.5</v>
      </c>
      <c r="BQ93" s="6">
        <f t="shared" si="45"/>
        <v>0</v>
      </c>
      <c r="BR93" s="6">
        <f t="shared" si="46"/>
        <v>0</v>
      </c>
      <c r="BS93" s="6">
        <f t="shared" si="47"/>
        <v>0</v>
      </c>
      <c r="BT93" s="6">
        <f t="shared" si="48"/>
        <v>1</v>
      </c>
      <c r="BU93" s="6">
        <f t="shared" si="49"/>
        <v>1</v>
      </c>
      <c r="BV93" s="6">
        <f t="shared" si="50"/>
        <v>0</v>
      </c>
    </row>
    <row r="94" spans="1:74" s="6" customFormat="1" x14ac:dyDescent="0.2">
      <c r="A94" s="6" t="s">
        <v>164</v>
      </c>
      <c r="B94" s="6" t="s">
        <v>178</v>
      </c>
      <c r="C94" s="6">
        <v>45</v>
      </c>
      <c r="F94" s="6" t="s">
        <v>247</v>
      </c>
      <c r="G94" s="6" t="s">
        <v>250</v>
      </c>
      <c r="H94" s="6" t="s">
        <v>187</v>
      </c>
      <c r="I94" s="6" t="s">
        <v>15</v>
      </c>
      <c r="J94" s="6" t="str">
        <f t="shared" si="26"/>
        <v>RACKPDU-RACK-R3-Z4E-R2-09-A</v>
      </c>
      <c r="K94" s="6" t="str">
        <f t="shared" si="27"/>
        <v>RACKPDU-RACK-R3-Z4E-R2-09-B</v>
      </c>
      <c r="L94" s="6">
        <v>45</v>
      </c>
      <c r="M94" s="6">
        <f>VLOOKUP($H94,'Cooling-Rack'!$A$2:$G$265,5,FALSE)</f>
        <v>38.25</v>
      </c>
      <c r="N94" s="6">
        <f>VLOOKUP($H94,'Cooling-Rack'!$A$2:$G$265,7,FALSE)</f>
        <v>6.7500000000000009</v>
      </c>
      <c r="O94" s="6">
        <v>54</v>
      </c>
      <c r="P94" s="105">
        <v>0.85</v>
      </c>
      <c r="Q94" s="105">
        <v>0.15000000000000002</v>
      </c>
      <c r="R94" s="14" t="s">
        <v>33</v>
      </c>
      <c r="S94" s="16" t="s">
        <v>34</v>
      </c>
      <c r="T94" s="6" t="s">
        <v>70</v>
      </c>
      <c r="U94" s="6" t="s">
        <v>72</v>
      </c>
      <c r="V94" s="6" t="s">
        <v>293</v>
      </c>
      <c r="W94" s="6" t="s">
        <v>294</v>
      </c>
      <c r="X94" s="6" t="s">
        <v>80</v>
      </c>
      <c r="Y94" s="6" t="s">
        <v>76</v>
      </c>
      <c r="Z94" s="6" t="s">
        <v>77</v>
      </c>
      <c r="AA94" s="6" t="s">
        <v>74</v>
      </c>
      <c r="AB94" s="6" t="s">
        <v>75</v>
      </c>
      <c r="AC94" s="6" t="s">
        <v>78</v>
      </c>
      <c r="AD94" s="6" t="s">
        <v>79</v>
      </c>
      <c r="AE94" s="6" t="s">
        <v>385</v>
      </c>
      <c r="AF94" s="6" t="s">
        <v>384</v>
      </c>
      <c r="AG94" s="6" t="s">
        <v>392</v>
      </c>
      <c r="AH94" s="6" t="s">
        <v>395</v>
      </c>
      <c r="AL94" s="6">
        <v>0</v>
      </c>
      <c r="AM94" s="6">
        <f t="shared" si="28"/>
        <v>0</v>
      </c>
      <c r="AN94" s="6">
        <f t="shared" si="29"/>
        <v>0</v>
      </c>
      <c r="AO94" s="6">
        <v>0</v>
      </c>
      <c r="AP94" s="6">
        <f t="shared" si="30"/>
        <v>0</v>
      </c>
      <c r="AQ94" s="6">
        <f t="shared" si="31"/>
        <v>0</v>
      </c>
      <c r="AR94" s="6">
        <v>30</v>
      </c>
      <c r="AS94" s="6">
        <f t="shared" si="51"/>
        <v>25.5</v>
      </c>
      <c r="AT94" s="6">
        <f t="shared" si="55"/>
        <v>4.5</v>
      </c>
      <c r="AU94" s="6">
        <v>30</v>
      </c>
      <c r="AV94" s="6">
        <f t="shared" si="53"/>
        <v>25.5</v>
      </c>
      <c r="AW94" s="6">
        <f t="shared" si="54"/>
        <v>4.5</v>
      </c>
      <c r="BA94" s="6">
        <f t="shared" si="32"/>
        <v>45</v>
      </c>
      <c r="BB94" s="6">
        <f t="shared" si="33"/>
        <v>45</v>
      </c>
      <c r="BC94" s="6">
        <f t="shared" si="34"/>
        <v>45</v>
      </c>
      <c r="BD94" s="6">
        <f t="shared" si="35"/>
        <v>15</v>
      </c>
      <c r="BE94" s="6">
        <f t="shared" si="36"/>
        <v>15</v>
      </c>
      <c r="BF94" s="6">
        <f t="shared" si="37"/>
        <v>45</v>
      </c>
      <c r="BG94" s="105">
        <f t="shared" si="38"/>
        <v>1</v>
      </c>
      <c r="BH94" s="105">
        <f t="shared" si="39"/>
        <v>1</v>
      </c>
      <c r="BI94" s="105">
        <f t="shared" si="40"/>
        <v>1</v>
      </c>
      <c r="BJ94" s="105">
        <f t="shared" si="41"/>
        <v>0.33333333333333331</v>
      </c>
      <c r="BK94" s="105">
        <f t="shared" si="42"/>
        <v>0.33333333333333331</v>
      </c>
      <c r="BL94" s="105">
        <f t="shared" si="43"/>
        <v>1</v>
      </c>
      <c r="BM94" s="105"/>
      <c r="BO94" s="6" t="s">
        <v>943</v>
      </c>
      <c r="BP94" s="126">
        <f t="shared" si="44"/>
        <v>42.5</v>
      </c>
      <c r="BQ94" s="6">
        <f t="shared" si="45"/>
        <v>0</v>
      </c>
      <c r="BR94" s="6">
        <f t="shared" si="46"/>
        <v>0</v>
      </c>
      <c r="BS94" s="6">
        <f t="shared" si="47"/>
        <v>0</v>
      </c>
      <c r="BT94" s="6">
        <f t="shared" si="48"/>
        <v>1</v>
      </c>
      <c r="BU94" s="6">
        <f t="shared" si="49"/>
        <v>1</v>
      </c>
      <c r="BV94" s="6">
        <f t="shared" si="50"/>
        <v>0</v>
      </c>
    </row>
    <row r="95" spans="1:74" s="6" customFormat="1" x14ac:dyDescent="0.2">
      <c r="A95" s="6" t="s">
        <v>164</v>
      </c>
      <c r="B95" s="6" t="s">
        <v>178</v>
      </c>
      <c r="C95" s="6">
        <v>45</v>
      </c>
      <c r="F95" s="6" t="s">
        <v>247</v>
      </c>
      <c r="G95" s="6" t="s">
        <v>250</v>
      </c>
      <c r="H95" s="6" t="s">
        <v>188</v>
      </c>
      <c r="I95" s="6" t="s">
        <v>15</v>
      </c>
      <c r="J95" s="6" t="str">
        <f t="shared" si="26"/>
        <v>RACKPDU-RACK-R3-Z4E-R2-10-A</v>
      </c>
      <c r="K95" s="6" t="str">
        <f t="shared" si="27"/>
        <v>RACKPDU-RACK-R3-Z4E-R2-10-B</v>
      </c>
      <c r="L95" s="6">
        <v>45</v>
      </c>
      <c r="M95" s="6">
        <f>VLOOKUP($H95,'Cooling-Rack'!$A$2:$G$265,5,FALSE)</f>
        <v>38.25</v>
      </c>
      <c r="N95" s="6">
        <f>VLOOKUP($H95,'Cooling-Rack'!$A$2:$G$265,7,FALSE)</f>
        <v>6.7500000000000009</v>
      </c>
      <c r="O95" s="6">
        <v>54</v>
      </c>
      <c r="P95" s="105">
        <v>0.85</v>
      </c>
      <c r="Q95" s="105">
        <v>0.15000000000000002</v>
      </c>
      <c r="R95" s="14" t="s">
        <v>33</v>
      </c>
      <c r="S95" s="16" t="s">
        <v>34</v>
      </c>
      <c r="T95" s="6" t="s">
        <v>70</v>
      </c>
      <c r="U95" s="6" t="s">
        <v>72</v>
      </c>
      <c r="V95" s="6" t="s">
        <v>293</v>
      </c>
      <c r="W95" s="6" t="s">
        <v>294</v>
      </c>
      <c r="X95" s="6" t="s">
        <v>80</v>
      </c>
      <c r="Y95" s="6" t="s">
        <v>76</v>
      </c>
      <c r="Z95" s="6" t="s">
        <v>77</v>
      </c>
      <c r="AA95" s="6" t="s">
        <v>74</v>
      </c>
      <c r="AB95" s="6" t="s">
        <v>75</v>
      </c>
      <c r="AC95" s="6" t="s">
        <v>78</v>
      </c>
      <c r="AD95" s="6" t="s">
        <v>79</v>
      </c>
      <c r="AE95" s="6" t="s">
        <v>385</v>
      </c>
      <c r="AF95" s="6" t="s">
        <v>384</v>
      </c>
      <c r="AG95" s="6" t="s">
        <v>392</v>
      </c>
      <c r="AH95" s="6" t="s">
        <v>395</v>
      </c>
      <c r="AL95" s="6">
        <v>0</v>
      </c>
      <c r="AM95" s="6">
        <f t="shared" si="28"/>
        <v>0</v>
      </c>
      <c r="AN95" s="6">
        <f t="shared" si="29"/>
        <v>0</v>
      </c>
      <c r="AO95" s="6">
        <v>0</v>
      </c>
      <c r="AP95" s="6">
        <f t="shared" si="30"/>
        <v>0</v>
      </c>
      <c r="AQ95" s="6">
        <f t="shared" si="31"/>
        <v>0</v>
      </c>
      <c r="AR95" s="6">
        <v>30</v>
      </c>
      <c r="AS95" s="6">
        <f t="shared" si="51"/>
        <v>25.5</v>
      </c>
      <c r="AT95" s="6">
        <f t="shared" si="55"/>
        <v>4.5</v>
      </c>
      <c r="AU95" s="6">
        <v>30</v>
      </c>
      <c r="AV95" s="6">
        <f t="shared" si="53"/>
        <v>25.5</v>
      </c>
      <c r="AW95" s="6">
        <f t="shared" si="54"/>
        <v>4.5</v>
      </c>
      <c r="BA95" s="6">
        <f t="shared" si="32"/>
        <v>45</v>
      </c>
      <c r="BB95" s="6">
        <f t="shared" si="33"/>
        <v>45</v>
      </c>
      <c r="BC95" s="6">
        <f t="shared" si="34"/>
        <v>45</v>
      </c>
      <c r="BD95" s="6">
        <f t="shared" si="35"/>
        <v>15</v>
      </c>
      <c r="BE95" s="6">
        <f t="shared" si="36"/>
        <v>15</v>
      </c>
      <c r="BF95" s="6">
        <f t="shared" si="37"/>
        <v>45</v>
      </c>
      <c r="BG95" s="105">
        <f t="shared" si="38"/>
        <v>1</v>
      </c>
      <c r="BH95" s="105">
        <f t="shared" si="39"/>
        <v>1</v>
      </c>
      <c r="BI95" s="105">
        <f t="shared" si="40"/>
        <v>1</v>
      </c>
      <c r="BJ95" s="105">
        <f t="shared" si="41"/>
        <v>0.33333333333333331</v>
      </c>
      <c r="BK95" s="105">
        <f t="shared" si="42"/>
        <v>0.33333333333333331</v>
      </c>
      <c r="BL95" s="105">
        <f t="shared" si="43"/>
        <v>1</v>
      </c>
      <c r="BM95" s="105"/>
      <c r="BO95" s="6" t="s">
        <v>944</v>
      </c>
      <c r="BP95" s="126">
        <f t="shared" si="44"/>
        <v>42.5</v>
      </c>
      <c r="BQ95" s="6">
        <f t="shared" si="45"/>
        <v>0</v>
      </c>
      <c r="BR95" s="6">
        <f t="shared" si="46"/>
        <v>0</v>
      </c>
      <c r="BS95" s="6">
        <f t="shared" si="47"/>
        <v>0</v>
      </c>
      <c r="BT95" s="6">
        <f t="shared" si="48"/>
        <v>1</v>
      </c>
      <c r="BU95" s="6">
        <f t="shared" si="49"/>
        <v>1</v>
      </c>
      <c r="BV95" s="6">
        <f t="shared" si="50"/>
        <v>0</v>
      </c>
    </row>
    <row r="96" spans="1:74" s="6" customFormat="1" x14ac:dyDescent="0.2">
      <c r="A96" s="6" t="s">
        <v>164</v>
      </c>
      <c r="B96" s="6" t="s">
        <v>178</v>
      </c>
      <c r="C96" s="6">
        <v>45</v>
      </c>
      <c r="F96" s="6" t="s">
        <v>247</v>
      </c>
      <c r="G96" s="6" t="s">
        <v>250</v>
      </c>
      <c r="H96" s="6" t="s">
        <v>189</v>
      </c>
      <c r="I96" s="6" t="s">
        <v>15</v>
      </c>
      <c r="J96" s="6" t="str">
        <f t="shared" si="26"/>
        <v>RACKPDU-RACK-R3-Z4E-R2-11-A</v>
      </c>
      <c r="K96" s="6" t="str">
        <f t="shared" si="27"/>
        <v>RACKPDU-RACK-R3-Z4E-R2-11-B</v>
      </c>
      <c r="L96" s="6">
        <v>45</v>
      </c>
      <c r="M96" s="6">
        <f>VLOOKUP($H96,'Cooling-Rack'!$A$2:$G$265,5,FALSE)</f>
        <v>38.25</v>
      </c>
      <c r="N96" s="6">
        <f>VLOOKUP($H96,'Cooling-Rack'!$A$2:$G$265,7,FALSE)</f>
        <v>6.7500000000000009</v>
      </c>
      <c r="O96" s="6">
        <v>54</v>
      </c>
      <c r="P96" s="105">
        <v>0.85</v>
      </c>
      <c r="Q96" s="105">
        <v>0.15000000000000002</v>
      </c>
      <c r="R96" s="14" t="s">
        <v>33</v>
      </c>
      <c r="S96" s="16" t="s">
        <v>34</v>
      </c>
      <c r="T96" s="6" t="s">
        <v>70</v>
      </c>
      <c r="U96" s="6" t="s">
        <v>72</v>
      </c>
      <c r="V96" s="6" t="s">
        <v>293</v>
      </c>
      <c r="W96" s="6" t="s">
        <v>294</v>
      </c>
      <c r="X96" s="6" t="s">
        <v>80</v>
      </c>
      <c r="Y96" s="6" t="s">
        <v>76</v>
      </c>
      <c r="Z96" s="6" t="s">
        <v>77</v>
      </c>
      <c r="AA96" s="6" t="s">
        <v>74</v>
      </c>
      <c r="AB96" s="6" t="s">
        <v>75</v>
      </c>
      <c r="AC96" s="6" t="s">
        <v>78</v>
      </c>
      <c r="AD96" s="6" t="s">
        <v>79</v>
      </c>
      <c r="AE96" s="6" t="s">
        <v>385</v>
      </c>
      <c r="AF96" s="6" t="s">
        <v>384</v>
      </c>
      <c r="AG96" s="6" t="s">
        <v>392</v>
      </c>
      <c r="AH96" s="6" t="s">
        <v>395</v>
      </c>
      <c r="AL96" s="6">
        <v>0</v>
      </c>
      <c r="AM96" s="6">
        <f t="shared" si="28"/>
        <v>0</v>
      </c>
      <c r="AN96" s="6">
        <f t="shared" si="29"/>
        <v>0</v>
      </c>
      <c r="AO96" s="6">
        <v>0</v>
      </c>
      <c r="AP96" s="6">
        <f t="shared" si="30"/>
        <v>0</v>
      </c>
      <c r="AQ96" s="6">
        <f t="shared" si="31"/>
        <v>0</v>
      </c>
      <c r="AR96" s="6">
        <v>30</v>
      </c>
      <c r="AS96" s="6">
        <f t="shared" si="51"/>
        <v>25.5</v>
      </c>
      <c r="AT96" s="6">
        <f t="shared" si="55"/>
        <v>4.5</v>
      </c>
      <c r="AU96" s="6">
        <v>30</v>
      </c>
      <c r="AV96" s="6">
        <f t="shared" si="53"/>
        <v>25.5</v>
      </c>
      <c r="AW96" s="6">
        <f t="shared" si="54"/>
        <v>4.5</v>
      </c>
      <c r="BA96" s="6">
        <f t="shared" si="32"/>
        <v>45</v>
      </c>
      <c r="BB96" s="6">
        <f t="shared" si="33"/>
        <v>45</v>
      </c>
      <c r="BC96" s="6">
        <f t="shared" si="34"/>
        <v>45</v>
      </c>
      <c r="BD96" s="6">
        <f t="shared" si="35"/>
        <v>15</v>
      </c>
      <c r="BE96" s="6">
        <f t="shared" si="36"/>
        <v>15</v>
      </c>
      <c r="BF96" s="6">
        <f t="shared" si="37"/>
        <v>45</v>
      </c>
      <c r="BG96" s="105">
        <f t="shared" si="38"/>
        <v>1</v>
      </c>
      <c r="BH96" s="105">
        <f t="shared" si="39"/>
        <v>1</v>
      </c>
      <c r="BI96" s="105">
        <f t="shared" si="40"/>
        <v>1</v>
      </c>
      <c r="BJ96" s="105">
        <f t="shared" si="41"/>
        <v>0.33333333333333331</v>
      </c>
      <c r="BK96" s="105">
        <f t="shared" si="42"/>
        <v>0.33333333333333331</v>
      </c>
      <c r="BL96" s="105">
        <f t="shared" si="43"/>
        <v>1</v>
      </c>
      <c r="BM96" s="105"/>
      <c r="BO96" s="6" t="s">
        <v>945</v>
      </c>
      <c r="BP96" s="126">
        <f t="shared" si="44"/>
        <v>42.5</v>
      </c>
      <c r="BQ96" s="6">
        <f t="shared" si="45"/>
        <v>0</v>
      </c>
      <c r="BR96" s="6">
        <f t="shared" si="46"/>
        <v>0</v>
      </c>
      <c r="BS96" s="6">
        <f t="shared" si="47"/>
        <v>0</v>
      </c>
      <c r="BT96" s="6">
        <f t="shared" si="48"/>
        <v>1</v>
      </c>
      <c r="BU96" s="6">
        <f t="shared" si="49"/>
        <v>1</v>
      </c>
      <c r="BV96" s="6">
        <f t="shared" si="50"/>
        <v>0</v>
      </c>
    </row>
    <row r="97" spans="1:74" s="6" customFormat="1" x14ac:dyDescent="0.2">
      <c r="A97" s="6" t="s">
        <v>164</v>
      </c>
      <c r="B97" s="6" t="s">
        <v>178</v>
      </c>
      <c r="C97" s="6">
        <v>45</v>
      </c>
      <c r="F97" s="6" t="s">
        <v>247</v>
      </c>
      <c r="G97" s="6" t="s">
        <v>250</v>
      </c>
      <c r="H97" s="6" t="s">
        <v>190</v>
      </c>
      <c r="I97" s="6" t="s">
        <v>15</v>
      </c>
      <c r="J97" s="6" t="str">
        <f t="shared" si="26"/>
        <v>RACKPDU-RACK-R3-Z4E-R2-12-A</v>
      </c>
      <c r="K97" s="6" t="str">
        <f t="shared" si="27"/>
        <v>RACKPDU-RACK-R3-Z4E-R2-12-B</v>
      </c>
      <c r="L97" s="6">
        <v>45</v>
      </c>
      <c r="M97" s="6">
        <f>VLOOKUP($H97,'Cooling-Rack'!$A$2:$G$265,5,FALSE)</f>
        <v>38.25</v>
      </c>
      <c r="N97" s="6">
        <f>VLOOKUP($H97,'Cooling-Rack'!$A$2:$G$265,7,FALSE)</f>
        <v>6.7500000000000009</v>
      </c>
      <c r="O97" s="6">
        <v>54</v>
      </c>
      <c r="P97" s="105">
        <v>0.85</v>
      </c>
      <c r="Q97" s="105">
        <v>0.15000000000000002</v>
      </c>
      <c r="R97" s="14" t="s">
        <v>33</v>
      </c>
      <c r="S97" s="16" t="s">
        <v>34</v>
      </c>
      <c r="T97" s="6" t="s">
        <v>70</v>
      </c>
      <c r="U97" s="6" t="s">
        <v>72</v>
      </c>
      <c r="V97" s="6" t="s">
        <v>293</v>
      </c>
      <c r="W97" s="6" t="s">
        <v>294</v>
      </c>
      <c r="X97" s="6" t="s">
        <v>80</v>
      </c>
      <c r="Y97" s="6" t="s">
        <v>76</v>
      </c>
      <c r="Z97" s="6" t="s">
        <v>77</v>
      </c>
      <c r="AA97" s="6" t="s">
        <v>74</v>
      </c>
      <c r="AB97" s="6" t="s">
        <v>75</v>
      </c>
      <c r="AC97" s="6" t="s">
        <v>78</v>
      </c>
      <c r="AD97" s="6" t="s">
        <v>79</v>
      </c>
      <c r="AE97" s="6" t="s">
        <v>385</v>
      </c>
      <c r="AF97" s="6" t="s">
        <v>384</v>
      </c>
      <c r="AG97" s="6" t="s">
        <v>392</v>
      </c>
      <c r="AH97" s="6" t="s">
        <v>395</v>
      </c>
      <c r="AL97" s="6">
        <v>0</v>
      </c>
      <c r="AM97" s="6">
        <f t="shared" si="28"/>
        <v>0</v>
      </c>
      <c r="AN97" s="6">
        <f t="shared" si="29"/>
        <v>0</v>
      </c>
      <c r="AO97" s="6">
        <v>0</v>
      </c>
      <c r="AP97" s="6">
        <f t="shared" si="30"/>
        <v>0</v>
      </c>
      <c r="AQ97" s="6">
        <f t="shared" si="31"/>
        <v>0</v>
      </c>
      <c r="AR97" s="6">
        <v>30</v>
      </c>
      <c r="AS97" s="6">
        <f t="shared" si="51"/>
        <v>25.5</v>
      </c>
      <c r="AT97" s="6">
        <f t="shared" si="55"/>
        <v>4.5</v>
      </c>
      <c r="AU97" s="6">
        <v>30</v>
      </c>
      <c r="AV97" s="6">
        <f t="shared" si="53"/>
        <v>25.5</v>
      </c>
      <c r="AW97" s="6">
        <f t="shared" si="54"/>
        <v>4.5</v>
      </c>
      <c r="BA97" s="6">
        <f t="shared" si="32"/>
        <v>45</v>
      </c>
      <c r="BB97" s="6">
        <f t="shared" si="33"/>
        <v>45</v>
      </c>
      <c r="BC97" s="6">
        <f t="shared" si="34"/>
        <v>45</v>
      </c>
      <c r="BD97" s="6">
        <f t="shared" si="35"/>
        <v>15</v>
      </c>
      <c r="BE97" s="6">
        <f t="shared" si="36"/>
        <v>15</v>
      </c>
      <c r="BF97" s="6">
        <f t="shared" si="37"/>
        <v>45</v>
      </c>
      <c r="BG97" s="105">
        <f t="shared" si="38"/>
        <v>1</v>
      </c>
      <c r="BH97" s="105">
        <f t="shared" si="39"/>
        <v>1</v>
      </c>
      <c r="BI97" s="105">
        <f t="shared" si="40"/>
        <v>1</v>
      </c>
      <c r="BJ97" s="105">
        <f t="shared" si="41"/>
        <v>0.33333333333333331</v>
      </c>
      <c r="BK97" s="105">
        <f t="shared" si="42"/>
        <v>0.33333333333333331</v>
      </c>
      <c r="BL97" s="105">
        <f t="shared" si="43"/>
        <v>1</v>
      </c>
      <c r="BM97" s="105"/>
      <c r="BO97" s="6" t="s">
        <v>946</v>
      </c>
      <c r="BP97" s="126">
        <f t="shared" si="44"/>
        <v>42.5</v>
      </c>
      <c r="BQ97" s="6">
        <f t="shared" si="45"/>
        <v>0</v>
      </c>
      <c r="BR97" s="6">
        <f t="shared" si="46"/>
        <v>0</v>
      </c>
      <c r="BS97" s="6">
        <f t="shared" si="47"/>
        <v>0</v>
      </c>
      <c r="BT97" s="6">
        <f t="shared" si="48"/>
        <v>1</v>
      </c>
      <c r="BU97" s="6">
        <f t="shared" si="49"/>
        <v>1</v>
      </c>
      <c r="BV97" s="6">
        <f t="shared" si="50"/>
        <v>0</v>
      </c>
    </row>
    <row r="98" spans="1:74" s="7" customFormat="1" x14ac:dyDescent="0.2">
      <c r="A98" s="7" t="s">
        <v>191</v>
      </c>
      <c r="B98" s="7" t="s">
        <v>192</v>
      </c>
      <c r="C98" s="7">
        <v>45</v>
      </c>
      <c r="F98" s="7" t="s">
        <v>247</v>
      </c>
      <c r="G98" s="7" t="s">
        <v>250</v>
      </c>
      <c r="H98" s="7" t="s">
        <v>193</v>
      </c>
      <c r="I98" s="7" t="s">
        <v>15</v>
      </c>
      <c r="J98" s="7" t="str">
        <f t="shared" si="26"/>
        <v>RACKPDU-RACK-R3-Z5E-R1-01-A</v>
      </c>
      <c r="K98" s="7" t="str">
        <f t="shared" si="27"/>
        <v>RACKPDU-RACK-R3-Z5E-R1-01-B</v>
      </c>
      <c r="L98" s="7">
        <v>45</v>
      </c>
      <c r="M98" s="7">
        <f>VLOOKUP($H98,'Cooling-Rack'!$A$2:$G$265,5,FALSE)</f>
        <v>38.25</v>
      </c>
      <c r="N98" s="7">
        <f>VLOOKUP($H98,'Cooling-Rack'!$A$2:$G$265,7,FALSE)</f>
        <v>6.7500000000000009</v>
      </c>
      <c r="O98" s="7">
        <v>54</v>
      </c>
      <c r="P98" s="104">
        <v>0.85</v>
      </c>
      <c r="Q98" s="104">
        <v>0.15000000000000002</v>
      </c>
      <c r="R98" s="13" t="s">
        <v>32</v>
      </c>
      <c r="S98" s="7" t="s">
        <v>29</v>
      </c>
      <c r="T98" s="7" t="s">
        <v>70</v>
      </c>
      <c r="U98" s="7" t="s">
        <v>72</v>
      </c>
      <c r="V98" s="7" t="s">
        <v>293</v>
      </c>
      <c r="W98" s="7" t="s">
        <v>294</v>
      </c>
      <c r="X98" s="7" t="s">
        <v>80</v>
      </c>
      <c r="Y98" s="7" t="s">
        <v>76</v>
      </c>
      <c r="Z98" s="7" t="s">
        <v>77</v>
      </c>
      <c r="AA98" s="7" t="s">
        <v>74</v>
      </c>
      <c r="AB98" s="7" t="s">
        <v>75</v>
      </c>
      <c r="AC98" s="7" t="s">
        <v>78</v>
      </c>
      <c r="AD98" s="7" t="s">
        <v>79</v>
      </c>
      <c r="AE98" s="7" t="s">
        <v>385</v>
      </c>
      <c r="AF98" s="7" t="s">
        <v>384</v>
      </c>
      <c r="AG98" s="7" t="s">
        <v>392</v>
      </c>
      <c r="AH98" s="7" t="s">
        <v>395</v>
      </c>
      <c r="AL98" s="7">
        <v>0</v>
      </c>
      <c r="AM98" s="7">
        <f t="shared" si="28"/>
        <v>0</v>
      </c>
      <c r="AN98" s="7">
        <f t="shared" si="29"/>
        <v>0</v>
      </c>
      <c r="AO98" s="7">
        <v>0</v>
      </c>
      <c r="AP98" s="7">
        <f t="shared" si="30"/>
        <v>0</v>
      </c>
      <c r="AQ98" s="7">
        <f t="shared" si="31"/>
        <v>0</v>
      </c>
      <c r="AR98" s="7">
        <v>30</v>
      </c>
      <c r="AS98" s="7">
        <f t="shared" si="51"/>
        <v>25.5</v>
      </c>
      <c r="AT98" s="7">
        <f t="shared" si="55"/>
        <v>4.5</v>
      </c>
      <c r="AU98" s="7">
        <v>30</v>
      </c>
      <c r="AV98" s="7">
        <f t="shared" si="53"/>
        <v>25.5</v>
      </c>
      <c r="AW98" s="7">
        <f t="shared" si="54"/>
        <v>4.5</v>
      </c>
      <c r="BA98" s="7">
        <f t="shared" si="32"/>
        <v>45</v>
      </c>
      <c r="BB98" s="7">
        <f t="shared" si="33"/>
        <v>45</v>
      </c>
      <c r="BC98" s="7">
        <f t="shared" si="34"/>
        <v>45</v>
      </c>
      <c r="BD98" s="7">
        <f t="shared" si="35"/>
        <v>15</v>
      </c>
      <c r="BE98" s="7">
        <f t="shared" si="36"/>
        <v>15</v>
      </c>
      <c r="BF98" s="7">
        <f t="shared" si="37"/>
        <v>45</v>
      </c>
      <c r="BG98" s="104">
        <f t="shared" si="38"/>
        <v>1</v>
      </c>
      <c r="BH98" s="104">
        <f t="shared" si="39"/>
        <v>1</v>
      </c>
      <c r="BI98" s="104">
        <f t="shared" si="40"/>
        <v>1</v>
      </c>
      <c r="BJ98" s="104">
        <f t="shared" si="41"/>
        <v>0.33333333333333331</v>
      </c>
      <c r="BK98" s="104">
        <f t="shared" si="42"/>
        <v>0.33333333333333331</v>
      </c>
      <c r="BL98" s="104">
        <f t="shared" si="43"/>
        <v>1</v>
      </c>
      <c r="BM98" s="104"/>
      <c r="BO98" s="7" t="s">
        <v>947</v>
      </c>
      <c r="BP98" s="125">
        <f t="shared" si="44"/>
        <v>42.5</v>
      </c>
      <c r="BQ98" s="7">
        <f t="shared" si="45"/>
        <v>0</v>
      </c>
      <c r="BR98" s="7">
        <f t="shared" si="46"/>
        <v>0</v>
      </c>
      <c r="BS98" s="7">
        <f t="shared" si="47"/>
        <v>0</v>
      </c>
      <c r="BT98" s="7">
        <f t="shared" si="48"/>
        <v>1</v>
      </c>
      <c r="BU98" s="7">
        <f t="shared" si="49"/>
        <v>1</v>
      </c>
      <c r="BV98" s="7">
        <f t="shared" si="50"/>
        <v>0</v>
      </c>
    </row>
    <row r="99" spans="1:74" s="7" customFormat="1" x14ac:dyDescent="0.2">
      <c r="A99" s="7" t="s">
        <v>191</v>
      </c>
      <c r="B99" s="7" t="s">
        <v>192</v>
      </c>
      <c r="C99" s="7">
        <v>45</v>
      </c>
      <c r="F99" s="7" t="s">
        <v>247</v>
      </c>
      <c r="G99" s="7" t="s">
        <v>250</v>
      </c>
      <c r="H99" s="7" t="s">
        <v>194</v>
      </c>
      <c r="I99" s="7" t="s">
        <v>15</v>
      </c>
      <c r="J99" s="7" t="str">
        <f t="shared" si="26"/>
        <v>RACKPDU-RACK-R3-Z5E-R1-02-A</v>
      </c>
      <c r="K99" s="7" t="str">
        <f t="shared" si="27"/>
        <v>RACKPDU-RACK-R3-Z5E-R1-02-B</v>
      </c>
      <c r="L99" s="7">
        <v>45</v>
      </c>
      <c r="M99" s="7">
        <f>VLOOKUP($H99,'Cooling-Rack'!$A$2:$G$265,5,FALSE)</f>
        <v>38.25</v>
      </c>
      <c r="N99" s="7">
        <f>VLOOKUP($H99,'Cooling-Rack'!$A$2:$G$265,7,FALSE)</f>
        <v>6.7500000000000009</v>
      </c>
      <c r="O99" s="7">
        <v>54</v>
      </c>
      <c r="P99" s="104">
        <v>0.85</v>
      </c>
      <c r="Q99" s="104">
        <v>0.15000000000000002</v>
      </c>
      <c r="R99" s="15" t="s">
        <v>33</v>
      </c>
      <c r="S99" s="7" t="s">
        <v>29</v>
      </c>
      <c r="T99" s="7" t="s">
        <v>70</v>
      </c>
      <c r="U99" s="7" t="s">
        <v>72</v>
      </c>
      <c r="V99" s="7" t="s">
        <v>293</v>
      </c>
      <c r="W99" s="7" t="s">
        <v>294</v>
      </c>
      <c r="X99" s="7" t="s">
        <v>80</v>
      </c>
      <c r="Y99" s="7" t="s">
        <v>76</v>
      </c>
      <c r="Z99" s="7" t="s">
        <v>77</v>
      </c>
      <c r="AA99" s="7" t="s">
        <v>74</v>
      </c>
      <c r="AB99" s="7" t="s">
        <v>75</v>
      </c>
      <c r="AC99" s="7" t="s">
        <v>78</v>
      </c>
      <c r="AD99" s="7" t="s">
        <v>79</v>
      </c>
      <c r="AE99" s="7" t="s">
        <v>385</v>
      </c>
      <c r="AF99" s="7" t="s">
        <v>384</v>
      </c>
      <c r="AG99" s="7" t="s">
        <v>392</v>
      </c>
      <c r="AH99" s="7" t="s">
        <v>395</v>
      </c>
      <c r="AL99" s="7">
        <v>0</v>
      </c>
      <c r="AM99" s="7">
        <f t="shared" si="28"/>
        <v>0</v>
      </c>
      <c r="AN99" s="7">
        <f t="shared" si="29"/>
        <v>0</v>
      </c>
      <c r="AO99" s="7">
        <v>0</v>
      </c>
      <c r="AP99" s="7">
        <f t="shared" si="30"/>
        <v>0</v>
      </c>
      <c r="AQ99" s="7">
        <f t="shared" si="31"/>
        <v>0</v>
      </c>
      <c r="AR99" s="7">
        <v>30</v>
      </c>
      <c r="AS99" s="7">
        <f t="shared" si="51"/>
        <v>25.5</v>
      </c>
      <c r="AT99" s="7">
        <f t="shared" si="55"/>
        <v>4.5</v>
      </c>
      <c r="AU99" s="7">
        <v>30</v>
      </c>
      <c r="AV99" s="7">
        <f t="shared" si="53"/>
        <v>25.5</v>
      </c>
      <c r="AW99" s="7">
        <f t="shared" si="54"/>
        <v>4.5</v>
      </c>
      <c r="BA99" s="7">
        <f t="shared" si="32"/>
        <v>45</v>
      </c>
      <c r="BB99" s="7">
        <f t="shared" si="33"/>
        <v>45</v>
      </c>
      <c r="BC99" s="7">
        <f t="shared" si="34"/>
        <v>45</v>
      </c>
      <c r="BD99" s="7">
        <f t="shared" si="35"/>
        <v>15</v>
      </c>
      <c r="BE99" s="7">
        <f t="shared" si="36"/>
        <v>15</v>
      </c>
      <c r="BF99" s="7">
        <f t="shared" si="37"/>
        <v>45</v>
      </c>
      <c r="BG99" s="104">
        <f t="shared" si="38"/>
        <v>1</v>
      </c>
      <c r="BH99" s="104">
        <f t="shared" si="39"/>
        <v>1</v>
      </c>
      <c r="BI99" s="104">
        <f t="shared" si="40"/>
        <v>1</v>
      </c>
      <c r="BJ99" s="104">
        <f t="shared" si="41"/>
        <v>0.33333333333333331</v>
      </c>
      <c r="BK99" s="104">
        <f t="shared" si="42"/>
        <v>0.33333333333333331</v>
      </c>
      <c r="BL99" s="104">
        <f t="shared" si="43"/>
        <v>1</v>
      </c>
      <c r="BM99" s="104"/>
      <c r="BO99" s="7" t="s">
        <v>948</v>
      </c>
      <c r="BP99" s="125">
        <f t="shared" si="44"/>
        <v>42.5</v>
      </c>
      <c r="BQ99" s="7">
        <f t="shared" si="45"/>
        <v>0</v>
      </c>
      <c r="BR99" s="7">
        <f t="shared" si="46"/>
        <v>0</v>
      </c>
      <c r="BS99" s="7">
        <f t="shared" si="47"/>
        <v>0</v>
      </c>
      <c r="BT99" s="7">
        <f t="shared" si="48"/>
        <v>1</v>
      </c>
      <c r="BU99" s="7">
        <f t="shared" si="49"/>
        <v>1</v>
      </c>
      <c r="BV99" s="7">
        <f t="shared" si="50"/>
        <v>0</v>
      </c>
    </row>
    <row r="100" spans="1:74" s="7" customFormat="1" x14ac:dyDescent="0.2">
      <c r="A100" s="7" t="s">
        <v>191</v>
      </c>
      <c r="B100" s="7" t="s">
        <v>192</v>
      </c>
      <c r="C100" s="7">
        <v>45</v>
      </c>
      <c r="F100" s="7" t="s">
        <v>247</v>
      </c>
      <c r="G100" s="7" t="s">
        <v>250</v>
      </c>
      <c r="H100" s="7" t="s">
        <v>195</v>
      </c>
      <c r="I100" s="7" t="s">
        <v>15</v>
      </c>
      <c r="J100" s="7" t="str">
        <f t="shared" si="26"/>
        <v>RACKPDU-RACK-R3-Z5E-R1-03-A</v>
      </c>
      <c r="K100" s="7" t="str">
        <f t="shared" si="27"/>
        <v>RACKPDU-RACK-R3-Z5E-R1-03-B</v>
      </c>
      <c r="L100" s="7">
        <v>45</v>
      </c>
      <c r="M100" s="7">
        <f>VLOOKUP($H100,'Cooling-Rack'!$A$2:$G$265,5,FALSE)</f>
        <v>38.25</v>
      </c>
      <c r="N100" s="7">
        <f>VLOOKUP($H100,'Cooling-Rack'!$A$2:$G$265,7,FALSE)</f>
        <v>6.7500000000000009</v>
      </c>
      <c r="O100" s="7">
        <v>54</v>
      </c>
      <c r="P100" s="104">
        <v>0.85</v>
      </c>
      <c r="Q100" s="104">
        <v>0.15000000000000002</v>
      </c>
      <c r="R100" s="13" t="s">
        <v>32</v>
      </c>
      <c r="S100" s="7" t="s">
        <v>29</v>
      </c>
      <c r="T100" s="7" t="s">
        <v>70</v>
      </c>
      <c r="U100" s="7" t="s">
        <v>72</v>
      </c>
      <c r="V100" s="7" t="s">
        <v>293</v>
      </c>
      <c r="W100" s="7" t="s">
        <v>294</v>
      </c>
      <c r="X100" s="7" t="s">
        <v>80</v>
      </c>
      <c r="Y100" s="7" t="s">
        <v>76</v>
      </c>
      <c r="Z100" s="7" t="s">
        <v>77</v>
      </c>
      <c r="AA100" s="7" t="s">
        <v>74</v>
      </c>
      <c r="AB100" s="7" t="s">
        <v>75</v>
      </c>
      <c r="AC100" s="7" t="s">
        <v>78</v>
      </c>
      <c r="AD100" s="7" t="s">
        <v>79</v>
      </c>
      <c r="AE100" s="7" t="s">
        <v>385</v>
      </c>
      <c r="AF100" s="7" t="s">
        <v>384</v>
      </c>
      <c r="AG100" s="7" t="s">
        <v>392</v>
      </c>
      <c r="AH100" s="7" t="s">
        <v>395</v>
      </c>
      <c r="AL100" s="7">
        <v>0</v>
      </c>
      <c r="AM100" s="7">
        <f t="shared" si="28"/>
        <v>0</v>
      </c>
      <c r="AN100" s="7">
        <f t="shared" si="29"/>
        <v>0</v>
      </c>
      <c r="AO100" s="7">
        <v>0</v>
      </c>
      <c r="AP100" s="7">
        <f t="shared" si="30"/>
        <v>0</v>
      </c>
      <c r="AQ100" s="7">
        <f t="shared" si="31"/>
        <v>0</v>
      </c>
      <c r="AR100" s="7">
        <v>30</v>
      </c>
      <c r="AS100" s="7">
        <f t="shared" si="51"/>
        <v>25.5</v>
      </c>
      <c r="AT100" s="7">
        <f t="shared" si="55"/>
        <v>4.5</v>
      </c>
      <c r="AU100" s="7">
        <v>30</v>
      </c>
      <c r="AV100" s="7">
        <f t="shared" si="53"/>
        <v>25.5</v>
      </c>
      <c r="AW100" s="7">
        <f t="shared" si="54"/>
        <v>4.5</v>
      </c>
      <c r="BA100" s="7">
        <f t="shared" si="32"/>
        <v>45</v>
      </c>
      <c r="BB100" s="7">
        <f t="shared" si="33"/>
        <v>45</v>
      </c>
      <c r="BC100" s="7">
        <f t="shared" si="34"/>
        <v>45</v>
      </c>
      <c r="BD100" s="7">
        <f t="shared" si="35"/>
        <v>15</v>
      </c>
      <c r="BE100" s="7">
        <f t="shared" si="36"/>
        <v>15</v>
      </c>
      <c r="BF100" s="7">
        <f t="shared" si="37"/>
        <v>45</v>
      </c>
      <c r="BG100" s="104">
        <f t="shared" si="38"/>
        <v>1</v>
      </c>
      <c r="BH100" s="104">
        <f t="shared" si="39"/>
        <v>1</v>
      </c>
      <c r="BI100" s="104">
        <f t="shared" si="40"/>
        <v>1</v>
      </c>
      <c r="BJ100" s="104">
        <f t="shared" si="41"/>
        <v>0.33333333333333331</v>
      </c>
      <c r="BK100" s="104">
        <f t="shared" si="42"/>
        <v>0.33333333333333331</v>
      </c>
      <c r="BL100" s="104">
        <f t="shared" si="43"/>
        <v>1</v>
      </c>
      <c r="BM100" s="104"/>
      <c r="BO100" s="7" t="s">
        <v>949</v>
      </c>
      <c r="BP100" s="125">
        <f t="shared" si="44"/>
        <v>42.5</v>
      </c>
      <c r="BQ100" s="7">
        <f t="shared" si="45"/>
        <v>0</v>
      </c>
      <c r="BR100" s="7">
        <f t="shared" si="46"/>
        <v>0</v>
      </c>
      <c r="BS100" s="7">
        <f t="shared" si="47"/>
        <v>0</v>
      </c>
      <c r="BT100" s="7">
        <f t="shared" si="48"/>
        <v>1</v>
      </c>
      <c r="BU100" s="7">
        <f t="shared" si="49"/>
        <v>1</v>
      </c>
      <c r="BV100" s="7">
        <f t="shared" si="50"/>
        <v>0</v>
      </c>
    </row>
    <row r="101" spans="1:74" s="7" customFormat="1" x14ac:dyDescent="0.2">
      <c r="A101" s="7" t="s">
        <v>191</v>
      </c>
      <c r="B101" s="7" t="s">
        <v>192</v>
      </c>
      <c r="C101" s="7">
        <v>45</v>
      </c>
      <c r="F101" s="7" t="s">
        <v>247</v>
      </c>
      <c r="G101" s="7" t="s">
        <v>250</v>
      </c>
      <c r="H101" s="7" t="s">
        <v>196</v>
      </c>
      <c r="I101" s="7" t="s">
        <v>15</v>
      </c>
      <c r="J101" s="7" t="str">
        <f t="shared" si="26"/>
        <v>RACKPDU-RACK-R3-Z5E-R1-04-A</v>
      </c>
      <c r="K101" s="7" t="str">
        <f t="shared" si="27"/>
        <v>RACKPDU-RACK-R3-Z5E-R1-04-B</v>
      </c>
      <c r="L101" s="7">
        <v>45</v>
      </c>
      <c r="M101" s="7">
        <f>VLOOKUP($H101,'Cooling-Rack'!$A$2:$G$265,5,FALSE)</f>
        <v>38.25</v>
      </c>
      <c r="N101" s="7">
        <f>VLOOKUP($H101,'Cooling-Rack'!$A$2:$G$265,7,FALSE)</f>
        <v>6.7500000000000009</v>
      </c>
      <c r="O101" s="7">
        <v>54</v>
      </c>
      <c r="P101" s="104">
        <v>0.85</v>
      </c>
      <c r="Q101" s="104">
        <v>0.15000000000000002</v>
      </c>
      <c r="R101" s="15" t="s">
        <v>33</v>
      </c>
      <c r="S101" s="7" t="s">
        <v>29</v>
      </c>
      <c r="T101" s="7" t="s">
        <v>70</v>
      </c>
      <c r="U101" s="7" t="s">
        <v>72</v>
      </c>
      <c r="V101" s="7" t="s">
        <v>293</v>
      </c>
      <c r="W101" s="7" t="s">
        <v>294</v>
      </c>
      <c r="X101" s="7" t="s">
        <v>80</v>
      </c>
      <c r="Y101" s="7" t="s">
        <v>76</v>
      </c>
      <c r="Z101" s="7" t="s">
        <v>77</v>
      </c>
      <c r="AA101" s="7" t="s">
        <v>74</v>
      </c>
      <c r="AB101" s="7" t="s">
        <v>75</v>
      </c>
      <c r="AC101" s="7" t="s">
        <v>78</v>
      </c>
      <c r="AD101" s="7" t="s">
        <v>79</v>
      </c>
      <c r="AE101" s="7" t="s">
        <v>385</v>
      </c>
      <c r="AF101" s="7" t="s">
        <v>384</v>
      </c>
      <c r="AG101" s="7" t="s">
        <v>392</v>
      </c>
      <c r="AH101" s="7" t="s">
        <v>395</v>
      </c>
      <c r="AL101" s="7">
        <v>0</v>
      </c>
      <c r="AM101" s="7">
        <f t="shared" si="28"/>
        <v>0</v>
      </c>
      <c r="AN101" s="7">
        <f t="shared" si="29"/>
        <v>0</v>
      </c>
      <c r="AO101" s="7">
        <v>0</v>
      </c>
      <c r="AP101" s="7">
        <f t="shared" si="30"/>
        <v>0</v>
      </c>
      <c r="AQ101" s="7">
        <f t="shared" si="31"/>
        <v>0</v>
      </c>
      <c r="AR101" s="7">
        <v>30</v>
      </c>
      <c r="AS101" s="7">
        <f t="shared" si="51"/>
        <v>25.5</v>
      </c>
      <c r="AT101" s="7">
        <f t="shared" si="55"/>
        <v>4.5</v>
      </c>
      <c r="AU101" s="7">
        <v>30</v>
      </c>
      <c r="AV101" s="7">
        <f t="shared" si="53"/>
        <v>25.5</v>
      </c>
      <c r="AW101" s="7">
        <f t="shared" si="54"/>
        <v>4.5</v>
      </c>
      <c r="BA101" s="7">
        <f t="shared" si="32"/>
        <v>45</v>
      </c>
      <c r="BB101" s="7">
        <f t="shared" si="33"/>
        <v>45</v>
      </c>
      <c r="BC101" s="7">
        <f t="shared" si="34"/>
        <v>45</v>
      </c>
      <c r="BD101" s="7">
        <f t="shared" si="35"/>
        <v>15</v>
      </c>
      <c r="BE101" s="7">
        <f t="shared" si="36"/>
        <v>15</v>
      </c>
      <c r="BF101" s="7">
        <f t="shared" si="37"/>
        <v>45</v>
      </c>
      <c r="BG101" s="104">
        <f t="shared" si="38"/>
        <v>1</v>
      </c>
      <c r="BH101" s="104">
        <f t="shared" si="39"/>
        <v>1</v>
      </c>
      <c r="BI101" s="104">
        <f t="shared" si="40"/>
        <v>1</v>
      </c>
      <c r="BJ101" s="104">
        <f t="shared" si="41"/>
        <v>0.33333333333333331</v>
      </c>
      <c r="BK101" s="104">
        <f t="shared" si="42"/>
        <v>0.33333333333333331</v>
      </c>
      <c r="BL101" s="104">
        <f t="shared" si="43"/>
        <v>1</v>
      </c>
      <c r="BM101" s="104"/>
      <c r="BO101" s="7" t="s">
        <v>950</v>
      </c>
      <c r="BP101" s="125">
        <f t="shared" si="44"/>
        <v>42.5</v>
      </c>
      <c r="BQ101" s="7">
        <f t="shared" si="45"/>
        <v>0</v>
      </c>
      <c r="BR101" s="7">
        <f t="shared" si="46"/>
        <v>0</v>
      </c>
      <c r="BS101" s="7">
        <f t="shared" si="47"/>
        <v>0</v>
      </c>
      <c r="BT101" s="7">
        <f t="shared" si="48"/>
        <v>1</v>
      </c>
      <c r="BU101" s="7">
        <f t="shared" si="49"/>
        <v>1</v>
      </c>
      <c r="BV101" s="7">
        <f t="shared" si="50"/>
        <v>0</v>
      </c>
    </row>
    <row r="102" spans="1:74" s="7" customFormat="1" x14ac:dyDescent="0.2">
      <c r="A102" s="7" t="s">
        <v>191</v>
      </c>
      <c r="B102" s="7" t="s">
        <v>192</v>
      </c>
      <c r="C102" s="7">
        <v>45</v>
      </c>
      <c r="F102" s="7" t="s">
        <v>247</v>
      </c>
      <c r="G102" s="7" t="s">
        <v>250</v>
      </c>
      <c r="H102" s="7" t="s">
        <v>197</v>
      </c>
      <c r="I102" s="7" t="s">
        <v>15</v>
      </c>
      <c r="J102" s="7" t="str">
        <f t="shared" si="26"/>
        <v>RACKPDU-RACK-R3-Z5E-R1-05-A</v>
      </c>
      <c r="K102" s="7" t="str">
        <f t="shared" si="27"/>
        <v>RACKPDU-RACK-R3-Z5E-R1-05-B</v>
      </c>
      <c r="L102" s="7">
        <v>45</v>
      </c>
      <c r="M102" s="7">
        <f>VLOOKUP($H102,'Cooling-Rack'!$A$2:$G$265,5,FALSE)</f>
        <v>38.25</v>
      </c>
      <c r="N102" s="7">
        <f>VLOOKUP($H102,'Cooling-Rack'!$A$2:$G$265,7,FALSE)</f>
        <v>6.7500000000000009</v>
      </c>
      <c r="O102" s="7">
        <v>54</v>
      </c>
      <c r="P102" s="104">
        <v>0.85</v>
      </c>
      <c r="Q102" s="104">
        <v>0.15000000000000002</v>
      </c>
      <c r="R102" s="13" t="s">
        <v>32</v>
      </c>
      <c r="S102" s="7" t="s">
        <v>29</v>
      </c>
      <c r="T102" s="7" t="s">
        <v>70</v>
      </c>
      <c r="U102" s="7" t="s">
        <v>72</v>
      </c>
      <c r="V102" s="7" t="s">
        <v>293</v>
      </c>
      <c r="W102" s="7" t="s">
        <v>294</v>
      </c>
      <c r="X102" s="7" t="s">
        <v>80</v>
      </c>
      <c r="Y102" s="7" t="s">
        <v>76</v>
      </c>
      <c r="Z102" s="7" t="s">
        <v>77</v>
      </c>
      <c r="AA102" s="7" t="s">
        <v>74</v>
      </c>
      <c r="AB102" s="7" t="s">
        <v>75</v>
      </c>
      <c r="AC102" s="7" t="s">
        <v>78</v>
      </c>
      <c r="AD102" s="7" t="s">
        <v>79</v>
      </c>
      <c r="AE102" s="7" t="s">
        <v>385</v>
      </c>
      <c r="AF102" s="7" t="s">
        <v>384</v>
      </c>
      <c r="AG102" s="7" t="s">
        <v>392</v>
      </c>
      <c r="AH102" s="7" t="s">
        <v>395</v>
      </c>
      <c r="AL102" s="7">
        <v>0</v>
      </c>
      <c r="AM102" s="7">
        <f t="shared" si="28"/>
        <v>0</v>
      </c>
      <c r="AN102" s="7">
        <f t="shared" si="29"/>
        <v>0</v>
      </c>
      <c r="AO102" s="7">
        <v>0</v>
      </c>
      <c r="AP102" s="7">
        <f t="shared" si="30"/>
        <v>0</v>
      </c>
      <c r="AQ102" s="7">
        <f t="shared" si="31"/>
        <v>0</v>
      </c>
      <c r="AR102" s="7">
        <v>30</v>
      </c>
      <c r="AS102" s="7">
        <f t="shared" si="51"/>
        <v>25.5</v>
      </c>
      <c r="AT102" s="7">
        <f t="shared" si="55"/>
        <v>4.5</v>
      </c>
      <c r="AU102" s="7">
        <v>30</v>
      </c>
      <c r="AV102" s="7">
        <f t="shared" si="53"/>
        <v>25.5</v>
      </c>
      <c r="AW102" s="7">
        <f t="shared" si="54"/>
        <v>4.5</v>
      </c>
      <c r="BA102" s="7">
        <f t="shared" si="32"/>
        <v>45</v>
      </c>
      <c r="BB102" s="7">
        <f t="shared" si="33"/>
        <v>45</v>
      </c>
      <c r="BC102" s="7">
        <f t="shared" si="34"/>
        <v>45</v>
      </c>
      <c r="BD102" s="7">
        <f t="shared" si="35"/>
        <v>15</v>
      </c>
      <c r="BE102" s="7">
        <f t="shared" si="36"/>
        <v>15</v>
      </c>
      <c r="BF102" s="7">
        <f t="shared" si="37"/>
        <v>45</v>
      </c>
      <c r="BG102" s="104">
        <f t="shared" si="38"/>
        <v>1</v>
      </c>
      <c r="BH102" s="104">
        <f t="shared" si="39"/>
        <v>1</v>
      </c>
      <c r="BI102" s="104">
        <f t="shared" si="40"/>
        <v>1</v>
      </c>
      <c r="BJ102" s="104">
        <f t="shared" si="41"/>
        <v>0.33333333333333331</v>
      </c>
      <c r="BK102" s="104">
        <f t="shared" si="42"/>
        <v>0.33333333333333331</v>
      </c>
      <c r="BL102" s="104">
        <f t="shared" si="43"/>
        <v>1</v>
      </c>
      <c r="BM102" s="104"/>
      <c r="BO102" s="7" t="s">
        <v>951</v>
      </c>
      <c r="BP102" s="125">
        <f t="shared" si="44"/>
        <v>42.5</v>
      </c>
      <c r="BQ102" s="7">
        <f t="shared" si="45"/>
        <v>0</v>
      </c>
      <c r="BR102" s="7">
        <f t="shared" si="46"/>
        <v>0</v>
      </c>
      <c r="BS102" s="7">
        <f t="shared" si="47"/>
        <v>0</v>
      </c>
      <c r="BT102" s="7">
        <f t="shared" si="48"/>
        <v>1</v>
      </c>
      <c r="BU102" s="7">
        <f t="shared" si="49"/>
        <v>1</v>
      </c>
      <c r="BV102" s="7">
        <f t="shared" si="50"/>
        <v>0</v>
      </c>
    </row>
    <row r="103" spans="1:74" s="7" customFormat="1" x14ac:dyDescent="0.2">
      <c r="A103" s="7" t="s">
        <v>191</v>
      </c>
      <c r="B103" s="7" t="s">
        <v>192</v>
      </c>
      <c r="C103" s="7">
        <v>45</v>
      </c>
      <c r="F103" s="7" t="s">
        <v>247</v>
      </c>
      <c r="G103" s="7" t="s">
        <v>250</v>
      </c>
      <c r="H103" s="7" t="s">
        <v>198</v>
      </c>
      <c r="I103" s="7" t="s">
        <v>15</v>
      </c>
      <c r="J103" s="7" t="str">
        <f t="shared" si="26"/>
        <v>RACKPDU-RACK-R3-Z5E-R1-06-A</v>
      </c>
      <c r="K103" s="7" t="str">
        <f t="shared" si="27"/>
        <v>RACKPDU-RACK-R3-Z5E-R1-06-B</v>
      </c>
      <c r="L103" s="7">
        <v>45</v>
      </c>
      <c r="M103" s="7">
        <f>VLOOKUP($H103,'Cooling-Rack'!$A$2:$G$265,5,FALSE)</f>
        <v>38.25</v>
      </c>
      <c r="N103" s="7">
        <f>VLOOKUP($H103,'Cooling-Rack'!$A$2:$G$265,7,FALSE)</f>
        <v>6.7500000000000009</v>
      </c>
      <c r="O103" s="7">
        <v>54</v>
      </c>
      <c r="P103" s="104">
        <v>0.85</v>
      </c>
      <c r="Q103" s="104">
        <v>0.15000000000000002</v>
      </c>
      <c r="R103" s="15" t="s">
        <v>33</v>
      </c>
      <c r="S103" s="7" t="s">
        <v>29</v>
      </c>
      <c r="T103" s="7" t="s">
        <v>70</v>
      </c>
      <c r="U103" s="7" t="s">
        <v>72</v>
      </c>
      <c r="V103" s="7" t="s">
        <v>293</v>
      </c>
      <c r="W103" s="7" t="s">
        <v>294</v>
      </c>
      <c r="X103" s="7" t="s">
        <v>80</v>
      </c>
      <c r="Y103" s="7" t="s">
        <v>76</v>
      </c>
      <c r="Z103" s="7" t="s">
        <v>77</v>
      </c>
      <c r="AA103" s="7" t="s">
        <v>74</v>
      </c>
      <c r="AB103" s="7" t="s">
        <v>75</v>
      </c>
      <c r="AC103" s="7" t="s">
        <v>78</v>
      </c>
      <c r="AD103" s="7" t="s">
        <v>79</v>
      </c>
      <c r="AE103" s="7" t="s">
        <v>385</v>
      </c>
      <c r="AF103" s="7" t="s">
        <v>384</v>
      </c>
      <c r="AG103" s="7" t="s">
        <v>392</v>
      </c>
      <c r="AH103" s="7" t="s">
        <v>395</v>
      </c>
      <c r="AL103" s="7">
        <v>0</v>
      </c>
      <c r="AM103" s="7">
        <f t="shared" si="28"/>
        <v>0</v>
      </c>
      <c r="AN103" s="7">
        <f t="shared" si="29"/>
        <v>0</v>
      </c>
      <c r="AO103" s="7">
        <v>0</v>
      </c>
      <c r="AP103" s="7">
        <f t="shared" si="30"/>
        <v>0</v>
      </c>
      <c r="AQ103" s="7">
        <f t="shared" si="31"/>
        <v>0</v>
      </c>
      <c r="AR103" s="7">
        <v>30</v>
      </c>
      <c r="AS103" s="7">
        <f t="shared" si="51"/>
        <v>25.5</v>
      </c>
      <c r="AT103" s="7">
        <f t="shared" si="55"/>
        <v>4.5</v>
      </c>
      <c r="AU103" s="7">
        <v>30</v>
      </c>
      <c r="AV103" s="7">
        <f t="shared" si="53"/>
        <v>25.5</v>
      </c>
      <c r="AW103" s="7">
        <f t="shared" si="54"/>
        <v>4.5</v>
      </c>
      <c r="BA103" s="7">
        <f t="shared" si="32"/>
        <v>45</v>
      </c>
      <c r="BB103" s="7">
        <f t="shared" si="33"/>
        <v>45</v>
      </c>
      <c r="BC103" s="7">
        <f t="shared" si="34"/>
        <v>45</v>
      </c>
      <c r="BD103" s="7">
        <f t="shared" si="35"/>
        <v>15</v>
      </c>
      <c r="BE103" s="7">
        <f t="shared" si="36"/>
        <v>15</v>
      </c>
      <c r="BF103" s="7">
        <f t="shared" si="37"/>
        <v>45</v>
      </c>
      <c r="BG103" s="104">
        <f t="shared" si="38"/>
        <v>1</v>
      </c>
      <c r="BH103" s="104">
        <f t="shared" si="39"/>
        <v>1</v>
      </c>
      <c r="BI103" s="104">
        <f t="shared" si="40"/>
        <v>1</v>
      </c>
      <c r="BJ103" s="104">
        <f t="shared" si="41"/>
        <v>0.33333333333333331</v>
      </c>
      <c r="BK103" s="104">
        <f t="shared" si="42"/>
        <v>0.33333333333333331</v>
      </c>
      <c r="BL103" s="104">
        <f t="shared" si="43"/>
        <v>1</v>
      </c>
      <c r="BM103" s="104"/>
      <c r="BO103" s="7" t="s">
        <v>952</v>
      </c>
      <c r="BP103" s="125">
        <f t="shared" si="44"/>
        <v>42.5</v>
      </c>
      <c r="BQ103" s="7">
        <f t="shared" si="45"/>
        <v>0</v>
      </c>
      <c r="BR103" s="7">
        <f t="shared" si="46"/>
        <v>0</v>
      </c>
      <c r="BS103" s="7">
        <f t="shared" si="47"/>
        <v>0</v>
      </c>
      <c r="BT103" s="7">
        <f t="shared" si="48"/>
        <v>1</v>
      </c>
      <c r="BU103" s="7">
        <f t="shared" si="49"/>
        <v>1</v>
      </c>
      <c r="BV103" s="7">
        <f t="shared" si="50"/>
        <v>0</v>
      </c>
    </row>
    <row r="104" spans="1:74" s="7" customFormat="1" x14ac:dyDescent="0.2">
      <c r="A104" s="7" t="s">
        <v>191</v>
      </c>
      <c r="B104" s="7" t="s">
        <v>192</v>
      </c>
      <c r="C104" s="7">
        <v>45</v>
      </c>
      <c r="F104" s="7" t="s">
        <v>247</v>
      </c>
      <c r="G104" s="7" t="s">
        <v>250</v>
      </c>
      <c r="H104" s="7" t="s">
        <v>199</v>
      </c>
      <c r="I104" s="7" t="s">
        <v>15</v>
      </c>
      <c r="J104" s="7" t="str">
        <f t="shared" si="26"/>
        <v>RACKPDU-RACK-R3-Z5E-R1-07-A</v>
      </c>
      <c r="K104" s="7" t="str">
        <f t="shared" si="27"/>
        <v>RACKPDU-RACK-R3-Z5E-R1-07-B</v>
      </c>
      <c r="L104" s="7">
        <v>45</v>
      </c>
      <c r="M104" s="7">
        <f>VLOOKUP($H104,'Cooling-Rack'!$A$2:$G$265,5,FALSE)</f>
        <v>38.25</v>
      </c>
      <c r="N104" s="7">
        <f>VLOOKUP($H104,'Cooling-Rack'!$A$2:$G$265,7,FALSE)</f>
        <v>6.7500000000000009</v>
      </c>
      <c r="O104" s="7">
        <v>54</v>
      </c>
      <c r="P104" s="104">
        <v>0.85</v>
      </c>
      <c r="Q104" s="104">
        <v>0.15000000000000002</v>
      </c>
      <c r="R104" s="13" t="s">
        <v>32</v>
      </c>
      <c r="S104" s="15" t="s">
        <v>34</v>
      </c>
      <c r="T104" s="7" t="s">
        <v>70</v>
      </c>
      <c r="U104" s="7" t="s">
        <v>72</v>
      </c>
      <c r="V104" s="7" t="s">
        <v>293</v>
      </c>
      <c r="W104" s="7" t="s">
        <v>294</v>
      </c>
      <c r="X104" s="7" t="s">
        <v>80</v>
      </c>
      <c r="Y104" s="7" t="s">
        <v>76</v>
      </c>
      <c r="Z104" s="7" t="s">
        <v>77</v>
      </c>
      <c r="AA104" s="7" t="s">
        <v>74</v>
      </c>
      <c r="AB104" s="7" t="s">
        <v>75</v>
      </c>
      <c r="AC104" s="7" t="s">
        <v>78</v>
      </c>
      <c r="AD104" s="7" t="s">
        <v>79</v>
      </c>
      <c r="AE104" s="7" t="s">
        <v>385</v>
      </c>
      <c r="AF104" s="7" t="s">
        <v>384</v>
      </c>
      <c r="AG104" s="7" t="s">
        <v>392</v>
      </c>
      <c r="AH104" s="7" t="s">
        <v>395</v>
      </c>
      <c r="AL104" s="7">
        <v>0</v>
      </c>
      <c r="AM104" s="7">
        <f t="shared" si="28"/>
        <v>0</v>
      </c>
      <c r="AN104" s="7">
        <f t="shared" si="29"/>
        <v>0</v>
      </c>
      <c r="AO104" s="7">
        <v>0</v>
      </c>
      <c r="AP104" s="7">
        <f t="shared" si="30"/>
        <v>0</v>
      </c>
      <c r="AQ104" s="7">
        <f t="shared" si="31"/>
        <v>0</v>
      </c>
      <c r="AR104" s="7">
        <v>30</v>
      </c>
      <c r="AS104" s="7">
        <f t="shared" si="51"/>
        <v>25.5</v>
      </c>
      <c r="AT104" s="7">
        <f t="shared" si="55"/>
        <v>4.5</v>
      </c>
      <c r="AU104" s="7">
        <v>30</v>
      </c>
      <c r="AV104" s="7">
        <f t="shared" si="53"/>
        <v>25.5</v>
      </c>
      <c r="AW104" s="7">
        <f t="shared" si="54"/>
        <v>4.5</v>
      </c>
      <c r="BA104" s="7">
        <f t="shared" si="32"/>
        <v>45</v>
      </c>
      <c r="BB104" s="7">
        <f t="shared" si="33"/>
        <v>45</v>
      </c>
      <c r="BC104" s="7">
        <f t="shared" si="34"/>
        <v>45</v>
      </c>
      <c r="BD104" s="7">
        <f t="shared" si="35"/>
        <v>15</v>
      </c>
      <c r="BE104" s="7">
        <f t="shared" si="36"/>
        <v>15</v>
      </c>
      <c r="BF104" s="7">
        <f t="shared" si="37"/>
        <v>45</v>
      </c>
      <c r="BG104" s="104">
        <f t="shared" si="38"/>
        <v>1</v>
      </c>
      <c r="BH104" s="104">
        <f t="shared" si="39"/>
        <v>1</v>
      </c>
      <c r="BI104" s="104">
        <f t="shared" si="40"/>
        <v>1</v>
      </c>
      <c r="BJ104" s="104">
        <f t="shared" si="41"/>
        <v>0.33333333333333331</v>
      </c>
      <c r="BK104" s="104">
        <f t="shared" si="42"/>
        <v>0.33333333333333331</v>
      </c>
      <c r="BL104" s="104">
        <f t="shared" si="43"/>
        <v>1</v>
      </c>
      <c r="BM104" s="104"/>
      <c r="BO104" s="7" t="s">
        <v>953</v>
      </c>
      <c r="BP104" s="125">
        <f t="shared" si="44"/>
        <v>42.5</v>
      </c>
      <c r="BQ104" s="7">
        <f t="shared" si="45"/>
        <v>0</v>
      </c>
      <c r="BR104" s="7">
        <f t="shared" si="46"/>
        <v>0</v>
      </c>
      <c r="BS104" s="7">
        <f t="shared" si="47"/>
        <v>0</v>
      </c>
      <c r="BT104" s="7">
        <f t="shared" si="48"/>
        <v>1</v>
      </c>
      <c r="BU104" s="7">
        <f t="shared" si="49"/>
        <v>1</v>
      </c>
      <c r="BV104" s="7">
        <f t="shared" si="50"/>
        <v>0</v>
      </c>
    </row>
    <row r="105" spans="1:74" s="7" customFormat="1" x14ac:dyDescent="0.2">
      <c r="A105" s="7" t="s">
        <v>191</v>
      </c>
      <c r="B105" s="7" t="s">
        <v>192</v>
      </c>
      <c r="C105" s="7">
        <v>45</v>
      </c>
      <c r="F105" s="7" t="s">
        <v>247</v>
      </c>
      <c r="G105" s="7" t="s">
        <v>250</v>
      </c>
      <c r="H105" s="7" t="s">
        <v>200</v>
      </c>
      <c r="I105" s="7" t="s">
        <v>15</v>
      </c>
      <c r="J105" s="7" t="str">
        <f t="shared" si="26"/>
        <v>RACKPDU-RACK-R3-Z5E-R1-08-A</v>
      </c>
      <c r="K105" s="7" t="str">
        <f t="shared" si="27"/>
        <v>RACKPDU-RACK-R3-Z5E-R1-08-B</v>
      </c>
      <c r="L105" s="7">
        <v>45</v>
      </c>
      <c r="M105" s="7">
        <f>VLOOKUP($H105,'Cooling-Rack'!$A$2:$G$265,5,FALSE)</f>
        <v>38.25</v>
      </c>
      <c r="N105" s="7">
        <f>VLOOKUP($H105,'Cooling-Rack'!$A$2:$G$265,7,FALSE)</f>
        <v>6.7500000000000009</v>
      </c>
      <c r="O105" s="7">
        <v>54</v>
      </c>
      <c r="P105" s="104">
        <v>0.85</v>
      </c>
      <c r="Q105" s="104">
        <v>0.15000000000000002</v>
      </c>
      <c r="R105" s="15" t="s">
        <v>33</v>
      </c>
      <c r="S105" s="15" t="s">
        <v>34</v>
      </c>
      <c r="T105" s="7" t="s">
        <v>70</v>
      </c>
      <c r="U105" s="7" t="s">
        <v>72</v>
      </c>
      <c r="V105" s="7" t="s">
        <v>293</v>
      </c>
      <c r="W105" s="7" t="s">
        <v>294</v>
      </c>
      <c r="X105" s="7" t="s">
        <v>80</v>
      </c>
      <c r="Y105" s="7" t="s">
        <v>76</v>
      </c>
      <c r="Z105" s="7" t="s">
        <v>77</v>
      </c>
      <c r="AA105" s="7" t="s">
        <v>74</v>
      </c>
      <c r="AB105" s="7" t="s">
        <v>75</v>
      </c>
      <c r="AC105" s="7" t="s">
        <v>78</v>
      </c>
      <c r="AD105" s="7" t="s">
        <v>79</v>
      </c>
      <c r="AE105" s="7" t="s">
        <v>385</v>
      </c>
      <c r="AF105" s="7" t="s">
        <v>384</v>
      </c>
      <c r="AG105" s="7" t="s">
        <v>392</v>
      </c>
      <c r="AH105" s="7" t="s">
        <v>395</v>
      </c>
      <c r="AL105" s="7">
        <v>0</v>
      </c>
      <c r="AM105" s="7">
        <f t="shared" si="28"/>
        <v>0</v>
      </c>
      <c r="AN105" s="7">
        <f t="shared" si="29"/>
        <v>0</v>
      </c>
      <c r="AO105" s="7">
        <v>0</v>
      </c>
      <c r="AP105" s="7">
        <f t="shared" si="30"/>
        <v>0</v>
      </c>
      <c r="AQ105" s="7">
        <f t="shared" si="31"/>
        <v>0</v>
      </c>
      <c r="AR105" s="7">
        <v>30</v>
      </c>
      <c r="AS105" s="7">
        <f t="shared" si="51"/>
        <v>25.5</v>
      </c>
      <c r="AT105" s="7">
        <f t="shared" si="55"/>
        <v>4.5</v>
      </c>
      <c r="AU105" s="7">
        <v>30</v>
      </c>
      <c r="AV105" s="7">
        <f t="shared" si="53"/>
        <v>25.5</v>
      </c>
      <c r="AW105" s="7">
        <f t="shared" si="54"/>
        <v>4.5</v>
      </c>
      <c r="BA105" s="7">
        <f t="shared" si="32"/>
        <v>45</v>
      </c>
      <c r="BB105" s="7">
        <f t="shared" si="33"/>
        <v>45</v>
      </c>
      <c r="BC105" s="7">
        <f t="shared" si="34"/>
        <v>45</v>
      </c>
      <c r="BD105" s="7">
        <f t="shared" si="35"/>
        <v>15</v>
      </c>
      <c r="BE105" s="7">
        <f t="shared" si="36"/>
        <v>15</v>
      </c>
      <c r="BF105" s="7">
        <f t="shared" si="37"/>
        <v>45</v>
      </c>
      <c r="BG105" s="104">
        <f t="shared" si="38"/>
        <v>1</v>
      </c>
      <c r="BH105" s="104">
        <f t="shared" si="39"/>
        <v>1</v>
      </c>
      <c r="BI105" s="104">
        <f t="shared" si="40"/>
        <v>1</v>
      </c>
      <c r="BJ105" s="104">
        <f t="shared" si="41"/>
        <v>0.33333333333333331</v>
      </c>
      <c r="BK105" s="104">
        <f t="shared" si="42"/>
        <v>0.33333333333333331</v>
      </c>
      <c r="BL105" s="104">
        <f t="shared" si="43"/>
        <v>1</v>
      </c>
      <c r="BM105" s="104"/>
      <c r="BO105" s="7" t="s">
        <v>954</v>
      </c>
      <c r="BP105" s="125">
        <f t="shared" si="44"/>
        <v>42.5</v>
      </c>
      <c r="BQ105" s="7">
        <f t="shared" si="45"/>
        <v>0</v>
      </c>
      <c r="BR105" s="7">
        <f t="shared" si="46"/>
        <v>0</v>
      </c>
      <c r="BS105" s="7">
        <f t="shared" si="47"/>
        <v>0</v>
      </c>
      <c r="BT105" s="7">
        <f t="shared" si="48"/>
        <v>1</v>
      </c>
      <c r="BU105" s="7">
        <f t="shared" si="49"/>
        <v>1</v>
      </c>
      <c r="BV105" s="7">
        <f t="shared" si="50"/>
        <v>0</v>
      </c>
    </row>
    <row r="106" spans="1:74" s="7" customFormat="1" x14ac:dyDescent="0.2">
      <c r="A106" s="7" t="s">
        <v>191</v>
      </c>
      <c r="B106" s="7" t="s">
        <v>192</v>
      </c>
      <c r="C106" s="7">
        <v>45</v>
      </c>
      <c r="F106" s="7" t="s">
        <v>247</v>
      </c>
      <c r="G106" s="7" t="s">
        <v>250</v>
      </c>
      <c r="H106" s="7" t="s">
        <v>201</v>
      </c>
      <c r="I106" s="7" t="s">
        <v>15</v>
      </c>
      <c r="J106" s="7" t="str">
        <f t="shared" si="26"/>
        <v>RACKPDU-RACK-R3-Z5E-R1-09-A</v>
      </c>
      <c r="K106" s="7" t="str">
        <f t="shared" si="27"/>
        <v>RACKPDU-RACK-R3-Z5E-R1-09-B</v>
      </c>
      <c r="L106" s="7">
        <v>45</v>
      </c>
      <c r="M106" s="7">
        <f>VLOOKUP($H106,'Cooling-Rack'!$A$2:$G$265,5,FALSE)</f>
        <v>38.25</v>
      </c>
      <c r="N106" s="7">
        <f>VLOOKUP($H106,'Cooling-Rack'!$A$2:$G$265,7,FALSE)</f>
        <v>6.7500000000000009</v>
      </c>
      <c r="O106" s="7">
        <v>54</v>
      </c>
      <c r="P106" s="104">
        <v>0.85</v>
      </c>
      <c r="Q106" s="104">
        <v>0.15000000000000002</v>
      </c>
      <c r="R106" s="13" t="s">
        <v>32</v>
      </c>
      <c r="S106" s="15" t="s">
        <v>34</v>
      </c>
      <c r="T106" s="7" t="s">
        <v>70</v>
      </c>
      <c r="U106" s="7" t="s">
        <v>72</v>
      </c>
      <c r="V106" s="7" t="s">
        <v>293</v>
      </c>
      <c r="W106" s="7" t="s">
        <v>294</v>
      </c>
      <c r="X106" s="7" t="s">
        <v>80</v>
      </c>
      <c r="Y106" s="7" t="s">
        <v>76</v>
      </c>
      <c r="Z106" s="7" t="s">
        <v>77</v>
      </c>
      <c r="AA106" s="7" t="s">
        <v>74</v>
      </c>
      <c r="AB106" s="7" t="s">
        <v>75</v>
      </c>
      <c r="AC106" s="7" t="s">
        <v>78</v>
      </c>
      <c r="AD106" s="7" t="s">
        <v>79</v>
      </c>
      <c r="AE106" s="7" t="s">
        <v>385</v>
      </c>
      <c r="AF106" s="7" t="s">
        <v>384</v>
      </c>
      <c r="AG106" s="7" t="s">
        <v>392</v>
      </c>
      <c r="AH106" s="7" t="s">
        <v>395</v>
      </c>
      <c r="AL106" s="7">
        <v>0</v>
      </c>
      <c r="AM106" s="7">
        <f t="shared" si="28"/>
        <v>0</v>
      </c>
      <c r="AN106" s="7">
        <f t="shared" si="29"/>
        <v>0</v>
      </c>
      <c r="AO106" s="7">
        <v>0</v>
      </c>
      <c r="AP106" s="7">
        <f t="shared" si="30"/>
        <v>0</v>
      </c>
      <c r="AQ106" s="7">
        <f t="shared" si="31"/>
        <v>0</v>
      </c>
      <c r="AR106" s="7">
        <v>30</v>
      </c>
      <c r="AS106" s="7">
        <f t="shared" si="51"/>
        <v>25.5</v>
      </c>
      <c r="AT106" s="7">
        <f t="shared" si="55"/>
        <v>4.5</v>
      </c>
      <c r="AU106" s="7">
        <v>30</v>
      </c>
      <c r="AV106" s="7">
        <f t="shared" si="53"/>
        <v>25.5</v>
      </c>
      <c r="AW106" s="7">
        <f t="shared" si="54"/>
        <v>4.5</v>
      </c>
      <c r="BA106" s="7">
        <f t="shared" si="32"/>
        <v>45</v>
      </c>
      <c r="BB106" s="7">
        <f t="shared" si="33"/>
        <v>45</v>
      </c>
      <c r="BC106" s="7">
        <f t="shared" si="34"/>
        <v>45</v>
      </c>
      <c r="BD106" s="7">
        <f t="shared" si="35"/>
        <v>15</v>
      </c>
      <c r="BE106" s="7">
        <f t="shared" si="36"/>
        <v>15</v>
      </c>
      <c r="BF106" s="7">
        <f t="shared" si="37"/>
        <v>45</v>
      </c>
      <c r="BG106" s="104">
        <f t="shared" si="38"/>
        <v>1</v>
      </c>
      <c r="BH106" s="104">
        <f t="shared" si="39"/>
        <v>1</v>
      </c>
      <c r="BI106" s="104">
        <f t="shared" si="40"/>
        <v>1</v>
      </c>
      <c r="BJ106" s="104">
        <f t="shared" si="41"/>
        <v>0.33333333333333331</v>
      </c>
      <c r="BK106" s="104">
        <f t="shared" si="42"/>
        <v>0.33333333333333331</v>
      </c>
      <c r="BL106" s="104">
        <f t="shared" si="43"/>
        <v>1</v>
      </c>
      <c r="BM106" s="104"/>
      <c r="BO106" s="7" t="s">
        <v>955</v>
      </c>
      <c r="BP106" s="125">
        <f t="shared" si="44"/>
        <v>42.5</v>
      </c>
      <c r="BQ106" s="7">
        <f t="shared" si="45"/>
        <v>0</v>
      </c>
      <c r="BR106" s="7">
        <f t="shared" si="46"/>
        <v>0</v>
      </c>
      <c r="BS106" s="7">
        <f t="shared" si="47"/>
        <v>0</v>
      </c>
      <c r="BT106" s="7">
        <f t="shared" si="48"/>
        <v>1</v>
      </c>
      <c r="BU106" s="7">
        <f t="shared" si="49"/>
        <v>1</v>
      </c>
      <c r="BV106" s="7">
        <f t="shared" si="50"/>
        <v>0</v>
      </c>
    </row>
    <row r="107" spans="1:74" s="7" customFormat="1" x14ac:dyDescent="0.2">
      <c r="A107" s="7" t="s">
        <v>191</v>
      </c>
      <c r="B107" s="7" t="s">
        <v>192</v>
      </c>
      <c r="C107" s="7">
        <v>45</v>
      </c>
      <c r="F107" s="7" t="s">
        <v>247</v>
      </c>
      <c r="G107" s="7" t="s">
        <v>250</v>
      </c>
      <c r="H107" s="7" t="s">
        <v>202</v>
      </c>
      <c r="I107" s="7" t="s">
        <v>15</v>
      </c>
      <c r="J107" s="7" t="str">
        <f t="shared" si="26"/>
        <v>RACKPDU-RACK-R3-Z5E-R1-10-A</v>
      </c>
      <c r="K107" s="7" t="str">
        <f t="shared" si="27"/>
        <v>RACKPDU-RACK-R3-Z5E-R1-10-B</v>
      </c>
      <c r="L107" s="7">
        <v>45</v>
      </c>
      <c r="M107" s="7">
        <f>VLOOKUP($H107,'Cooling-Rack'!$A$2:$G$265,5,FALSE)</f>
        <v>38.25</v>
      </c>
      <c r="N107" s="7">
        <f>VLOOKUP($H107,'Cooling-Rack'!$A$2:$G$265,7,FALSE)</f>
        <v>6.7500000000000009</v>
      </c>
      <c r="O107" s="7">
        <v>54</v>
      </c>
      <c r="P107" s="104">
        <v>0.85</v>
      </c>
      <c r="Q107" s="104">
        <v>0.15000000000000002</v>
      </c>
      <c r="R107" s="15" t="s">
        <v>33</v>
      </c>
      <c r="S107" s="15" t="s">
        <v>34</v>
      </c>
      <c r="T107" s="7" t="s">
        <v>70</v>
      </c>
      <c r="U107" s="7" t="s">
        <v>72</v>
      </c>
      <c r="V107" s="7" t="s">
        <v>293</v>
      </c>
      <c r="W107" s="7" t="s">
        <v>294</v>
      </c>
      <c r="X107" s="7" t="s">
        <v>80</v>
      </c>
      <c r="Y107" s="7" t="s">
        <v>76</v>
      </c>
      <c r="Z107" s="7" t="s">
        <v>77</v>
      </c>
      <c r="AA107" s="7" t="s">
        <v>74</v>
      </c>
      <c r="AB107" s="7" t="s">
        <v>75</v>
      </c>
      <c r="AC107" s="7" t="s">
        <v>78</v>
      </c>
      <c r="AD107" s="7" t="s">
        <v>79</v>
      </c>
      <c r="AE107" s="7" t="s">
        <v>385</v>
      </c>
      <c r="AF107" s="7" t="s">
        <v>384</v>
      </c>
      <c r="AG107" s="7" t="s">
        <v>392</v>
      </c>
      <c r="AH107" s="7" t="s">
        <v>395</v>
      </c>
      <c r="AL107" s="7">
        <v>0</v>
      </c>
      <c r="AM107" s="7">
        <f t="shared" si="28"/>
        <v>0</v>
      </c>
      <c r="AN107" s="7">
        <f t="shared" si="29"/>
        <v>0</v>
      </c>
      <c r="AO107" s="7">
        <v>0</v>
      </c>
      <c r="AP107" s="7">
        <f t="shared" si="30"/>
        <v>0</v>
      </c>
      <c r="AQ107" s="7">
        <f t="shared" si="31"/>
        <v>0</v>
      </c>
      <c r="AR107" s="7">
        <v>30</v>
      </c>
      <c r="AS107" s="7">
        <f t="shared" si="51"/>
        <v>25.5</v>
      </c>
      <c r="AT107" s="7">
        <f t="shared" si="55"/>
        <v>4.5</v>
      </c>
      <c r="AU107" s="7">
        <v>30</v>
      </c>
      <c r="AV107" s="7">
        <f t="shared" si="53"/>
        <v>25.5</v>
      </c>
      <c r="AW107" s="7">
        <f t="shared" si="54"/>
        <v>4.5</v>
      </c>
      <c r="BA107" s="7">
        <f t="shared" si="32"/>
        <v>45</v>
      </c>
      <c r="BB107" s="7">
        <f t="shared" si="33"/>
        <v>45</v>
      </c>
      <c r="BC107" s="7">
        <f t="shared" si="34"/>
        <v>45</v>
      </c>
      <c r="BD107" s="7">
        <f t="shared" si="35"/>
        <v>15</v>
      </c>
      <c r="BE107" s="7">
        <f t="shared" si="36"/>
        <v>15</v>
      </c>
      <c r="BF107" s="7">
        <f t="shared" si="37"/>
        <v>45</v>
      </c>
      <c r="BG107" s="104">
        <f t="shared" si="38"/>
        <v>1</v>
      </c>
      <c r="BH107" s="104">
        <f t="shared" si="39"/>
        <v>1</v>
      </c>
      <c r="BI107" s="104">
        <f t="shared" si="40"/>
        <v>1</v>
      </c>
      <c r="BJ107" s="104">
        <f t="shared" si="41"/>
        <v>0.33333333333333331</v>
      </c>
      <c r="BK107" s="104">
        <f t="shared" si="42"/>
        <v>0.33333333333333331</v>
      </c>
      <c r="BL107" s="104">
        <f t="shared" si="43"/>
        <v>1</v>
      </c>
      <c r="BM107" s="104"/>
      <c r="BO107" s="7" t="s">
        <v>956</v>
      </c>
      <c r="BP107" s="125">
        <f t="shared" si="44"/>
        <v>42.5</v>
      </c>
      <c r="BQ107" s="7">
        <f t="shared" si="45"/>
        <v>0</v>
      </c>
      <c r="BR107" s="7">
        <f t="shared" si="46"/>
        <v>0</v>
      </c>
      <c r="BS107" s="7">
        <f t="shared" si="47"/>
        <v>0</v>
      </c>
      <c r="BT107" s="7">
        <f t="shared" si="48"/>
        <v>1</v>
      </c>
      <c r="BU107" s="7">
        <f t="shared" si="49"/>
        <v>1</v>
      </c>
      <c r="BV107" s="7">
        <f t="shared" si="50"/>
        <v>0</v>
      </c>
    </row>
    <row r="108" spans="1:74" s="7" customFormat="1" x14ac:dyDescent="0.2">
      <c r="A108" s="7" t="s">
        <v>191</v>
      </c>
      <c r="B108" s="7" t="s">
        <v>192</v>
      </c>
      <c r="C108" s="7">
        <v>45</v>
      </c>
      <c r="F108" s="7" t="s">
        <v>247</v>
      </c>
      <c r="G108" s="7" t="s">
        <v>250</v>
      </c>
      <c r="H108" s="7" t="s">
        <v>203</v>
      </c>
      <c r="I108" s="7" t="s">
        <v>15</v>
      </c>
      <c r="J108" s="7" t="str">
        <f t="shared" si="26"/>
        <v>RACKPDU-RACK-R3-Z5E-R1-11-A</v>
      </c>
      <c r="K108" s="7" t="str">
        <f t="shared" si="27"/>
        <v>RACKPDU-RACK-R3-Z5E-R1-11-B</v>
      </c>
      <c r="L108" s="7">
        <v>45</v>
      </c>
      <c r="M108" s="7">
        <f>VLOOKUP($H108,'Cooling-Rack'!$A$2:$G$265,5,FALSE)</f>
        <v>38.25</v>
      </c>
      <c r="N108" s="7">
        <f>VLOOKUP($H108,'Cooling-Rack'!$A$2:$G$265,7,FALSE)</f>
        <v>6.7500000000000009</v>
      </c>
      <c r="O108" s="7">
        <v>54</v>
      </c>
      <c r="P108" s="104">
        <v>0.85</v>
      </c>
      <c r="Q108" s="104">
        <v>0.15000000000000002</v>
      </c>
      <c r="R108" s="13" t="s">
        <v>32</v>
      </c>
      <c r="S108" s="15" t="s">
        <v>34</v>
      </c>
      <c r="T108" s="7" t="s">
        <v>70</v>
      </c>
      <c r="U108" s="7" t="s">
        <v>72</v>
      </c>
      <c r="V108" s="7" t="s">
        <v>293</v>
      </c>
      <c r="W108" s="7" t="s">
        <v>294</v>
      </c>
      <c r="X108" s="7" t="s">
        <v>80</v>
      </c>
      <c r="Y108" s="7" t="s">
        <v>76</v>
      </c>
      <c r="Z108" s="7" t="s">
        <v>77</v>
      </c>
      <c r="AA108" s="7" t="s">
        <v>74</v>
      </c>
      <c r="AB108" s="7" t="s">
        <v>75</v>
      </c>
      <c r="AC108" s="7" t="s">
        <v>78</v>
      </c>
      <c r="AD108" s="7" t="s">
        <v>79</v>
      </c>
      <c r="AE108" s="7" t="s">
        <v>385</v>
      </c>
      <c r="AF108" s="7" t="s">
        <v>384</v>
      </c>
      <c r="AG108" s="7" t="s">
        <v>392</v>
      </c>
      <c r="AH108" s="7" t="s">
        <v>395</v>
      </c>
      <c r="AL108" s="7">
        <v>0</v>
      </c>
      <c r="AM108" s="7">
        <f t="shared" si="28"/>
        <v>0</v>
      </c>
      <c r="AN108" s="7">
        <f t="shared" si="29"/>
        <v>0</v>
      </c>
      <c r="AO108" s="7">
        <v>0</v>
      </c>
      <c r="AP108" s="7">
        <f t="shared" si="30"/>
        <v>0</v>
      </c>
      <c r="AQ108" s="7">
        <f t="shared" si="31"/>
        <v>0</v>
      </c>
      <c r="AR108" s="7">
        <v>30</v>
      </c>
      <c r="AS108" s="7">
        <f t="shared" si="51"/>
        <v>25.5</v>
      </c>
      <c r="AT108" s="7">
        <f t="shared" si="55"/>
        <v>4.5</v>
      </c>
      <c r="AU108" s="7">
        <v>30</v>
      </c>
      <c r="AV108" s="7">
        <f t="shared" si="53"/>
        <v>25.5</v>
      </c>
      <c r="AW108" s="7">
        <f t="shared" si="54"/>
        <v>4.5</v>
      </c>
      <c r="BA108" s="7">
        <f t="shared" si="32"/>
        <v>45</v>
      </c>
      <c r="BB108" s="7">
        <f t="shared" si="33"/>
        <v>45</v>
      </c>
      <c r="BC108" s="7">
        <f t="shared" si="34"/>
        <v>45</v>
      </c>
      <c r="BD108" s="7">
        <f t="shared" si="35"/>
        <v>15</v>
      </c>
      <c r="BE108" s="7">
        <f t="shared" si="36"/>
        <v>15</v>
      </c>
      <c r="BF108" s="7">
        <f t="shared" si="37"/>
        <v>45</v>
      </c>
      <c r="BG108" s="104">
        <f t="shared" si="38"/>
        <v>1</v>
      </c>
      <c r="BH108" s="104">
        <f t="shared" si="39"/>
        <v>1</v>
      </c>
      <c r="BI108" s="104">
        <f t="shared" si="40"/>
        <v>1</v>
      </c>
      <c r="BJ108" s="104">
        <f t="shared" si="41"/>
        <v>0.33333333333333331</v>
      </c>
      <c r="BK108" s="104">
        <f t="shared" si="42"/>
        <v>0.33333333333333331</v>
      </c>
      <c r="BL108" s="104">
        <f t="shared" si="43"/>
        <v>1</v>
      </c>
      <c r="BM108" s="104"/>
      <c r="BO108" s="7" t="s">
        <v>957</v>
      </c>
      <c r="BP108" s="125">
        <f t="shared" si="44"/>
        <v>42.5</v>
      </c>
      <c r="BQ108" s="7">
        <f t="shared" si="45"/>
        <v>0</v>
      </c>
      <c r="BR108" s="7">
        <f t="shared" si="46"/>
        <v>0</v>
      </c>
      <c r="BS108" s="7">
        <f t="shared" si="47"/>
        <v>0</v>
      </c>
      <c r="BT108" s="7">
        <f t="shared" si="48"/>
        <v>1</v>
      </c>
      <c r="BU108" s="7">
        <f t="shared" si="49"/>
        <v>1</v>
      </c>
      <c r="BV108" s="7">
        <f t="shared" si="50"/>
        <v>0</v>
      </c>
    </row>
    <row r="109" spans="1:74" s="7" customFormat="1" x14ac:dyDescent="0.2">
      <c r="A109" s="7" t="s">
        <v>191</v>
      </c>
      <c r="B109" s="7" t="s">
        <v>192</v>
      </c>
      <c r="C109" s="7">
        <v>45</v>
      </c>
      <c r="F109" s="7" t="s">
        <v>247</v>
      </c>
      <c r="G109" s="7" t="s">
        <v>250</v>
      </c>
      <c r="H109" s="7" t="s">
        <v>204</v>
      </c>
      <c r="I109" s="7" t="s">
        <v>15</v>
      </c>
      <c r="J109" s="7" t="str">
        <f t="shared" si="26"/>
        <v>RACKPDU-RACK-R3-Z5E-R1-12-A</v>
      </c>
      <c r="K109" s="7" t="str">
        <f t="shared" si="27"/>
        <v>RACKPDU-RACK-R3-Z5E-R1-12-B</v>
      </c>
      <c r="L109" s="7">
        <v>45</v>
      </c>
      <c r="M109" s="7">
        <f>VLOOKUP($H109,'Cooling-Rack'!$A$2:$G$265,5,FALSE)</f>
        <v>38.25</v>
      </c>
      <c r="N109" s="7">
        <f>VLOOKUP($H109,'Cooling-Rack'!$A$2:$G$265,7,FALSE)</f>
        <v>6.7500000000000009</v>
      </c>
      <c r="O109" s="7">
        <v>54</v>
      </c>
      <c r="P109" s="104">
        <v>0.85</v>
      </c>
      <c r="Q109" s="104">
        <v>0.15000000000000002</v>
      </c>
      <c r="R109" s="15" t="s">
        <v>33</v>
      </c>
      <c r="S109" s="15" t="s">
        <v>34</v>
      </c>
      <c r="T109" s="7" t="s">
        <v>70</v>
      </c>
      <c r="U109" s="7" t="s">
        <v>72</v>
      </c>
      <c r="V109" s="7" t="s">
        <v>293</v>
      </c>
      <c r="W109" s="7" t="s">
        <v>294</v>
      </c>
      <c r="X109" s="7" t="s">
        <v>80</v>
      </c>
      <c r="Y109" s="7" t="s">
        <v>76</v>
      </c>
      <c r="Z109" s="7" t="s">
        <v>77</v>
      </c>
      <c r="AA109" s="7" t="s">
        <v>74</v>
      </c>
      <c r="AB109" s="7" t="s">
        <v>75</v>
      </c>
      <c r="AC109" s="7" t="s">
        <v>78</v>
      </c>
      <c r="AD109" s="7" t="s">
        <v>79</v>
      </c>
      <c r="AE109" s="7" t="s">
        <v>385</v>
      </c>
      <c r="AF109" s="7" t="s">
        <v>384</v>
      </c>
      <c r="AG109" s="7" t="s">
        <v>392</v>
      </c>
      <c r="AH109" s="7" t="s">
        <v>395</v>
      </c>
      <c r="AL109" s="7">
        <v>0</v>
      </c>
      <c r="AM109" s="7">
        <f t="shared" si="28"/>
        <v>0</v>
      </c>
      <c r="AN109" s="7">
        <f t="shared" si="29"/>
        <v>0</v>
      </c>
      <c r="AO109" s="7">
        <v>0</v>
      </c>
      <c r="AP109" s="7">
        <f t="shared" si="30"/>
        <v>0</v>
      </c>
      <c r="AQ109" s="7">
        <f t="shared" si="31"/>
        <v>0</v>
      </c>
      <c r="AR109" s="7">
        <v>30</v>
      </c>
      <c r="AS109" s="7">
        <f t="shared" si="51"/>
        <v>25.5</v>
      </c>
      <c r="AT109" s="7">
        <f t="shared" si="55"/>
        <v>4.5</v>
      </c>
      <c r="AU109" s="7">
        <v>30</v>
      </c>
      <c r="AV109" s="7">
        <f t="shared" si="53"/>
        <v>25.5</v>
      </c>
      <c r="AW109" s="7">
        <f t="shared" si="54"/>
        <v>4.5</v>
      </c>
      <c r="BA109" s="7">
        <f t="shared" si="32"/>
        <v>45</v>
      </c>
      <c r="BB109" s="7">
        <f t="shared" si="33"/>
        <v>45</v>
      </c>
      <c r="BC109" s="7">
        <f t="shared" si="34"/>
        <v>45</v>
      </c>
      <c r="BD109" s="7">
        <f t="shared" si="35"/>
        <v>15</v>
      </c>
      <c r="BE109" s="7">
        <f t="shared" si="36"/>
        <v>15</v>
      </c>
      <c r="BF109" s="7">
        <f t="shared" si="37"/>
        <v>45</v>
      </c>
      <c r="BG109" s="104">
        <f t="shared" si="38"/>
        <v>1</v>
      </c>
      <c r="BH109" s="104">
        <f t="shared" si="39"/>
        <v>1</v>
      </c>
      <c r="BI109" s="104">
        <f t="shared" si="40"/>
        <v>1</v>
      </c>
      <c r="BJ109" s="104">
        <f t="shared" si="41"/>
        <v>0.33333333333333331</v>
      </c>
      <c r="BK109" s="104">
        <f t="shared" si="42"/>
        <v>0.33333333333333331</v>
      </c>
      <c r="BL109" s="104">
        <f t="shared" si="43"/>
        <v>1</v>
      </c>
      <c r="BM109" s="104"/>
      <c r="BO109" s="7" t="s">
        <v>958</v>
      </c>
      <c r="BP109" s="125">
        <f t="shared" si="44"/>
        <v>42.5</v>
      </c>
      <c r="BQ109" s="7">
        <f t="shared" si="45"/>
        <v>0</v>
      </c>
      <c r="BR109" s="7">
        <f t="shared" si="46"/>
        <v>0</v>
      </c>
      <c r="BS109" s="7">
        <f t="shared" si="47"/>
        <v>0</v>
      </c>
      <c r="BT109" s="7">
        <f t="shared" si="48"/>
        <v>1</v>
      </c>
      <c r="BU109" s="7">
        <f t="shared" si="49"/>
        <v>1</v>
      </c>
      <c r="BV109" s="7">
        <f t="shared" si="50"/>
        <v>0</v>
      </c>
    </row>
    <row r="110" spans="1:74" s="6" customFormat="1" x14ac:dyDescent="0.2">
      <c r="A110" s="6" t="s">
        <v>191</v>
      </c>
      <c r="B110" s="6" t="s">
        <v>205</v>
      </c>
      <c r="C110" s="6">
        <v>45</v>
      </c>
      <c r="F110" s="6" t="s">
        <v>247</v>
      </c>
      <c r="G110" s="6" t="s">
        <v>250</v>
      </c>
      <c r="H110" s="6" t="s">
        <v>206</v>
      </c>
      <c r="I110" s="6" t="s">
        <v>15</v>
      </c>
      <c r="J110" s="6" t="str">
        <f t="shared" si="26"/>
        <v>RACKPDU-RACK-R3-Z5E-R2-01-A</v>
      </c>
      <c r="K110" s="6" t="str">
        <f t="shared" si="27"/>
        <v>RACKPDU-RACK-R3-Z5E-R2-01-B</v>
      </c>
      <c r="L110" s="6">
        <v>45</v>
      </c>
      <c r="M110" s="6">
        <f>VLOOKUP($H110,'Cooling-Rack'!$A$2:$G$265,5,FALSE)</f>
        <v>38.25</v>
      </c>
      <c r="N110" s="6">
        <f>VLOOKUP($H110,'Cooling-Rack'!$A$2:$G$265,7,FALSE)</f>
        <v>6.7500000000000009</v>
      </c>
      <c r="O110" s="6">
        <v>54</v>
      </c>
      <c r="P110" s="105">
        <v>0.85</v>
      </c>
      <c r="Q110" s="105">
        <v>0.15000000000000002</v>
      </c>
      <c r="R110" s="14" t="s">
        <v>32</v>
      </c>
      <c r="S110" s="12" t="s">
        <v>28</v>
      </c>
      <c r="T110" s="6" t="s">
        <v>70</v>
      </c>
      <c r="U110" s="6" t="s">
        <v>72</v>
      </c>
      <c r="V110" s="6" t="s">
        <v>293</v>
      </c>
      <c r="W110" s="6" t="s">
        <v>294</v>
      </c>
      <c r="X110" s="6" t="s">
        <v>80</v>
      </c>
      <c r="Y110" s="6" t="s">
        <v>76</v>
      </c>
      <c r="Z110" s="6" t="s">
        <v>77</v>
      </c>
      <c r="AA110" s="6" t="s">
        <v>74</v>
      </c>
      <c r="AB110" s="6" t="s">
        <v>75</v>
      </c>
      <c r="AC110" s="6" t="s">
        <v>78</v>
      </c>
      <c r="AD110" s="6" t="s">
        <v>79</v>
      </c>
      <c r="AE110" s="6" t="s">
        <v>385</v>
      </c>
      <c r="AF110" s="6" t="s">
        <v>384</v>
      </c>
      <c r="AG110" s="6" t="s">
        <v>392</v>
      </c>
      <c r="AH110" s="6" t="s">
        <v>395</v>
      </c>
      <c r="AL110" s="6">
        <v>0</v>
      </c>
      <c r="AM110" s="6">
        <f t="shared" si="28"/>
        <v>0</v>
      </c>
      <c r="AN110" s="6">
        <f t="shared" si="29"/>
        <v>0</v>
      </c>
      <c r="AO110" s="6">
        <v>0</v>
      </c>
      <c r="AP110" s="6">
        <f t="shared" si="30"/>
        <v>0</v>
      </c>
      <c r="AQ110" s="6">
        <f t="shared" si="31"/>
        <v>0</v>
      </c>
      <c r="AR110" s="6">
        <v>30</v>
      </c>
      <c r="AS110" s="6">
        <f t="shared" si="51"/>
        <v>25.5</v>
      </c>
      <c r="AT110" s="6">
        <f t="shared" si="55"/>
        <v>4.5</v>
      </c>
      <c r="BA110" s="6">
        <f t="shared" si="32"/>
        <v>45</v>
      </c>
      <c r="BB110" s="6">
        <f t="shared" si="33"/>
        <v>45</v>
      </c>
      <c r="BC110" s="6">
        <f t="shared" si="34"/>
        <v>45</v>
      </c>
      <c r="BD110" s="6">
        <f t="shared" si="35"/>
        <v>15</v>
      </c>
      <c r="BE110" s="6">
        <f t="shared" si="36"/>
        <v>45</v>
      </c>
      <c r="BF110" s="6">
        <f t="shared" si="37"/>
        <v>45</v>
      </c>
      <c r="BG110" s="105">
        <f t="shared" si="38"/>
        <v>1</v>
      </c>
      <c r="BH110" s="105">
        <f t="shared" si="39"/>
        <v>1</v>
      </c>
      <c r="BI110" s="105">
        <f t="shared" si="40"/>
        <v>1</v>
      </c>
      <c r="BJ110" s="105">
        <f t="shared" si="41"/>
        <v>0.33333333333333331</v>
      </c>
      <c r="BK110" s="105">
        <f t="shared" si="42"/>
        <v>1</v>
      </c>
      <c r="BL110" s="105">
        <f t="shared" si="43"/>
        <v>1</v>
      </c>
      <c r="BM110" s="105"/>
      <c r="BO110" s="6" t="s">
        <v>959</v>
      </c>
      <c r="BP110" s="126">
        <f t="shared" si="44"/>
        <v>42.5</v>
      </c>
      <c r="BQ110" s="6">
        <f t="shared" si="45"/>
        <v>0</v>
      </c>
      <c r="BR110" s="6">
        <f t="shared" si="46"/>
        <v>0</v>
      </c>
      <c r="BS110" s="6">
        <f t="shared" si="47"/>
        <v>0</v>
      </c>
      <c r="BT110" s="6">
        <f t="shared" si="48"/>
        <v>1</v>
      </c>
      <c r="BU110" s="6">
        <f t="shared" si="49"/>
        <v>0</v>
      </c>
      <c r="BV110" s="6">
        <f t="shared" si="50"/>
        <v>0</v>
      </c>
    </row>
    <row r="111" spans="1:74" s="6" customFormat="1" x14ac:dyDescent="0.2">
      <c r="A111" s="6" t="s">
        <v>191</v>
      </c>
      <c r="B111" s="6" t="s">
        <v>205</v>
      </c>
      <c r="C111" s="6">
        <v>45</v>
      </c>
      <c r="F111" s="6" t="s">
        <v>247</v>
      </c>
      <c r="G111" s="6" t="s">
        <v>250</v>
      </c>
      <c r="H111" s="6" t="s">
        <v>207</v>
      </c>
      <c r="I111" s="6" t="s">
        <v>15</v>
      </c>
      <c r="J111" s="6" t="str">
        <f t="shared" si="26"/>
        <v>RACKPDU-RACK-R3-Z5E-R2-02-A</v>
      </c>
      <c r="K111" s="6" t="str">
        <f t="shared" si="27"/>
        <v>RACKPDU-RACK-R3-Z5E-R2-02-B</v>
      </c>
      <c r="L111" s="6">
        <v>45</v>
      </c>
      <c r="M111" s="6">
        <f>VLOOKUP($H111,'Cooling-Rack'!$A$2:$G$265,5,FALSE)</f>
        <v>38.25</v>
      </c>
      <c r="N111" s="6">
        <f>VLOOKUP($H111,'Cooling-Rack'!$A$2:$G$265,7,FALSE)</f>
        <v>6.7500000000000009</v>
      </c>
      <c r="O111" s="6">
        <v>54</v>
      </c>
      <c r="P111" s="105">
        <v>0.85</v>
      </c>
      <c r="Q111" s="105">
        <v>0.15000000000000002</v>
      </c>
      <c r="R111" s="16" t="s">
        <v>33</v>
      </c>
      <c r="S111" s="12" t="s">
        <v>28</v>
      </c>
      <c r="T111" s="6" t="s">
        <v>70</v>
      </c>
      <c r="U111" s="6" t="s">
        <v>72</v>
      </c>
      <c r="V111" s="6" t="s">
        <v>293</v>
      </c>
      <c r="W111" s="6" t="s">
        <v>294</v>
      </c>
      <c r="X111" s="6" t="s">
        <v>80</v>
      </c>
      <c r="Y111" s="6" t="s">
        <v>76</v>
      </c>
      <c r="Z111" s="6" t="s">
        <v>77</v>
      </c>
      <c r="AA111" s="6" t="s">
        <v>74</v>
      </c>
      <c r="AB111" s="6" t="s">
        <v>75</v>
      </c>
      <c r="AC111" s="6" t="s">
        <v>78</v>
      </c>
      <c r="AD111" s="6" t="s">
        <v>79</v>
      </c>
      <c r="AE111" s="6" t="s">
        <v>385</v>
      </c>
      <c r="AF111" s="6" t="s">
        <v>384</v>
      </c>
      <c r="AG111" s="6" t="s">
        <v>392</v>
      </c>
      <c r="AH111" s="6" t="s">
        <v>395</v>
      </c>
      <c r="AL111" s="6">
        <v>0</v>
      </c>
      <c r="AM111" s="6">
        <f t="shared" si="28"/>
        <v>0</v>
      </c>
      <c r="AN111" s="6">
        <f t="shared" si="29"/>
        <v>0</v>
      </c>
      <c r="AO111" s="6">
        <v>0</v>
      </c>
      <c r="AP111" s="6">
        <f t="shared" si="30"/>
        <v>0</v>
      </c>
      <c r="AQ111" s="6">
        <f t="shared" si="31"/>
        <v>0</v>
      </c>
      <c r="AR111" s="6">
        <v>30</v>
      </c>
      <c r="AS111" s="6">
        <f t="shared" si="51"/>
        <v>25.5</v>
      </c>
      <c r="AT111" s="6">
        <f t="shared" si="55"/>
        <v>4.5</v>
      </c>
      <c r="BA111" s="6">
        <f t="shared" si="32"/>
        <v>45</v>
      </c>
      <c r="BB111" s="6">
        <f t="shared" si="33"/>
        <v>45</v>
      </c>
      <c r="BC111" s="6">
        <f t="shared" si="34"/>
        <v>45</v>
      </c>
      <c r="BD111" s="6">
        <f t="shared" si="35"/>
        <v>15</v>
      </c>
      <c r="BE111" s="6">
        <f t="shared" si="36"/>
        <v>45</v>
      </c>
      <c r="BF111" s="6">
        <f t="shared" si="37"/>
        <v>45</v>
      </c>
      <c r="BG111" s="105">
        <f t="shared" si="38"/>
        <v>1</v>
      </c>
      <c r="BH111" s="105">
        <f t="shared" si="39"/>
        <v>1</v>
      </c>
      <c r="BI111" s="105">
        <f t="shared" si="40"/>
        <v>1</v>
      </c>
      <c r="BJ111" s="105">
        <f t="shared" si="41"/>
        <v>0.33333333333333331</v>
      </c>
      <c r="BK111" s="105">
        <f t="shared" si="42"/>
        <v>1</v>
      </c>
      <c r="BL111" s="105">
        <f t="shared" si="43"/>
        <v>1</v>
      </c>
      <c r="BM111" s="105"/>
      <c r="BO111" s="6" t="s">
        <v>960</v>
      </c>
      <c r="BP111" s="126">
        <f t="shared" si="44"/>
        <v>42.5</v>
      </c>
      <c r="BQ111" s="6">
        <f t="shared" si="45"/>
        <v>0</v>
      </c>
      <c r="BR111" s="6">
        <f t="shared" si="46"/>
        <v>0</v>
      </c>
      <c r="BS111" s="6">
        <f t="shared" si="47"/>
        <v>0</v>
      </c>
      <c r="BT111" s="6">
        <f t="shared" si="48"/>
        <v>1</v>
      </c>
      <c r="BU111" s="6">
        <f t="shared" si="49"/>
        <v>0</v>
      </c>
      <c r="BV111" s="6">
        <f t="shared" si="50"/>
        <v>0</v>
      </c>
    </row>
    <row r="112" spans="1:74" s="6" customFormat="1" x14ac:dyDescent="0.2">
      <c r="A112" s="6" t="s">
        <v>191</v>
      </c>
      <c r="B112" s="6" t="s">
        <v>205</v>
      </c>
      <c r="C112" s="6">
        <v>45</v>
      </c>
      <c r="F112" s="6" t="s">
        <v>247</v>
      </c>
      <c r="G112" s="6" t="s">
        <v>250</v>
      </c>
      <c r="H112" s="6" t="s">
        <v>208</v>
      </c>
      <c r="I112" s="6" t="s">
        <v>15</v>
      </c>
      <c r="J112" s="6" t="str">
        <f t="shared" si="26"/>
        <v>RACKPDU-RACK-R3-Z5E-R2-03-A</v>
      </c>
      <c r="K112" s="6" t="str">
        <f t="shared" si="27"/>
        <v>RACKPDU-RACK-R3-Z5E-R2-03-B</v>
      </c>
      <c r="L112" s="6">
        <v>45</v>
      </c>
      <c r="M112" s="6">
        <f>VLOOKUP($H112,'Cooling-Rack'!$A$2:$G$265,5,FALSE)</f>
        <v>38.25</v>
      </c>
      <c r="N112" s="6">
        <f>VLOOKUP($H112,'Cooling-Rack'!$A$2:$G$265,7,FALSE)</f>
        <v>6.7500000000000009</v>
      </c>
      <c r="O112" s="6">
        <v>54</v>
      </c>
      <c r="P112" s="105">
        <v>0.85</v>
      </c>
      <c r="Q112" s="105">
        <v>0.15000000000000002</v>
      </c>
      <c r="R112" s="14" t="s">
        <v>32</v>
      </c>
      <c r="S112" s="12" t="s">
        <v>28</v>
      </c>
      <c r="T112" s="6" t="s">
        <v>70</v>
      </c>
      <c r="U112" s="6" t="s">
        <v>72</v>
      </c>
      <c r="V112" s="6" t="s">
        <v>293</v>
      </c>
      <c r="W112" s="6" t="s">
        <v>294</v>
      </c>
      <c r="X112" s="6" t="s">
        <v>80</v>
      </c>
      <c r="Y112" s="6" t="s">
        <v>76</v>
      </c>
      <c r="Z112" s="6" t="s">
        <v>77</v>
      </c>
      <c r="AA112" s="6" t="s">
        <v>74</v>
      </c>
      <c r="AB112" s="6" t="s">
        <v>75</v>
      </c>
      <c r="AC112" s="6" t="s">
        <v>78</v>
      </c>
      <c r="AD112" s="6" t="s">
        <v>79</v>
      </c>
      <c r="AE112" s="6" t="s">
        <v>385</v>
      </c>
      <c r="AF112" s="6" t="s">
        <v>384</v>
      </c>
      <c r="AG112" s="6" t="s">
        <v>392</v>
      </c>
      <c r="AH112" s="6" t="s">
        <v>395</v>
      </c>
      <c r="AL112" s="6">
        <v>0</v>
      </c>
      <c r="AM112" s="6">
        <f t="shared" si="28"/>
        <v>0</v>
      </c>
      <c r="AN112" s="6">
        <f t="shared" si="29"/>
        <v>0</v>
      </c>
      <c r="AO112" s="6">
        <v>0</v>
      </c>
      <c r="AP112" s="6">
        <f t="shared" si="30"/>
        <v>0</v>
      </c>
      <c r="AQ112" s="6">
        <f t="shared" si="31"/>
        <v>0</v>
      </c>
      <c r="AR112" s="6">
        <v>30</v>
      </c>
      <c r="AS112" s="6">
        <f t="shared" si="51"/>
        <v>25.5</v>
      </c>
      <c r="AT112" s="6">
        <f t="shared" si="55"/>
        <v>4.5</v>
      </c>
      <c r="BA112" s="6">
        <f t="shared" si="32"/>
        <v>45</v>
      </c>
      <c r="BB112" s="6">
        <f t="shared" si="33"/>
        <v>45</v>
      </c>
      <c r="BC112" s="6">
        <f t="shared" si="34"/>
        <v>45</v>
      </c>
      <c r="BD112" s="6">
        <f t="shared" si="35"/>
        <v>15</v>
      </c>
      <c r="BE112" s="6">
        <f t="shared" si="36"/>
        <v>45</v>
      </c>
      <c r="BF112" s="6">
        <f t="shared" si="37"/>
        <v>45</v>
      </c>
      <c r="BG112" s="105">
        <f t="shared" si="38"/>
        <v>1</v>
      </c>
      <c r="BH112" s="105">
        <f t="shared" si="39"/>
        <v>1</v>
      </c>
      <c r="BI112" s="105">
        <f t="shared" si="40"/>
        <v>1</v>
      </c>
      <c r="BJ112" s="105">
        <f t="shared" si="41"/>
        <v>0.33333333333333331</v>
      </c>
      <c r="BK112" s="105">
        <f t="shared" si="42"/>
        <v>1</v>
      </c>
      <c r="BL112" s="105">
        <f t="shared" si="43"/>
        <v>1</v>
      </c>
      <c r="BM112" s="105"/>
      <c r="BO112" s="6" t="s">
        <v>961</v>
      </c>
      <c r="BP112" s="126">
        <f t="shared" si="44"/>
        <v>42.5</v>
      </c>
      <c r="BQ112" s="6">
        <f t="shared" si="45"/>
        <v>0</v>
      </c>
      <c r="BR112" s="6">
        <f t="shared" si="46"/>
        <v>0</v>
      </c>
      <c r="BS112" s="6">
        <f t="shared" si="47"/>
        <v>0</v>
      </c>
      <c r="BT112" s="6">
        <f t="shared" si="48"/>
        <v>1</v>
      </c>
      <c r="BU112" s="6">
        <f t="shared" si="49"/>
        <v>0</v>
      </c>
      <c r="BV112" s="6">
        <f t="shared" si="50"/>
        <v>0</v>
      </c>
    </row>
    <row r="113" spans="1:74" s="6" customFormat="1" x14ac:dyDescent="0.2">
      <c r="A113" s="6" t="s">
        <v>191</v>
      </c>
      <c r="B113" s="6" t="s">
        <v>205</v>
      </c>
      <c r="C113" s="6">
        <v>45</v>
      </c>
      <c r="F113" s="6" t="s">
        <v>247</v>
      </c>
      <c r="G113" s="6" t="s">
        <v>250</v>
      </c>
      <c r="H113" s="6" t="s">
        <v>209</v>
      </c>
      <c r="I113" s="6" t="s">
        <v>15</v>
      </c>
      <c r="J113" s="6" t="str">
        <f t="shared" si="26"/>
        <v>RACKPDU-RACK-R3-Z5E-R2-04-A</v>
      </c>
      <c r="K113" s="6" t="str">
        <f t="shared" si="27"/>
        <v>RACKPDU-RACK-R3-Z5E-R2-04-B</v>
      </c>
      <c r="L113" s="6">
        <v>45</v>
      </c>
      <c r="M113" s="6">
        <f>VLOOKUP($H113,'Cooling-Rack'!$A$2:$G$265,5,FALSE)</f>
        <v>38.25</v>
      </c>
      <c r="N113" s="6">
        <f>VLOOKUP($H113,'Cooling-Rack'!$A$2:$G$265,7,FALSE)</f>
        <v>6.7500000000000009</v>
      </c>
      <c r="O113" s="6">
        <v>54</v>
      </c>
      <c r="P113" s="105">
        <v>0.85</v>
      </c>
      <c r="Q113" s="105">
        <v>0.15000000000000002</v>
      </c>
      <c r="R113" s="16" t="s">
        <v>33</v>
      </c>
      <c r="S113" s="12" t="s">
        <v>28</v>
      </c>
      <c r="T113" s="6" t="s">
        <v>70</v>
      </c>
      <c r="U113" s="6" t="s">
        <v>72</v>
      </c>
      <c r="V113" s="6" t="s">
        <v>293</v>
      </c>
      <c r="W113" s="6" t="s">
        <v>294</v>
      </c>
      <c r="X113" s="6" t="s">
        <v>80</v>
      </c>
      <c r="Y113" s="6" t="s">
        <v>76</v>
      </c>
      <c r="Z113" s="6" t="s">
        <v>77</v>
      </c>
      <c r="AA113" s="6" t="s">
        <v>74</v>
      </c>
      <c r="AB113" s="6" t="s">
        <v>75</v>
      </c>
      <c r="AC113" s="6" t="s">
        <v>78</v>
      </c>
      <c r="AD113" s="6" t="s">
        <v>79</v>
      </c>
      <c r="AE113" s="6" t="s">
        <v>385</v>
      </c>
      <c r="AF113" s="6" t="s">
        <v>384</v>
      </c>
      <c r="AG113" s="6" t="s">
        <v>392</v>
      </c>
      <c r="AH113" s="6" t="s">
        <v>395</v>
      </c>
      <c r="AL113" s="6">
        <v>0</v>
      </c>
      <c r="AM113" s="6">
        <f t="shared" si="28"/>
        <v>0</v>
      </c>
      <c r="AN113" s="6">
        <f t="shared" si="29"/>
        <v>0</v>
      </c>
      <c r="AO113" s="6">
        <v>0</v>
      </c>
      <c r="AP113" s="6">
        <f t="shared" si="30"/>
        <v>0</v>
      </c>
      <c r="AQ113" s="6">
        <f t="shared" si="31"/>
        <v>0</v>
      </c>
      <c r="AR113" s="6">
        <v>30</v>
      </c>
      <c r="AS113" s="6">
        <f t="shared" si="51"/>
        <v>25.5</v>
      </c>
      <c r="AT113" s="6">
        <f t="shared" si="55"/>
        <v>4.5</v>
      </c>
      <c r="BA113" s="6">
        <f t="shared" si="32"/>
        <v>45</v>
      </c>
      <c r="BB113" s="6">
        <f t="shared" si="33"/>
        <v>45</v>
      </c>
      <c r="BC113" s="6">
        <f t="shared" si="34"/>
        <v>45</v>
      </c>
      <c r="BD113" s="6">
        <f t="shared" si="35"/>
        <v>15</v>
      </c>
      <c r="BE113" s="6">
        <f t="shared" si="36"/>
        <v>45</v>
      </c>
      <c r="BF113" s="6">
        <f t="shared" si="37"/>
        <v>45</v>
      </c>
      <c r="BG113" s="105">
        <f t="shared" si="38"/>
        <v>1</v>
      </c>
      <c r="BH113" s="105">
        <f t="shared" si="39"/>
        <v>1</v>
      </c>
      <c r="BI113" s="105">
        <f t="shared" si="40"/>
        <v>1</v>
      </c>
      <c r="BJ113" s="105">
        <f t="shared" si="41"/>
        <v>0.33333333333333331</v>
      </c>
      <c r="BK113" s="105">
        <f t="shared" si="42"/>
        <v>1</v>
      </c>
      <c r="BL113" s="105">
        <f t="shared" si="43"/>
        <v>1</v>
      </c>
      <c r="BM113" s="105"/>
      <c r="BO113" s="6" t="s">
        <v>962</v>
      </c>
      <c r="BP113" s="126">
        <f t="shared" si="44"/>
        <v>42.5</v>
      </c>
      <c r="BQ113" s="6">
        <f t="shared" si="45"/>
        <v>0</v>
      </c>
      <c r="BR113" s="6">
        <f t="shared" si="46"/>
        <v>0</v>
      </c>
      <c r="BS113" s="6">
        <f t="shared" si="47"/>
        <v>0</v>
      </c>
      <c r="BT113" s="6">
        <f t="shared" si="48"/>
        <v>1</v>
      </c>
      <c r="BU113" s="6">
        <f t="shared" si="49"/>
        <v>0</v>
      </c>
      <c r="BV113" s="6">
        <f t="shared" si="50"/>
        <v>0</v>
      </c>
    </row>
    <row r="114" spans="1:74" s="6" customFormat="1" x14ac:dyDescent="0.2">
      <c r="A114" s="6" t="s">
        <v>191</v>
      </c>
      <c r="B114" s="6" t="s">
        <v>205</v>
      </c>
      <c r="C114" s="6">
        <v>45</v>
      </c>
      <c r="F114" s="6" t="s">
        <v>247</v>
      </c>
      <c r="G114" s="6" t="s">
        <v>250</v>
      </c>
      <c r="H114" s="6" t="s">
        <v>210</v>
      </c>
      <c r="I114" s="6" t="s">
        <v>15</v>
      </c>
      <c r="J114" s="6" t="str">
        <f t="shared" si="26"/>
        <v>RACKPDU-RACK-R3-Z5E-R2-05-A</v>
      </c>
      <c r="K114" s="6" t="str">
        <f t="shared" si="27"/>
        <v>RACKPDU-RACK-R3-Z5E-R2-05-B</v>
      </c>
      <c r="L114" s="6">
        <v>45</v>
      </c>
      <c r="M114" s="6">
        <f>VLOOKUP($H114,'Cooling-Rack'!$A$2:$G$265,5,FALSE)</f>
        <v>38.25</v>
      </c>
      <c r="N114" s="6">
        <f>VLOOKUP($H114,'Cooling-Rack'!$A$2:$G$265,7,FALSE)</f>
        <v>6.7500000000000009</v>
      </c>
      <c r="O114" s="6">
        <v>54</v>
      </c>
      <c r="P114" s="105">
        <v>0.85</v>
      </c>
      <c r="Q114" s="105">
        <v>0.15000000000000002</v>
      </c>
      <c r="R114" s="14" t="s">
        <v>32</v>
      </c>
      <c r="S114" s="12" t="s">
        <v>28</v>
      </c>
      <c r="T114" s="6" t="s">
        <v>70</v>
      </c>
      <c r="U114" s="6" t="s">
        <v>72</v>
      </c>
      <c r="V114" s="6" t="s">
        <v>293</v>
      </c>
      <c r="W114" s="6" t="s">
        <v>294</v>
      </c>
      <c r="X114" s="6" t="s">
        <v>80</v>
      </c>
      <c r="Y114" s="6" t="s">
        <v>76</v>
      </c>
      <c r="Z114" s="6" t="s">
        <v>77</v>
      </c>
      <c r="AA114" s="6" t="s">
        <v>74</v>
      </c>
      <c r="AB114" s="6" t="s">
        <v>75</v>
      </c>
      <c r="AC114" s="6" t="s">
        <v>78</v>
      </c>
      <c r="AD114" s="6" t="s">
        <v>79</v>
      </c>
      <c r="AE114" s="6" t="s">
        <v>385</v>
      </c>
      <c r="AF114" s="6" t="s">
        <v>384</v>
      </c>
      <c r="AG114" s="6" t="s">
        <v>392</v>
      </c>
      <c r="AH114" s="6" t="s">
        <v>395</v>
      </c>
      <c r="AL114" s="6">
        <v>0</v>
      </c>
      <c r="AM114" s="6">
        <f t="shared" si="28"/>
        <v>0</v>
      </c>
      <c r="AN114" s="6">
        <f t="shared" si="29"/>
        <v>0</v>
      </c>
      <c r="AO114" s="6">
        <v>0</v>
      </c>
      <c r="AP114" s="6">
        <f t="shared" si="30"/>
        <v>0</v>
      </c>
      <c r="AQ114" s="6">
        <f t="shared" si="31"/>
        <v>0</v>
      </c>
      <c r="AR114" s="6">
        <v>30</v>
      </c>
      <c r="AS114" s="6">
        <f t="shared" si="51"/>
        <v>25.5</v>
      </c>
      <c r="AT114" s="6">
        <f t="shared" si="55"/>
        <v>4.5</v>
      </c>
      <c r="AV114" s="6">
        <f t="shared" si="53"/>
        <v>0</v>
      </c>
      <c r="AW114" s="6">
        <f t="shared" si="54"/>
        <v>0</v>
      </c>
      <c r="BA114" s="6">
        <f t="shared" si="32"/>
        <v>45</v>
      </c>
      <c r="BB114" s="6">
        <f t="shared" si="33"/>
        <v>45</v>
      </c>
      <c r="BC114" s="6">
        <f t="shared" si="34"/>
        <v>45</v>
      </c>
      <c r="BD114" s="6">
        <f t="shared" si="35"/>
        <v>15</v>
      </c>
      <c r="BE114" s="6">
        <f t="shared" si="36"/>
        <v>45</v>
      </c>
      <c r="BF114" s="6">
        <f t="shared" si="37"/>
        <v>45</v>
      </c>
      <c r="BG114" s="105">
        <f t="shared" si="38"/>
        <v>1</v>
      </c>
      <c r="BH114" s="105">
        <f t="shared" si="39"/>
        <v>1</v>
      </c>
      <c r="BI114" s="105">
        <f t="shared" si="40"/>
        <v>1</v>
      </c>
      <c r="BJ114" s="105">
        <f t="shared" si="41"/>
        <v>0.33333333333333331</v>
      </c>
      <c r="BK114" s="105">
        <f t="shared" si="42"/>
        <v>1</v>
      </c>
      <c r="BL114" s="105">
        <f t="shared" si="43"/>
        <v>1</v>
      </c>
      <c r="BM114" s="105"/>
      <c r="BO114" s="6" t="s">
        <v>963</v>
      </c>
      <c r="BP114" s="126">
        <f t="shared" si="44"/>
        <v>42.5</v>
      </c>
      <c r="BQ114" s="6">
        <f t="shared" si="45"/>
        <v>0</v>
      </c>
      <c r="BR114" s="6">
        <f t="shared" si="46"/>
        <v>0</v>
      </c>
      <c r="BS114" s="6">
        <f t="shared" si="47"/>
        <v>0</v>
      </c>
      <c r="BT114" s="6">
        <f t="shared" si="48"/>
        <v>1</v>
      </c>
      <c r="BU114" s="6">
        <f t="shared" si="49"/>
        <v>0</v>
      </c>
      <c r="BV114" s="6">
        <f t="shared" si="50"/>
        <v>0</v>
      </c>
    </row>
    <row r="115" spans="1:74" s="6" customFormat="1" x14ac:dyDescent="0.2">
      <c r="A115" s="6" t="s">
        <v>191</v>
      </c>
      <c r="B115" s="6" t="s">
        <v>205</v>
      </c>
      <c r="C115" s="6">
        <v>45</v>
      </c>
      <c r="F115" s="6" t="s">
        <v>247</v>
      </c>
      <c r="G115" s="6" t="s">
        <v>250</v>
      </c>
      <c r="H115" s="6" t="s">
        <v>211</v>
      </c>
      <c r="I115" s="6" t="s">
        <v>15</v>
      </c>
      <c r="J115" s="6" t="str">
        <f t="shared" si="26"/>
        <v>RACKPDU-RACK-R3-Z5E-R2-06-A</v>
      </c>
      <c r="K115" s="6" t="str">
        <f t="shared" si="27"/>
        <v>RACKPDU-RACK-R3-Z5E-R2-06-B</v>
      </c>
      <c r="L115" s="6">
        <v>45</v>
      </c>
      <c r="M115" s="6">
        <f>VLOOKUP($H115,'Cooling-Rack'!$A$2:$G$265,5,FALSE)</f>
        <v>38.25</v>
      </c>
      <c r="N115" s="6">
        <f>VLOOKUP($H115,'Cooling-Rack'!$A$2:$G$265,7,FALSE)</f>
        <v>6.7500000000000009</v>
      </c>
      <c r="O115" s="6">
        <v>54</v>
      </c>
      <c r="P115" s="105">
        <v>0.85</v>
      </c>
      <c r="Q115" s="105">
        <v>0.15000000000000002</v>
      </c>
      <c r="R115" s="16" t="s">
        <v>33</v>
      </c>
      <c r="S115" s="12" t="s">
        <v>28</v>
      </c>
      <c r="T115" s="6" t="s">
        <v>70</v>
      </c>
      <c r="U115" s="6" t="s">
        <v>72</v>
      </c>
      <c r="V115" s="6" t="s">
        <v>293</v>
      </c>
      <c r="W115" s="6" t="s">
        <v>294</v>
      </c>
      <c r="X115" s="6" t="s">
        <v>80</v>
      </c>
      <c r="Y115" s="6" t="s">
        <v>76</v>
      </c>
      <c r="Z115" s="6" t="s">
        <v>77</v>
      </c>
      <c r="AA115" s="6" t="s">
        <v>74</v>
      </c>
      <c r="AB115" s="6" t="s">
        <v>75</v>
      </c>
      <c r="AC115" s="6" t="s">
        <v>78</v>
      </c>
      <c r="AD115" s="6" t="s">
        <v>79</v>
      </c>
      <c r="AE115" s="6" t="s">
        <v>385</v>
      </c>
      <c r="AF115" s="6" t="s">
        <v>384</v>
      </c>
      <c r="AG115" s="6" t="s">
        <v>392</v>
      </c>
      <c r="AH115" s="6" t="s">
        <v>395</v>
      </c>
      <c r="AL115" s="6">
        <v>0</v>
      </c>
      <c r="AM115" s="6">
        <f t="shared" si="28"/>
        <v>0</v>
      </c>
      <c r="AN115" s="6">
        <f t="shared" si="29"/>
        <v>0</v>
      </c>
      <c r="AO115" s="6">
        <v>0</v>
      </c>
      <c r="AP115" s="6">
        <f t="shared" si="30"/>
        <v>0</v>
      </c>
      <c r="AQ115" s="6">
        <f t="shared" si="31"/>
        <v>0</v>
      </c>
      <c r="AR115" s="6">
        <v>30</v>
      </c>
      <c r="AS115" s="6">
        <f t="shared" si="51"/>
        <v>25.5</v>
      </c>
      <c r="AT115" s="6">
        <f t="shared" si="55"/>
        <v>4.5</v>
      </c>
      <c r="AV115" s="6">
        <f t="shared" si="53"/>
        <v>0</v>
      </c>
      <c r="AW115" s="6">
        <f t="shared" si="54"/>
        <v>0</v>
      </c>
      <c r="BA115" s="6">
        <f t="shared" si="32"/>
        <v>45</v>
      </c>
      <c r="BB115" s="6">
        <f t="shared" si="33"/>
        <v>45</v>
      </c>
      <c r="BC115" s="6">
        <f t="shared" si="34"/>
        <v>45</v>
      </c>
      <c r="BD115" s="6">
        <f t="shared" si="35"/>
        <v>15</v>
      </c>
      <c r="BE115" s="6">
        <f t="shared" si="36"/>
        <v>45</v>
      </c>
      <c r="BF115" s="6">
        <f t="shared" si="37"/>
        <v>45</v>
      </c>
      <c r="BG115" s="105">
        <f t="shared" si="38"/>
        <v>1</v>
      </c>
      <c r="BH115" s="105">
        <f t="shared" si="39"/>
        <v>1</v>
      </c>
      <c r="BI115" s="105">
        <f t="shared" si="40"/>
        <v>1</v>
      </c>
      <c r="BJ115" s="105">
        <f t="shared" si="41"/>
        <v>0.33333333333333331</v>
      </c>
      <c r="BK115" s="105">
        <f t="shared" si="42"/>
        <v>1</v>
      </c>
      <c r="BL115" s="105">
        <f t="shared" si="43"/>
        <v>1</v>
      </c>
      <c r="BM115" s="105"/>
      <c r="BO115" s="6" t="s">
        <v>964</v>
      </c>
      <c r="BP115" s="126">
        <f t="shared" si="44"/>
        <v>42.5</v>
      </c>
      <c r="BQ115" s="6">
        <f t="shared" si="45"/>
        <v>0</v>
      </c>
      <c r="BR115" s="6">
        <f t="shared" si="46"/>
        <v>0</v>
      </c>
      <c r="BS115" s="6">
        <f t="shared" si="47"/>
        <v>0</v>
      </c>
      <c r="BT115" s="6">
        <f t="shared" si="48"/>
        <v>1</v>
      </c>
      <c r="BU115" s="6">
        <f t="shared" si="49"/>
        <v>0</v>
      </c>
      <c r="BV115" s="6">
        <f t="shared" si="50"/>
        <v>0</v>
      </c>
    </row>
    <row r="116" spans="1:74" s="6" customFormat="1" x14ac:dyDescent="0.2">
      <c r="A116" s="6" t="s">
        <v>191</v>
      </c>
      <c r="B116" s="6" t="s">
        <v>205</v>
      </c>
      <c r="C116" s="6">
        <v>45</v>
      </c>
      <c r="F116" s="6" t="s">
        <v>247</v>
      </c>
      <c r="G116" s="6" t="s">
        <v>250</v>
      </c>
      <c r="H116" s="6" t="s">
        <v>212</v>
      </c>
      <c r="I116" s="6" t="s">
        <v>15</v>
      </c>
      <c r="J116" s="6" t="str">
        <f t="shared" si="26"/>
        <v>RACKPDU-RACK-R3-Z5E-R2-07-A</v>
      </c>
      <c r="K116" s="6" t="str">
        <f t="shared" si="27"/>
        <v>RACKPDU-RACK-R3-Z5E-R2-07-B</v>
      </c>
      <c r="L116" s="6">
        <v>45</v>
      </c>
      <c r="M116" s="6">
        <f>VLOOKUP($H116,'Cooling-Rack'!$A$2:$G$265,5,FALSE)</f>
        <v>38.25</v>
      </c>
      <c r="N116" s="6">
        <f>VLOOKUP($H116,'Cooling-Rack'!$A$2:$G$265,7,FALSE)</f>
        <v>6.7500000000000009</v>
      </c>
      <c r="O116" s="6">
        <v>54</v>
      </c>
      <c r="P116" s="105">
        <v>0.85</v>
      </c>
      <c r="Q116" s="105">
        <v>0.15000000000000002</v>
      </c>
      <c r="R116" s="14" t="s">
        <v>32</v>
      </c>
      <c r="S116" s="16" t="s">
        <v>34</v>
      </c>
      <c r="T116" s="6" t="s">
        <v>70</v>
      </c>
      <c r="U116" s="6" t="s">
        <v>72</v>
      </c>
      <c r="V116" s="6" t="s">
        <v>293</v>
      </c>
      <c r="W116" s="6" t="s">
        <v>294</v>
      </c>
      <c r="X116" s="6" t="s">
        <v>80</v>
      </c>
      <c r="Y116" s="6" t="s">
        <v>76</v>
      </c>
      <c r="Z116" s="6" t="s">
        <v>77</v>
      </c>
      <c r="AA116" s="6" t="s">
        <v>74</v>
      </c>
      <c r="AB116" s="6" t="s">
        <v>75</v>
      </c>
      <c r="AC116" s="6" t="s">
        <v>78</v>
      </c>
      <c r="AD116" s="6" t="s">
        <v>79</v>
      </c>
      <c r="AE116" s="6" t="s">
        <v>385</v>
      </c>
      <c r="AF116" s="6" t="s">
        <v>384</v>
      </c>
      <c r="AG116" s="6" t="s">
        <v>392</v>
      </c>
      <c r="AH116" s="6" t="s">
        <v>395</v>
      </c>
      <c r="AL116" s="6">
        <v>0</v>
      </c>
      <c r="AM116" s="6">
        <f t="shared" si="28"/>
        <v>0</v>
      </c>
      <c r="AN116" s="6">
        <f t="shared" si="29"/>
        <v>0</v>
      </c>
      <c r="AO116" s="6">
        <v>0</v>
      </c>
      <c r="AP116" s="6">
        <f t="shared" si="30"/>
        <v>0</v>
      </c>
      <c r="AQ116" s="6">
        <f t="shared" si="31"/>
        <v>0</v>
      </c>
      <c r="AR116" s="6">
        <v>30</v>
      </c>
      <c r="AS116" s="6">
        <f t="shared" si="51"/>
        <v>25.5</v>
      </c>
      <c r="AT116" s="6">
        <f t="shared" si="55"/>
        <v>4.5</v>
      </c>
      <c r="AV116" s="6">
        <f t="shared" si="53"/>
        <v>0</v>
      </c>
      <c r="AW116" s="6">
        <f t="shared" si="54"/>
        <v>0</v>
      </c>
      <c r="BA116" s="6">
        <f t="shared" si="32"/>
        <v>45</v>
      </c>
      <c r="BB116" s="6">
        <f t="shared" si="33"/>
        <v>45</v>
      </c>
      <c r="BC116" s="6">
        <f t="shared" si="34"/>
        <v>45</v>
      </c>
      <c r="BD116" s="6">
        <f t="shared" si="35"/>
        <v>15</v>
      </c>
      <c r="BE116" s="6">
        <f t="shared" si="36"/>
        <v>45</v>
      </c>
      <c r="BF116" s="6">
        <f t="shared" si="37"/>
        <v>45</v>
      </c>
      <c r="BG116" s="105">
        <f t="shared" si="38"/>
        <v>1</v>
      </c>
      <c r="BH116" s="105">
        <f t="shared" si="39"/>
        <v>1</v>
      </c>
      <c r="BI116" s="105">
        <f t="shared" si="40"/>
        <v>1</v>
      </c>
      <c r="BJ116" s="105">
        <f t="shared" si="41"/>
        <v>0.33333333333333331</v>
      </c>
      <c r="BK116" s="105">
        <f t="shared" si="42"/>
        <v>1</v>
      </c>
      <c r="BL116" s="105">
        <f t="shared" si="43"/>
        <v>1</v>
      </c>
      <c r="BM116" s="105"/>
      <c r="BO116" s="6" t="s">
        <v>965</v>
      </c>
      <c r="BP116" s="126">
        <f t="shared" si="44"/>
        <v>42.5</v>
      </c>
      <c r="BQ116" s="6">
        <f t="shared" si="45"/>
        <v>0</v>
      </c>
      <c r="BR116" s="6">
        <f t="shared" si="46"/>
        <v>0</v>
      </c>
      <c r="BS116" s="6">
        <f t="shared" si="47"/>
        <v>0</v>
      </c>
      <c r="BT116" s="6">
        <f t="shared" si="48"/>
        <v>1</v>
      </c>
      <c r="BU116" s="6">
        <f t="shared" si="49"/>
        <v>0</v>
      </c>
      <c r="BV116" s="6">
        <f t="shared" si="50"/>
        <v>0</v>
      </c>
    </row>
    <row r="117" spans="1:74" s="6" customFormat="1" x14ac:dyDescent="0.2">
      <c r="A117" s="6" t="s">
        <v>191</v>
      </c>
      <c r="B117" s="6" t="s">
        <v>205</v>
      </c>
      <c r="C117" s="6">
        <v>45</v>
      </c>
      <c r="F117" s="6" t="s">
        <v>247</v>
      </c>
      <c r="G117" s="6" t="s">
        <v>250</v>
      </c>
      <c r="H117" s="6" t="s">
        <v>213</v>
      </c>
      <c r="I117" s="6" t="s">
        <v>15</v>
      </c>
      <c r="J117" s="6" t="str">
        <f t="shared" si="26"/>
        <v>RACKPDU-RACK-R3-Z5E-R2-08-A</v>
      </c>
      <c r="K117" s="6" t="str">
        <f t="shared" si="27"/>
        <v>RACKPDU-RACK-R3-Z5E-R2-08-B</v>
      </c>
      <c r="L117" s="6">
        <v>45</v>
      </c>
      <c r="M117" s="6">
        <f>VLOOKUP($H117,'Cooling-Rack'!$A$2:$G$265,5,FALSE)</f>
        <v>38.25</v>
      </c>
      <c r="N117" s="6">
        <f>VLOOKUP($H117,'Cooling-Rack'!$A$2:$G$265,7,FALSE)</f>
        <v>6.7500000000000009</v>
      </c>
      <c r="O117" s="6">
        <v>54</v>
      </c>
      <c r="P117" s="105">
        <v>0.85</v>
      </c>
      <c r="Q117" s="105">
        <v>0.15000000000000002</v>
      </c>
      <c r="R117" s="16" t="s">
        <v>33</v>
      </c>
      <c r="S117" s="16" t="s">
        <v>34</v>
      </c>
      <c r="T117" s="6" t="s">
        <v>70</v>
      </c>
      <c r="U117" s="6" t="s">
        <v>72</v>
      </c>
      <c r="V117" s="6" t="s">
        <v>293</v>
      </c>
      <c r="W117" s="6" t="s">
        <v>294</v>
      </c>
      <c r="X117" s="6" t="s">
        <v>80</v>
      </c>
      <c r="Y117" s="6" t="s">
        <v>76</v>
      </c>
      <c r="Z117" s="6" t="s">
        <v>77</v>
      </c>
      <c r="AA117" s="6" t="s">
        <v>74</v>
      </c>
      <c r="AB117" s="6" t="s">
        <v>75</v>
      </c>
      <c r="AC117" s="6" t="s">
        <v>78</v>
      </c>
      <c r="AD117" s="6" t="s">
        <v>79</v>
      </c>
      <c r="AE117" s="6" t="s">
        <v>385</v>
      </c>
      <c r="AF117" s="6" t="s">
        <v>384</v>
      </c>
      <c r="AG117" s="6" t="s">
        <v>392</v>
      </c>
      <c r="AH117" s="6" t="s">
        <v>395</v>
      </c>
      <c r="AL117" s="6">
        <v>0</v>
      </c>
      <c r="AM117" s="6">
        <f t="shared" si="28"/>
        <v>0</v>
      </c>
      <c r="AN117" s="6">
        <f t="shared" si="29"/>
        <v>0</v>
      </c>
      <c r="AO117" s="6">
        <v>0</v>
      </c>
      <c r="AP117" s="6">
        <f t="shared" si="30"/>
        <v>0</v>
      </c>
      <c r="AQ117" s="6">
        <f t="shared" si="31"/>
        <v>0</v>
      </c>
      <c r="AR117" s="6">
        <v>30</v>
      </c>
      <c r="AS117" s="6">
        <f t="shared" si="51"/>
        <v>25.5</v>
      </c>
      <c r="AT117" s="6">
        <f t="shared" si="55"/>
        <v>4.5</v>
      </c>
      <c r="AV117" s="6">
        <f t="shared" si="53"/>
        <v>0</v>
      </c>
      <c r="AW117" s="6">
        <f t="shared" si="54"/>
        <v>0</v>
      </c>
      <c r="BA117" s="6">
        <f t="shared" si="32"/>
        <v>45</v>
      </c>
      <c r="BB117" s="6">
        <f t="shared" si="33"/>
        <v>45</v>
      </c>
      <c r="BC117" s="6">
        <f t="shared" si="34"/>
        <v>45</v>
      </c>
      <c r="BD117" s="6">
        <f t="shared" si="35"/>
        <v>15</v>
      </c>
      <c r="BE117" s="6">
        <f t="shared" si="36"/>
        <v>45</v>
      </c>
      <c r="BF117" s="6">
        <f t="shared" si="37"/>
        <v>45</v>
      </c>
      <c r="BG117" s="105">
        <f t="shared" si="38"/>
        <v>1</v>
      </c>
      <c r="BH117" s="105">
        <f t="shared" si="39"/>
        <v>1</v>
      </c>
      <c r="BI117" s="105">
        <f t="shared" si="40"/>
        <v>1</v>
      </c>
      <c r="BJ117" s="105">
        <f t="shared" si="41"/>
        <v>0.33333333333333331</v>
      </c>
      <c r="BK117" s="105">
        <f t="shared" si="42"/>
        <v>1</v>
      </c>
      <c r="BL117" s="105">
        <f t="shared" si="43"/>
        <v>1</v>
      </c>
      <c r="BM117" s="105"/>
      <c r="BO117" s="6" t="s">
        <v>966</v>
      </c>
      <c r="BP117" s="126">
        <f t="shared" si="44"/>
        <v>42.5</v>
      </c>
      <c r="BQ117" s="6">
        <f t="shared" si="45"/>
        <v>0</v>
      </c>
      <c r="BR117" s="6">
        <f t="shared" si="46"/>
        <v>0</v>
      </c>
      <c r="BS117" s="6">
        <f t="shared" si="47"/>
        <v>0</v>
      </c>
      <c r="BT117" s="6">
        <f t="shared" si="48"/>
        <v>1</v>
      </c>
      <c r="BU117" s="6">
        <f t="shared" si="49"/>
        <v>0</v>
      </c>
      <c r="BV117" s="6">
        <f t="shared" si="50"/>
        <v>0</v>
      </c>
    </row>
    <row r="118" spans="1:74" s="6" customFormat="1" x14ac:dyDescent="0.2">
      <c r="A118" s="6" t="s">
        <v>191</v>
      </c>
      <c r="B118" s="6" t="s">
        <v>205</v>
      </c>
      <c r="C118" s="6">
        <v>45</v>
      </c>
      <c r="F118" s="6" t="s">
        <v>247</v>
      </c>
      <c r="G118" s="6" t="s">
        <v>250</v>
      </c>
      <c r="H118" s="6" t="s">
        <v>214</v>
      </c>
      <c r="I118" s="6" t="s">
        <v>15</v>
      </c>
      <c r="J118" s="6" t="str">
        <f t="shared" si="26"/>
        <v>RACKPDU-RACK-R3-Z5E-R2-09-A</v>
      </c>
      <c r="K118" s="6" t="str">
        <f t="shared" si="27"/>
        <v>RACKPDU-RACK-R3-Z5E-R2-09-B</v>
      </c>
      <c r="L118" s="6">
        <v>45</v>
      </c>
      <c r="M118" s="6">
        <f>VLOOKUP($H118,'Cooling-Rack'!$A$2:$G$265,5,FALSE)</f>
        <v>38.25</v>
      </c>
      <c r="N118" s="6">
        <f>VLOOKUP($H118,'Cooling-Rack'!$A$2:$G$265,7,FALSE)</f>
        <v>6.7500000000000009</v>
      </c>
      <c r="O118" s="6">
        <v>54</v>
      </c>
      <c r="P118" s="105">
        <v>0.85</v>
      </c>
      <c r="Q118" s="105">
        <v>0.15000000000000002</v>
      </c>
      <c r="R118" s="14" t="s">
        <v>32</v>
      </c>
      <c r="S118" s="16" t="s">
        <v>34</v>
      </c>
      <c r="T118" s="6" t="s">
        <v>70</v>
      </c>
      <c r="U118" s="6" t="s">
        <v>72</v>
      </c>
      <c r="V118" s="6" t="s">
        <v>293</v>
      </c>
      <c r="W118" s="6" t="s">
        <v>294</v>
      </c>
      <c r="X118" s="6" t="s">
        <v>80</v>
      </c>
      <c r="Y118" s="6" t="s">
        <v>76</v>
      </c>
      <c r="Z118" s="6" t="s">
        <v>77</v>
      </c>
      <c r="AA118" s="6" t="s">
        <v>74</v>
      </c>
      <c r="AB118" s="6" t="s">
        <v>75</v>
      </c>
      <c r="AC118" s="6" t="s">
        <v>78</v>
      </c>
      <c r="AD118" s="6" t="s">
        <v>79</v>
      </c>
      <c r="AE118" s="6" t="s">
        <v>385</v>
      </c>
      <c r="AF118" s="6" t="s">
        <v>384</v>
      </c>
      <c r="AG118" s="6" t="s">
        <v>392</v>
      </c>
      <c r="AH118" s="6" t="s">
        <v>395</v>
      </c>
      <c r="AL118" s="6">
        <v>0</v>
      </c>
      <c r="AM118" s="6">
        <f t="shared" si="28"/>
        <v>0</v>
      </c>
      <c r="AN118" s="6">
        <f t="shared" si="29"/>
        <v>0</v>
      </c>
      <c r="AO118" s="6">
        <v>0</v>
      </c>
      <c r="AP118" s="6">
        <f t="shared" si="30"/>
        <v>0</v>
      </c>
      <c r="AQ118" s="6">
        <f t="shared" si="31"/>
        <v>0</v>
      </c>
      <c r="AR118" s="6">
        <v>30</v>
      </c>
      <c r="AS118" s="6">
        <f t="shared" si="51"/>
        <v>25.5</v>
      </c>
      <c r="AT118" s="6">
        <f t="shared" si="55"/>
        <v>4.5</v>
      </c>
      <c r="AV118" s="6">
        <f t="shared" si="53"/>
        <v>0</v>
      </c>
      <c r="AW118" s="6">
        <f t="shared" si="54"/>
        <v>0</v>
      </c>
      <c r="BA118" s="6">
        <f t="shared" si="32"/>
        <v>45</v>
      </c>
      <c r="BB118" s="6">
        <f t="shared" si="33"/>
        <v>45</v>
      </c>
      <c r="BC118" s="6">
        <f t="shared" si="34"/>
        <v>45</v>
      </c>
      <c r="BD118" s="6">
        <f t="shared" si="35"/>
        <v>15</v>
      </c>
      <c r="BE118" s="6">
        <f t="shared" si="36"/>
        <v>45</v>
      </c>
      <c r="BF118" s="6">
        <f t="shared" si="37"/>
        <v>45</v>
      </c>
      <c r="BG118" s="105">
        <f t="shared" si="38"/>
        <v>1</v>
      </c>
      <c r="BH118" s="105">
        <f t="shared" si="39"/>
        <v>1</v>
      </c>
      <c r="BI118" s="105">
        <f t="shared" si="40"/>
        <v>1</v>
      </c>
      <c r="BJ118" s="105">
        <f t="shared" si="41"/>
        <v>0.33333333333333331</v>
      </c>
      <c r="BK118" s="105">
        <f t="shared" si="42"/>
        <v>1</v>
      </c>
      <c r="BL118" s="105">
        <f t="shared" si="43"/>
        <v>1</v>
      </c>
      <c r="BM118" s="105"/>
      <c r="BO118" s="6" t="s">
        <v>967</v>
      </c>
      <c r="BP118" s="126">
        <f t="shared" si="44"/>
        <v>42.5</v>
      </c>
      <c r="BQ118" s="6">
        <f t="shared" si="45"/>
        <v>0</v>
      </c>
      <c r="BR118" s="6">
        <f t="shared" si="46"/>
        <v>0</v>
      </c>
      <c r="BS118" s="6">
        <f t="shared" si="47"/>
        <v>0</v>
      </c>
      <c r="BT118" s="6">
        <f t="shared" si="48"/>
        <v>1</v>
      </c>
      <c r="BU118" s="6">
        <f t="shared" si="49"/>
        <v>0</v>
      </c>
      <c r="BV118" s="6">
        <f t="shared" si="50"/>
        <v>0</v>
      </c>
    </row>
    <row r="119" spans="1:74" s="6" customFormat="1" x14ac:dyDescent="0.2">
      <c r="A119" s="6" t="s">
        <v>191</v>
      </c>
      <c r="B119" s="6" t="s">
        <v>205</v>
      </c>
      <c r="C119" s="6">
        <v>45</v>
      </c>
      <c r="F119" s="6" t="s">
        <v>247</v>
      </c>
      <c r="G119" s="6" t="s">
        <v>250</v>
      </c>
      <c r="H119" s="6" t="s">
        <v>215</v>
      </c>
      <c r="I119" s="6" t="s">
        <v>15</v>
      </c>
      <c r="J119" s="6" t="str">
        <f t="shared" si="26"/>
        <v>RACKPDU-RACK-R3-Z5E-R2-10-A</v>
      </c>
      <c r="K119" s="6" t="str">
        <f t="shared" si="27"/>
        <v>RACKPDU-RACK-R3-Z5E-R2-10-B</v>
      </c>
      <c r="L119" s="6">
        <v>45</v>
      </c>
      <c r="M119" s="6">
        <f>VLOOKUP($H119,'Cooling-Rack'!$A$2:$G$265,5,FALSE)</f>
        <v>38.25</v>
      </c>
      <c r="N119" s="6">
        <f>VLOOKUP($H119,'Cooling-Rack'!$A$2:$G$265,7,FALSE)</f>
        <v>6.7500000000000009</v>
      </c>
      <c r="O119" s="6">
        <v>54</v>
      </c>
      <c r="P119" s="105">
        <v>0.85</v>
      </c>
      <c r="Q119" s="105">
        <v>0.15000000000000002</v>
      </c>
      <c r="R119" s="16" t="s">
        <v>33</v>
      </c>
      <c r="S119" s="16" t="s">
        <v>34</v>
      </c>
      <c r="T119" s="6" t="s">
        <v>70</v>
      </c>
      <c r="U119" s="6" t="s">
        <v>72</v>
      </c>
      <c r="V119" s="6" t="s">
        <v>293</v>
      </c>
      <c r="W119" s="6" t="s">
        <v>294</v>
      </c>
      <c r="X119" s="6" t="s">
        <v>80</v>
      </c>
      <c r="Y119" s="6" t="s">
        <v>76</v>
      </c>
      <c r="Z119" s="6" t="s">
        <v>77</v>
      </c>
      <c r="AA119" s="6" t="s">
        <v>74</v>
      </c>
      <c r="AB119" s="6" t="s">
        <v>75</v>
      </c>
      <c r="AC119" s="6" t="s">
        <v>78</v>
      </c>
      <c r="AD119" s="6" t="s">
        <v>79</v>
      </c>
      <c r="AE119" s="6" t="s">
        <v>385</v>
      </c>
      <c r="AF119" s="6" t="s">
        <v>384</v>
      </c>
      <c r="AG119" s="6" t="s">
        <v>392</v>
      </c>
      <c r="AH119" s="6" t="s">
        <v>395</v>
      </c>
      <c r="AL119" s="6">
        <v>0</v>
      </c>
      <c r="AM119" s="6">
        <f t="shared" si="28"/>
        <v>0</v>
      </c>
      <c r="AN119" s="6">
        <f t="shared" si="29"/>
        <v>0</v>
      </c>
      <c r="AO119" s="6">
        <v>0</v>
      </c>
      <c r="AP119" s="6">
        <f t="shared" si="30"/>
        <v>0</v>
      </c>
      <c r="AQ119" s="6">
        <f t="shared" si="31"/>
        <v>0</v>
      </c>
      <c r="AR119" s="6">
        <v>30</v>
      </c>
      <c r="AS119" s="6">
        <f t="shared" si="51"/>
        <v>25.5</v>
      </c>
      <c r="AT119" s="6">
        <f t="shared" si="55"/>
        <v>4.5</v>
      </c>
      <c r="AV119" s="6">
        <f t="shared" si="53"/>
        <v>0</v>
      </c>
      <c r="AW119" s="6">
        <f t="shared" si="54"/>
        <v>0</v>
      </c>
      <c r="BA119" s="6">
        <f t="shared" si="32"/>
        <v>45</v>
      </c>
      <c r="BB119" s="6">
        <f t="shared" si="33"/>
        <v>45</v>
      </c>
      <c r="BC119" s="6">
        <f t="shared" si="34"/>
        <v>45</v>
      </c>
      <c r="BD119" s="6">
        <f t="shared" si="35"/>
        <v>15</v>
      </c>
      <c r="BE119" s="6">
        <f t="shared" si="36"/>
        <v>45</v>
      </c>
      <c r="BF119" s="6">
        <f t="shared" si="37"/>
        <v>45</v>
      </c>
      <c r="BG119" s="105">
        <f t="shared" si="38"/>
        <v>1</v>
      </c>
      <c r="BH119" s="105">
        <f t="shared" si="39"/>
        <v>1</v>
      </c>
      <c r="BI119" s="105">
        <f t="shared" si="40"/>
        <v>1</v>
      </c>
      <c r="BJ119" s="105">
        <f t="shared" si="41"/>
        <v>0.33333333333333331</v>
      </c>
      <c r="BK119" s="105">
        <f t="shared" si="42"/>
        <v>1</v>
      </c>
      <c r="BL119" s="105">
        <f t="shared" si="43"/>
        <v>1</v>
      </c>
      <c r="BM119" s="105"/>
      <c r="BO119" s="6" t="s">
        <v>968</v>
      </c>
      <c r="BP119" s="126">
        <f t="shared" si="44"/>
        <v>42.5</v>
      </c>
      <c r="BQ119" s="6">
        <f t="shared" si="45"/>
        <v>0</v>
      </c>
      <c r="BR119" s="6">
        <f t="shared" si="46"/>
        <v>0</v>
      </c>
      <c r="BS119" s="6">
        <f t="shared" si="47"/>
        <v>0</v>
      </c>
      <c r="BT119" s="6">
        <f t="shared" si="48"/>
        <v>1</v>
      </c>
      <c r="BU119" s="6">
        <f t="shared" si="49"/>
        <v>0</v>
      </c>
      <c r="BV119" s="6">
        <f t="shared" si="50"/>
        <v>0</v>
      </c>
    </row>
    <row r="120" spans="1:74" s="6" customFormat="1" x14ac:dyDescent="0.2">
      <c r="A120" s="6" t="s">
        <v>191</v>
      </c>
      <c r="B120" s="6" t="s">
        <v>205</v>
      </c>
      <c r="C120" s="6">
        <v>45</v>
      </c>
      <c r="F120" s="6" t="s">
        <v>247</v>
      </c>
      <c r="G120" s="6" t="s">
        <v>250</v>
      </c>
      <c r="H120" s="6" t="s">
        <v>216</v>
      </c>
      <c r="I120" s="6" t="s">
        <v>15</v>
      </c>
      <c r="J120" s="6" t="str">
        <f t="shared" si="26"/>
        <v>RACKPDU-RACK-R3-Z5E-R2-11-A</v>
      </c>
      <c r="K120" s="6" t="str">
        <f t="shared" si="27"/>
        <v>RACKPDU-RACK-R3-Z5E-R2-11-B</v>
      </c>
      <c r="L120" s="6">
        <v>45</v>
      </c>
      <c r="M120" s="6">
        <f>VLOOKUP($H120,'Cooling-Rack'!$A$2:$G$265,5,FALSE)</f>
        <v>38.25</v>
      </c>
      <c r="N120" s="6">
        <f>VLOOKUP($H120,'Cooling-Rack'!$A$2:$G$265,7,FALSE)</f>
        <v>6.7500000000000009</v>
      </c>
      <c r="O120" s="6">
        <v>54</v>
      </c>
      <c r="P120" s="105">
        <v>0.85</v>
      </c>
      <c r="Q120" s="105">
        <v>0.15000000000000002</v>
      </c>
      <c r="R120" s="14" t="s">
        <v>32</v>
      </c>
      <c r="S120" s="16" t="s">
        <v>34</v>
      </c>
      <c r="T120" s="6" t="s">
        <v>70</v>
      </c>
      <c r="U120" s="6" t="s">
        <v>72</v>
      </c>
      <c r="V120" s="6" t="s">
        <v>293</v>
      </c>
      <c r="W120" s="6" t="s">
        <v>294</v>
      </c>
      <c r="X120" s="6" t="s">
        <v>80</v>
      </c>
      <c r="Y120" s="6" t="s">
        <v>76</v>
      </c>
      <c r="Z120" s="6" t="s">
        <v>77</v>
      </c>
      <c r="AA120" s="6" t="s">
        <v>74</v>
      </c>
      <c r="AB120" s="6" t="s">
        <v>75</v>
      </c>
      <c r="AC120" s="6" t="s">
        <v>78</v>
      </c>
      <c r="AD120" s="6" t="s">
        <v>79</v>
      </c>
      <c r="AE120" s="6" t="s">
        <v>385</v>
      </c>
      <c r="AF120" s="6" t="s">
        <v>384</v>
      </c>
      <c r="AG120" s="6" t="s">
        <v>392</v>
      </c>
      <c r="AH120" s="6" t="s">
        <v>395</v>
      </c>
      <c r="AL120" s="6">
        <v>0</v>
      </c>
      <c r="AM120" s="6">
        <f t="shared" si="28"/>
        <v>0</v>
      </c>
      <c r="AN120" s="6">
        <f t="shared" si="29"/>
        <v>0</v>
      </c>
      <c r="AO120" s="6">
        <v>0</v>
      </c>
      <c r="AP120" s="6">
        <f t="shared" si="30"/>
        <v>0</v>
      </c>
      <c r="AQ120" s="6">
        <f t="shared" si="31"/>
        <v>0</v>
      </c>
      <c r="AR120" s="6">
        <v>30</v>
      </c>
      <c r="AS120" s="6">
        <f t="shared" si="51"/>
        <v>25.5</v>
      </c>
      <c r="AT120" s="6">
        <f t="shared" si="55"/>
        <v>4.5</v>
      </c>
      <c r="AV120" s="6">
        <f t="shared" si="53"/>
        <v>0</v>
      </c>
      <c r="AW120" s="6">
        <f t="shared" si="54"/>
        <v>0</v>
      </c>
      <c r="BA120" s="6">
        <f t="shared" si="32"/>
        <v>45</v>
      </c>
      <c r="BB120" s="6">
        <f t="shared" si="33"/>
        <v>45</v>
      </c>
      <c r="BC120" s="6">
        <f t="shared" si="34"/>
        <v>45</v>
      </c>
      <c r="BD120" s="6">
        <f t="shared" si="35"/>
        <v>15</v>
      </c>
      <c r="BE120" s="6">
        <f t="shared" si="36"/>
        <v>45</v>
      </c>
      <c r="BF120" s="6">
        <f t="shared" si="37"/>
        <v>45</v>
      </c>
      <c r="BG120" s="105">
        <f t="shared" si="38"/>
        <v>1</v>
      </c>
      <c r="BH120" s="105">
        <f t="shared" si="39"/>
        <v>1</v>
      </c>
      <c r="BI120" s="105">
        <f t="shared" si="40"/>
        <v>1</v>
      </c>
      <c r="BJ120" s="105">
        <f t="shared" si="41"/>
        <v>0.33333333333333331</v>
      </c>
      <c r="BK120" s="105">
        <f t="shared" si="42"/>
        <v>1</v>
      </c>
      <c r="BL120" s="105">
        <f t="shared" si="43"/>
        <v>1</v>
      </c>
      <c r="BM120" s="105"/>
      <c r="BO120" s="6" t="s">
        <v>969</v>
      </c>
      <c r="BP120" s="126">
        <f t="shared" si="44"/>
        <v>42.5</v>
      </c>
      <c r="BQ120" s="6">
        <f t="shared" si="45"/>
        <v>0</v>
      </c>
      <c r="BR120" s="6">
        <f t="shared" si="46"/>
        <v>0</v>
      </c>
      <c r="BS120" s="6">
        <f t="shared" si="47"/>
        <v>0</v>
      </c>
      <c r="BT120" s="6">
        <f t="shared" si="48"/>
        <v>1</v>
      </c>
      <c r="BU120" s="6">
        <f t="shared" si="49"/>
        <v>0</v>
      </c>
      <c r="BV120" s="6">
        <f t="shared" si="50"/>
        <v>0</v>
      </c>
    </row>
    <row r="121" spans="1:74" s="6" customFormat="1" x14ac:dyDescent="0.2">
      <c r="A121" s="6" t="s">
        <v>191</v>
      </c>
      <c r="B121" s="6" t="s">
        <v>205</v>
      </c>
      <c r="C121" s="6">
        <v>45</v>
      </c>
      <c r="F121" s="6" t="s">
        <v>247</v>
      </c>
      <c r="G121" s="6" t="s">
        <v>250</v>
      </c>
      <c r="H121" s="6" t="s">
        <v>217</v>
      </c>
      <c r="I121" s="6" t="s">
        <v>15</v>
      </c>
      <c r="J121" s="6" t="str">
        <f t="shared" si="26"/>
        <v>RACKPDU-RACK-R3-Z5E-R2-12-A</v>
      </c>
      <c r="K121" s="6" t="str">
        <f t="shared" si="27"/>
        <v>RACKPDU-RACK-R3-Z5E-R2-12-B</v>
      </c>
      <c r="L121" s="6">
        <v>45</v>
      </c>
      <c r="M121" s="6">
        <f>VLOOKUP($H121,'Cooling-Rack'!$A$2:$G$265,5,FALSE)</f>
        <v>38.25</v>
      </c>
      <c r="N121" s="6">
        <f>VLOOKUP($H121,'Cooling-Rack'!$A$2:$G$265,7,FALSE)</f>
        <v>6.7500000000000009</v>
      </c>
      <c r="O121" s="6">
        <v>54</v>
      </c>
      <c r="P121" s="105">
        <v>0.85</v>
      </c>
      <c r="Q121" s="105">
        <v>0.15000000000000002</v>
      </c>
      <c r="R121" s="16" t="s">
        <v>33</v>
      </c>
      <c r="S121" s="16" t="s">
        <v>34</v>
      </c>
      <c r="T121" s="6" t="s">
        <v>70</v>
      </c>
      <c r="U121" s="6" t="s">
        <v>72</v>
      </c>
      <c r="V121" s="6" t="s">
        <v>293</v>
      </c>
      <c r="W121" s="6" t="s">
        <v>294</v>
      </c>
      <c r="X121" s="6" t="s">
        <v>80</v>
      </c>
      <c r="Y121" s="6" t="s">
        <v>76</v>
      </c>
      <c r="Z121" s="6" t="s">
        <v>77</v>
      </c>
      <c r="AA121" s="6" t="s">
        <v>74</v>
      </c>
      <c r="AB121" s="6" t="s">
        <v>75</v>
      </c>
      <c r="AC121" s="6" t="s">
        <v>78</v>
      </c>
      <c r="AD121" s="6" t="s">
        <v>79</v>
      </c>
      <c r="AE121" s="6" t="s">
        <v>385</v>
      </c>
      <c r="AF121" s="6" t="s">
        <v>384</v>
      </c>
      <c r="AG121" s="6" t="s">
        <v>392</v>
      </c>
      <c r="AH121" s="6" t="s">
        <v>395</v>
      </c>
      <c r="AL121" s="6">
        <v>0</v>
      </c>
      <c r="AM121" s="6">
        <f t="shared" si="28"/>
        <v>0</v>
      </c>
      <c r="AN121" s="6">
        <f t="shared" si="29"/>
        <v>0</v>
      </c>
      <c r="AO121" s="6">
        <v>0</v>
      </c>
      <c r="AP121" s="6">
        <f t="shared" si="30"/>
        <v>0</v>
      </c>
      <c r="AQ121" s="6">
        <f t="shared" si="31"/>
        <v>0</v>
      </c>
      <c r="AR121" s="6">
        <v>30</v>
      </c>
      <c r="AS121" s="6">
        <f t="shared" si="51"/>
        <v>25.5</v>
      </c>
      <c r="AT121" s="6">
        <f t="shared" si="55"/>
        <v>4.5</v>
      </c>
      <c r="AV121" s="6">
        <f t="shared" si="53"/>
        <v>0</v>
      </c>
      <c r="AW121" s="6">
        <f t="shared" si="54"/>
        <v>0</v>
      </c>
      <c r="BA121" s="6">
        <f t="shared" si="32"/>
        <v>45</v>
      </c>
      <c r="BB121" s="6">
        <f t="shared" si="33"/>
        <v>45</v>
      </c>
      <c r="BC121" s="6">
        <f t="shared" si="34"/>
        <v>45</v>
      </c>
      <c r="BD121" s="6">
        <f t="shared" si="35"/>
        <v>15</v>
      </c>
      <c r="BE121" s="6">
        <f t="shared" si="36"/>
        <v>45</v>
      </c>
      <c r="BF121" s="6">
        <f t="shared" si="37"/>
        <v>45</v>
      </c>
      <c r="BG121" s="105">
        <f t="shared" si="38"/>
        <v>1</v>
      </c>
      <c r="BH121" s="105">
        <f t="shared" si="39"/>
        <v>1</v>
      </c>
      <c r="BI121" s="105">
        <f t="shared" si="40"/>
        <v>1</v>
      </c>
      <c r="BJ121" s="105">
        <f t="shared" si="41"/>
        <v>0.33333333333333331</v>
      </c>
      <c r="BK121" s="105">
        <f t="shared" si="42"/>
        <v>1</v>
      </c>
      <c r="BL121" s="105">
        <f t="shared" si="43"/>
        <v>1</v>
      </c>
      <c r="BM121" s="105"/>
      <c r="BO121" s="6" t="s">
        <v>970</v>
      </c>
      <c r="BP121" s="126">
        <f t="shared" si="44"/>
        <v>42.5</v>
      </c>
      <c r="BQ121" s="6">
        <f t="shared" si="45"/>
        <v>0</v>
      </c>
      <c r="BR121" s="6">
        <f t="shared" si="46"/>
        <v>0</v>
      </c>
      <c r="BS121" s="6">
        <f t="shared" si="47"/>
        <v>0</v>
      </c>
      <c r="BT121" s="6">
        <f t="shared" si="48"/>
        <v>1</v>
      </c>
      <c r="BU121" s="6">
        <f t="shared" si="49"/>
        <v>0</v>
      </c>
      <c r="BV121" s="6">
        <f t="shared" si="50"/>
        <v>0</v>
      </c>
    </row>
    <row r="122" spans="1:74" s="7" customFormat="1" x14ac:dyDescent="0.2">
      <c r="A122" s="7" t="s">
        <v>218</v>
      </c>
      <c r="B122" s="7" t="s">
        <v>219</v>
      </c>
      <c r="C122" s="7">
        <v>45</v>
      </c>
      <c r="F122" s="7" t="s">
        <v>247</v>
      </c>
      <c r="G122" s="7" t="s">
        <v>251</v>
      </c>
      <c r="H122" s="7" t="s">
        <v>220</v>
      </c>
      <c r="I122" s="7" t="s">
        <v>15</v>
      </c>
      <c r="J122" s="7" t="str">
        <f t="shared" si="26"/>
        <v>RACKPDU-RACK-R3-Z6E-R1-01-A</v>
      </c>
      <c r="K122" s="7" t="str">
        <f t="shared" si="27"/>
        <v>RACKPDU-RACK-R3-Z6E-R1-01-B</v>
      </c>
      <c r="L122" s="7">
        <v>45</v>
      </c>
      <c r="M122" s="7">
        <f>VLOOKUP($H122,'Cooling-Rack'!$A$2:$G$265,5,FALSE)</f>
        <v>38.25</v>
      </c>
      <c r="N122" s="7">
        <f>VLOOKUP($H122,'Cooling-Rack'!$A$2:$G$265,7,FALSE)</f>
        <v>6.7500000000000009</v>
      </c>
      <c r="O122" s="7">
        <v>54</v>
      </c>
      <c r="P122" s="104">
        <v>0.85</v>
      </c>
      <c r="Q122" s="104">
        <v>0.15000000000000002</v>
      </c>
      <c r="R122" s="13" t="s">
        <v>32</v>
      </c>
      <c r="S122" s="7" t="s">
        <v>29</v>
      </c>
      <c r="T122" s="7" t="s">
        <v>70</v>
      </c>
      <c r="U122" s="7" t="s">
        <v>72</v>
      </c>
      <c r="V122" s="7" t="s">
        <v>293</v>
      </c>
      <c r="W122" s="7" t="s">
        <v>294</v>
      </c>
      <c r="X122" s="7" t="s">
        <v>80</v>
      </c>
      <c r="Y122" s="7" t="s">
        <v>76</v>
      </c>
      <c r="Z122" s="7" t="s">
        <v>77</v>
      </c>
      <c r="AA122" s="7" t="s">
        <v>74</v>
      </c>
      <c r="AB122" s="7" t="s">
        <v>75</v>
      </c>
      <c r="AC122" s="7" t="s">
        <v>78</v>
      </c>
      <c r="AD122" s="7" t="s">
        <v>79</v>
      </c>
      <c r="AE122" s="7" t="s">
        <v>385</v>
      </c>
      <c r="AF122" s="7" t="s">
        <v>384</v>
      </c>
      <c r="AG122" s="7" t="s">
        <v>392</v>
      </c>
      <c r="AH122" s="7" t="s">
        <v>395</v>
      </c>
      <c r="AL122" s="7">
        <v>0</v>
      </c>
      <c r="AM122" s="7">
        <f t="shared" si="28"/>
        <v>0</v>
      </c>
      <c r="AN122" s="7">
        <f t="shared" si="29"/>
        <v>0</v>
      </c>
      <c r="AO122" s="7">
        <v>0</v>
      </c>
      <c r="AP122" s="7">
        <f t="shared" si="30"/>
        <v>0</v>
      </c>
      <c r="AQ122" s="7">
        <f t="shared" si="31"/>
        <v>0</v>
      </c>
      <c r="AR122" s="7">
        <v>30</v>
      </c>
      <c r="AS122" s="7">
        <f t="shared" si="51"/>
        <v>25.5</v>
      </c>
      <c r="AT122" s="7">
        <f t="shared" si="55"/>
        <v>4.5</v>
      </c>
      <c r="AU122" s="7">
        <v>30</v>
      </c>
      <c r="AV122" s="7">
        <f t="shared" si="53"/>
        <v>25.5</v>
      </c>
      <c r="AW122" s="7">
        <f t="shared" si="54"/>
        <v>4.5</v>
      </c>
      <c r="BA122" s="7">
        <f t="shared" si="32"/>
        <v>45</v>
      </c>
      <c r="BB122" s="7">
        <f t="shared" si="33"/>
        <v>45</v>
      </c>
      <c r="BC122" s="7">
        <f t="shared" si="34"/>
        <v>45</v>
      </c>
      <c r="BD122" s="7">
        <f t="shared" si="35"/>
        <v>15</v>
      </c>
      <c r="BE122" s="7">
        <f t="shared" si="36"/>
        <v>15</v>
      </c>
      <c r="BF122" s="7">
        <f t="shared" si="37"/>
        <v>45</v>
      </c>
      <c r="BG122" s="104">
        <f t="shared" si="38"/>
        <v>1</v>
      </c>
      <c r="BH122" s="104">
        <f t="shared" si="39"/>
        <v>1</v>
      </c>
      <c r="BI122" s="104">
        <f t="shared" si="40"/>
        <v>1</v>
      </c>
      <c r="BJ122" s="104">
        <f t="shared" si="41"/>
        <v>0.33333333333333331</v>
      </c>
      <c r="BK122" s="104">
        <f t="shared" si="42"/>
        <v>0.33333333333333331</v>
      </c>
      <c r="BL122" s="104">
        <f t="shared" si="43"/>
        <v>1</v>
      </c>
      <c r="BM122" s="104"/>
      <c r="BO122" s="7" t="s">
        <v>971</v>
      </c>
      <c r="BP122" s="125">
        <f t="shared" si="44"/>
        <v>42.5</v>
      </c>
      <c r="BQ122" s="7">
        <f t="shared" si="45"/>
        <v>0</v>
      </c>
      <c r="BR122" s="7">
        <f t="shared" si="46"/>
        <v>0</v>
      </c>
      <c r="BS122" s="7">
        <f t="shared" si="47"/>
        <v>0</v>
      </c>
      <c r="BT122" s="7">
        <f t="shared" si="48"/>
        <v>1</v>
      </c>
      <c r="BU122" s="7">
        <f t="shared" si="49"/>
        <v>1</v>
      </c>
      <c r="BV122" s="7">
        <f t="shared" si="50"/>
        <v>0</v>
      </c>
    </row>
    <row r="123" spans="1:74" s="7" customFormat="1" x14ac:dyDescent="0.2">
      <c r="A123" s="7" t="s">
        <v>218</v>
      </c>
      <c r="B123" s="7" t="s">
        <v>219</v>
      </c>
      <c r="C123" s="7">
        <v>45</v>
      </c>
      <c r="F123" s="7" t="s">
        <v>247</v>
      </c>
      <c r="G123" s="7" t="s">
        <v>251</v>
      </c>
      <c r="H123" s="7" t="s">
        <v>221</v>
      </c>
      <c r="I123" s="7" t="s">
        <v>15</v>
      </c>
      <c r="J123" s="7" t="str">
        <f t="shared" si="26"/>
        <v>RACKPDU-RACK-R3-Z6E-R1-02-A</v>
      </c>
      <c r="K123" s="7" t="str">
        <f t="shared" si="27"/>
        <v>RACKPDU-RACK-R3-Z6E-R1-02-B</v>
      </c>
      <c r="L123" s="7">
        <v>45</v>
      </c>
      <c r="M123" s="7">
        <f>VLOOKUP($H123,'Cooling-Rack'!$A$2:$G$265,5,FALSE)</f>
        <v>38.25</v>
      </c>
      <c r="N123" s="7">
        <f>VLOOKUP($H123,'Cooling-Rack'!$A$2:$G$265,7,FALSE)</f>
        <v>6.7500000000000009</v>
      </c>
      <c r="O123" s="7">
        <v>54</v>
      </c>
      <c r="P123" s="104">
        <v>0.85</v>
      </c>
      <c r="Q123" s="104">
        <v>0.15000000000000002</v>
      </c>
      <c r="R123" s="15" t="s">
        <v>33</v>
      </c>
      <c r="S123" s="7" t="s">
        <v>29</v>
      </c>
      <c r="T123" s="7" t="s">
        <v>70</v>
      </c>
      <c r="U123" s="7" t="s">
        <v>72</v>
      </c>
      <c r="V123" s="7" t="s">
        <v>293</v>
      </c>
      <c r="W123" s="7" t="s">
        <v>294</v>
      </c>
      <c r="X123" s="7" t="s">
        <v>80</v>
      </c>
      <c r="Y123" s="7" t="s">
        <v>76</v>
      </c>
      <c r="Z123" s="7" t="s">
        <v>77</v>
      </c>
      <c r="AA123" s="7" t="s">
        <v>74</v>
      </c>
      <c r="AB123" s="7" t="s">
        <v>75</v>
      </c>
      <c r="AC123" s="7" t="s">
        <v>78</v>
      </c>
      <c r="AD123" s="7" t="s">
        <v>79</v>
      </c>
      <c r="AE123" s="7" t="s">
        <v>385</v>
      </c>
      <c r="AF123" s="7" t="s">
        <v>384</v>
      </c>
      <c r="AG123" s="7" t="s">
        <v>392</v>
      </c>
      <c r="AH123" s="7" t="s">
        <v>395</v>
      </c>
      <c r="AL123" s="7">
        <v>0</v>
      </c>
      <c r="AM123" s="7">
        <f t="shared" si="28"/>
        <v>0</v>
      </c>
      <c r="AN123" s="7">
        <f t="shared" si="29"/>
        <v>0</v>
      </c>
      <c r="AO123" s="7">
        <v>0</v>
      </c>
      <c r="AP123" s="7">
        <f t="shared" si="30"/>
        <v>0</v>
      </c>
      <c r="AQ123" s="7">
        <f t="shared" si="31"/>
        <v>0</v>
      </c>
      <c r="AR123" s="7">
        <v>30</v>
      </c>
      <c r="AS123" s="7">
        <f t="shared" si="51"/>
        <v>25.5</v>
      </c>
      <c r="AT123" s="7">
        <f t="shared" si="55"/>
        <v>4.5</v>
      </c>
      <c r="AU123" s="7">
        <v>30</v>
      </c>
      <c r="AV123" s="7">
        <f t="shared" si="53"/>
        <v>25.5</v>
      </c>
      <c r="AW123" s="7">
        <f t="shared" si="54"/>
        <v>4.5</v>
      </c>
      <c r="BA123" s="7">
        <f t="shared" si="32"/>
        <v>45</v>
      </c>
      <c r="BB123" s="7">
        <f t="shared" si="33"/>
        <v>45</v>
      </c>
      <c r="BC123" s="7">
        <f t="shared" si="34"/>
        <v>45</v>
      </c>
      <c r="BD123" s="7">
        <f t="shared" si="35"/>
        <v>15</v>
      </c>
      <c r="BE123" s="7">
        <f t="shared" si="36"/>
        <v>15</v>
      </c>
      <c r="BF123" s="7">
        <f t="shared" si="37"/>
        <v>45</v>
      </c>
      <c r="BG123" s="104">
        <f t="shared" si="38"/>
        <v>1</v>
      </c>
      <c r="BH123" s="104">
        <f t="shared" si="39"/>
        <v>1</v>
      </c>
      <c r="BI123" s="104">
        <f t="shared" si="40"/>
        <v>1</v>
      </c>
      <c r="BJ123" s="104">
        <f t="shared" si="41"/>
        <v>0.33333333333333331</v>
      </c>
      <c r="BK123" s="104">
        <f t="shared" si="42"/>
        <v>0.33333333333333331</v>
      </c>
      <c r="BL123" s="104">
        <f t="shared" si="43"/>
        <v>1</v>
      </c>
      <c r="BM123" s="104"/>
      <c r="BO123" s="7" t="s">
        <v>972</v>
      </c>
      <c r="BP123" s="125">
        <f t="shared" si="44"/>
        <v>42.5</v>
      </c>
      <c r="BQ123" s="7">
        <f t="shared" si="45"/>
        <v>0</v>
      </c>
      <c r="BR123" s="7">
        <f t="shared" si="46"/>
        <v>0</v>
      </c>
      <c r="BS123" s="7">
        <f t="shared" si="47"/>
        <v>0</v>
      </c>
      <c r="BT123" s="7">
        <f t="shared" si="48"/>
        <v>1</v>
      </c>
      <c r="BU123" s="7">
        <f t="shared" si="49"/>
        <v>1</v>
      </c>
      <c r="BV123" s="7">
        <f t="shared" si="50"/>
        <v>0</v>
      </c>
    </row>
    <row r="124" spans="1:74" s="7" customFormat="1" x14ac:dyDescent="0.2">
      <c r="A124" s="7" t="s">
        <v>218</v>
      </c>
      <c r="B124" s="7" t="s">
        <v>219</v>
      </c>
      <c r="C124" s="7">
        <v>45</v>
      </c>
      <c r="F124" s="7" t="s">
        <v>247</v>
      </c>
      <c r="G124" s="7" t="s">
        <v>251</v>
      </c>
      <c r="H124" s="7" t="s">
        <v>222</v>
      </c>
      <c r="I124" s="7" t="s">
        <v>15</v>
      </c>
      <c r="J124" s="7" t="str">
        <f t="shared" si="26"/>
        <v>RACKPDU-RACK-R3-Z6E-R1-03-A</v>
      </c>
      <c r="K124" s="7" t="str">
        <f t="shared" si="27"/>
        <v>RACKPDU-RACK-R3-Z6E-R1-03-B</v>
      </c>
      <c r="L124" s="7">
        <v>45</v>
      </c>
      <c r="M124" s="7">
        <f>VLOOKUP($H124,'Cooling-Rack'!$A$2:$G$265,5,FALSE)</f>
        <v>38.25</v>
      </c>
      <c r="N124" s="7">
        <f>VLOOKUP($H124,'Cooling-Rack'!$A$2:$G$265,7,FALSE)</f>
        <v>6.7500000000000009</v>
      </c>
      <c r="O124" s="7">
        <v>54</v>
      </c>
      <c r="P124" s="104">
        <v>0.85</v>
      </c>
      <c r="Q124" s="104">
        <v>0.15000000000000002</v>
      </c>
      <c r="R124" s="13" t="s">
        <v>32</v>
      </c>
      <c r="S124" s="7" t="s">
        <v>29</v>
      </c>
      <c r="T124" s="7" t="s">
        <v>70</v>
      </c>
      <c r="U124" s="7" t="s">
        <v>72</v>
      </c>
      <c r="V124" s="7" t="s">
        <v>293</v>
      </c>
      <c r="W124" s="7" t="s">
        <v>294</v>
      </c>
      <c r="X124" s="7" t="s">
        <v>80</v>
      </c>
      <c r="Y124" s="7" t="s">
        <v>76</v>
      </c>
      <c r="Z124" s="7" t="s">
        <v>77</v>
      </c>
      <c r="AA124" s="7" t="s">
        <v>74</v>
      </c>
      <c r="AB124" s="7" t="s">
        <v>75</v>
      </c>
      <c r="AC124" s="7" t="s">
        <v>78</v>
      </c>
      <c r="AD124" s="7" t="s">
        <v>79</v>
      </c>
      <c r="AE124" s="7" t="s">
        <v>385</v>
      </c>
      <c r="AF124" s="7" t="s">
        <v>384</v>
      </c>
      <c r="AG124" s="7" t="s">
        <v>392</v>
      </c>
      <c r="AH124" s="7" t="s">
        <v>395</v>
      </c>
      <c r="AL124" s="7">
        <v>0</v>
      </c>
      <c r="AM124" s="7">
        <f t="shared" si="28"/>
        <v>0</v>
      </c>
      <c r="AN124" s="7">
        <f t="shared" si="29"/>
        <v>0</v>
      </c>
      <c r="AO124" s="7">
        <v>0</v>
      </c>
      <c r="AP124" s="7">
        <f t="shared" si="30"/>
        <v>0</v>
      </c>
      <c r="AQ124" s="7">
        <f t="shared" si="31"/>
        <v>0</v>
      </c>
      <c r="AR124" s="7">
        <v>30</v>
      </c>
      <c r="AS124" s="7">
        <f t="shared" si="51"/>
        <v>25.5</v>
      </c>
      <c r="AT124" s="7">
        <f t="shared" si="55"/>
        <v>4.5</v>
      </c>
      <c r="AU124" s="7">
        <v>30</v>
      </c>
      <c r="AV124" s="7">
        <f t="shared" si="53"/>
        <v>25.5</v>
      </c>
      <c r="AW124" s="7">
        <f t="shared" si="54"/>
        <v>4.5</v>
      </c>
      <c r="BA124" s="7">
        <f t="shared" si="32"/>
        <v>45</v>
      </c>
      <c r="BB124" s="7">
        <f t="shared" si="33"/>
        <v>45</v>
      </c>
      <c r="BC124" s="7">
        <f t="shared" si="34"/>
        <v>45</v>
      </c>
      <c r="BD124" s="7">
        <f t="shared" si="35"/>
        <v>15</v>
      </c>
      <c r="BE124" s="7">
        <f t="shared" si="36"/>
        <v>15</v>
      </c>
      <c r="BF124" s="7">
        <f t="shared" si="37"/>
        <v>45</v>
      </c>
      <c r="BG124" s="104">
        <f t="shared" si="38"/>
        <v>1</v>
      </c>
      <c r="BH124" s="104">
        <f t="shared" si="39"/>
        <v>1</v>
      </c>
      <c r="BI124" s="104">
        <f t="shared" si="40"/>
        <v>1</v>
      </c>
      <c r="BJ124" s="104">
        <f t="shared" si="41"/>
        <v>0.33333333333333331</v>
      </c>
      <c r="BK124" s="104">
        <f t="shared" si="42"/>
        <v>0.33333333333333331</v>
      </c>
      <c r="BL124" s="104">
        <f t="shared" si="43"/>
        <v>1</v>
      </c>
      <c r="BM124" s="104"/>
      <c r="BO124" s="7" t="s">
        <v>973</v>
      </c>
      <c r="BP124" s="125">
        <f t="shared" si="44"/>
        <v>42.5</v>
      </c>
      <c r="BQ124" s="7">
        <f t="shared" si="45"/>
        <v>0</v>
      </c>
      <c r="BR124" s="7">
        <f t="shared" si="46"/>
        <v>0</v>
      </c>
      <c r="BS124" s="7">
        <f t="shared" si="47"/>
        <v>0</v>
      </c>
      <c r="BT124" s="7">
        <f t="shared" si="48"/>
        <v>1</v>
      </c>
      <c r="BU124" s="7">
        <f t="shared" si="49"/>
        <v>1</v>
      </c>
      <c r="BV124" s="7">
        <f t="shared" si="50"/>
        <v>0</v>
      </c>
    </row>
    <row r="125" spans="1:74" s="7" customFormat="1" x14ac:dyDescent="0.2">
      <c r="A125" s="7" t="s">
        <v>218</v>
      </c>
      <c r="B125" s="7" t="s">
        <v>219</v>
      </c>
      <c r="C125" s="7">
        <v>45</v>
      </c>
      <c r="F125" s="7" t="s">
        <v>247</v>
      </c>
      <c r="G125" s="7" t="s">
        <v>251</v>
      </c>
      <c r="H125" s="7" t="s">
        <v>223</v>
      </c>
      <c r="I125" s="7" t="s">
        <v>15</v>
      </c>
      <c r="J125" s="7" t="str">
        <f t="shared" si="26"/>
        <v>RACKPDU-RACK-R3-Z6E-R1-04-A</v>
      </c>
      <c r="K125" s="7" t="str">
        <f t="shared" si="27"/>
        <v>RACKPDU-RACK-R3-Z6E-R1-04-B</v>
      </c>
      <c r="L125" s="7">
        <v>45</v>
      </c>
      <c r="M125" s="7">
        <f>VLOOKUP($H125,'Cooling-Rack'!$A$2:$G$265,5,FALSE)</f>
        <v>38.25</v>
      </c>
      <c r="N125" s="7">
        <f>VLOOKUP($H125,'Cooling-Rack'!$A$2:$G$265,7,FALSE)</f>
        <v>6.7500000000000009</v>
      </c>
      <c r="O125" s="7">
        <v>54</v>
      </c>
      <c r="P125" s="104">
        <v>0.85</v>
      </c>
      <c r="Q125" s="104">
        <v>0.15000000000000002</v>
      </c>
      <c r="R125" s="15" t="s">
        <v>33</v>
      </c>
      <c r="S125" s="7" t="s">
        <v>29</v>
      </c>
      <c r="T125" s="7" t="s">
        <v>70</v>
      </c>
      <c r="U125" s="7" t="s">
        <v>72</v>
      </c>
      <c r="V125" s="7" t="s">
        <v>293</v>
      </c>
      <c r="W125" s="7" t="s">
        <v>294</v>
      </c>
      <c r="X125" s="7" t="s">
        <v>80</v>
      </c>
      <c r="Y125" s="7" t="s">
        <v>76</v>
      </c>
      <c r="Z125" s="7" t="s">
        <v>77</v>
      </c>
      <c r="AA125" s="7" t="s">
        <v>74</v>
      </c>
      <c r="AB125" s="7" t="s">
        <v>75</v>
      </c>
      <c r="AC125" s="7" t="s">
        <v>78</v>
      </c>
      <c r="AD125" s="7" t="s">
        <v>79</v>
      </c>
      <c r="AE125" s="7" t="s">
        <v>385</v>
      </c>
      <c r="AF125" s="7" t="s">
        <v>384</v>
      </c>
      <c r="AG125" s="7" t="s">
        <v>392</v>
      </c>
      <c r="AH125" s="7" t="s">
        <v>395</v>
      </c>
      <c r="AL125" s="7">
        <v>0</v>
      </c>
      <c r="AM125" s="7">
        <f t="shared" si="28"/>
        <v>0</v>
      </c>
      <c r="AN125" s="7">
        <f t="shared" si="29"/>
        <v>0</v>
      </c>
      <c r="AO125" s="7">
        <v>0</v>
      </c>
      <c r="AP125" s="7">
        <f t="shared" si="30"/>
        <v>0</v>
      </c>
      <c r="AQ125" s="7">
        <f t="shared" si="31"/>
        <v>0</v>
      </c>
      <c r="AR125" s="7">
        <v>30</v>
      </c>
      <c r="AS125" s="7">
        <f t="shared" si="51"/>
        <v>25.5</v>
      </c>
      <c r="AT125" s="7">
        <f t="shared" si="55"/>
        <v>4.5</v>
      </c>
      <c r="AU125" s="7">
        <v>30</v>
      </c>
      <c r="AV125" s="7">
        <f t="shared" si="53"/>
        <v>25.5</v>
      </c>
      <c r="AW125" s="7">
        <f t="shared" si="54"/>
        <v>4.5</v>
      </c>
      <c r="BA125" s="7">
        <f t="shared" si="32"/>
        <v>45</v>
      </c>
      <c r="BB125" s="7">
        <f t="shared" si="33"/>
        <v>45</v>
      </c>
      <c r="BC125" s="7">
        <f t="shared" si="34"/>
        <v>45</v>
      </c>
      <c r="BD125" s="7">
        <f t="shared" si="35"/>
        <v>15</v>
      </c>
      <c r="BE125" s="7">
        <f t="shared" si="36"/>
        <v>15</v>
      </c>
      <c r="BF125" s="7">
        <f t="shared" si="37"/>
        <v>45</v>
      </c>
      <c r="BG125" s="104">
        <f t="shared" si="38"/>
        <v>1</v>
      </c>
      <c r="BH125" s="104">
        <f t="shared" si="39"/>
        <v>1</v>
      </c>
      <c r="BI125" s="104">
        <f t="shared" si="40"/>
        <v>1</v>
      </c>
      <c r="BJ125" s="104">
        <f t="shared" si="41"/>
        <v>0.33333333333333331</v>
      </c>
      <c r="BK125" s="104">
        <f t="shared" si="42"/>
        <v>0.33333333333333331</v>
      </c>
      <c r="BL125" s="104">
        <f t="shared" si="43"/>
        <v>1</v>
      </c>
      <c r="BM125" s="104"/>
      <c r="BO125" s="7" t="s">
        <v>974</v>
      </c>
      <c r="BP125" s="125">
        <f t="shared" si="44"/>
        <v>42.5</v>
      </c>
      <c r="BQ125" s="7">
        <f t="shared" si="45"/>
        <v>0</v>
      </c>
      <c r="BR125" s="7">
        <f t="shared" si="46"/>
        <v>0</v>
      </c>
      <c r="BS125" s="7">
        <f t="shared" si="47"/>
        <v>0</v>
      </c>
      <c r="BT125" s="7">
        <f t="shared" si="48"/>
        <v>1</v>
      </c>
      <c r="BU125" s="7">
        <f t="shared" si="49"/>
        <v>1</v>
      </c>
      <c r="BV125" s="7">
        <f t="shared" si="50"/>
        <v>0</v>
      </c>
    </row>
    <row r="126" spans="1:74" s="7" customFormat="1" x14ac:dyDescent="0.2">
      <c r="A126" s="7" t="s">
        <v>218</v>
      </c>
      <c r="B126" s="7" t="s">
        <v>219</v>
      </c>
      <c r="C126" s="7">
        <v>45</v>
      </c>
      <c r="F126" s="7" t="s">
        <v>247</v>
      </c>
      <c r="G126" s="7" t="s">
        <v>251</v>
      </c>
      <c r="H126" s="7" t="s">
        <v>224</v>
      </c>
      <c r="I126" s="7" t="s">
        <v>15</v>
      </c>
      <c r="J126" s="7" t="str">
        <f t="shared" si="26"/>
        <v>RACKPDU-RACK-R3-Z6E-R1-05-A</v>
      </c>
      <c r="K126" s="7" t="str">
        <f t="shared" si="27"/>
        <v>RACKPDU-RACK-R3-Z6E-R1-05-B</v>
      </c>
      <c r="L126" s="7">
        <v>45</v>
      </c>
      <c r="M126" s="7">
        <f>VLOOKUP($H126,'Cooling-Rack'!$A$2:$G$265,5,FALSE)</f>
        <v>38.25</v>
      </c>
      <c r="N126" s="7">
        <f>VLOOKUP($H126,'Cooling-Rack'!$A$2:$G$265,7,FALSE)</f>
        <v>6.7500000000000009</v>
      </c>
      <c r="O126" s="7">
        <v>54</v>
      </c>
      <c r="P126" s="104">
        <v>0.85</v>
      </c>
      <c r="Q126" s="104">
        <v>0.15000000000000002</v>
      </c>
      <c r="R126" s="13" t="s">
        <v>32</v>
      </c>
      <c r="S126" s="7" t="s">
        <v>29</v>
      </c>
      <c r="T126" s="7" t="s">
        <v>70</v>
      </c>
      <c r="U126" s="7" t="s">
        <v>72</v>
      </c>
      <c r="V126" s="7" t="s">
        <v>293</v>
      </c>
      <c r="W126" s="7" t="s">
        <v>294</v>
      </c>
      <c r="X126" s="7" t="s">
        <v>80</v>
      </c>
      <c r="Y126" s="7" t="s">
        <v>76</v>
      </c>
      <c r="Z126" s="7" t="s">
        <v>77</v>
      </c>
      <c r="AA126" s="7" t="s">
        <v>74</v>
      </c>
      <c r="AB126" s="7" t="s">
        <v>75</v>
      </c>
      <c r="AC126" s="7" t="s">
        <v>78</v>
      </c>
      <c r="AD126" s="7" t="s">
        <v>79</v>
      </c>
      <c r="AE126" s="7" t="s">
        <v>385</v>
      </c>
      <c r="AF126" s="7" t="s">
        <v>384</v>
      </c>
      <c r="AG126" s="7" t="s">
        <v>392</v>
      </c>
      <c r="AH126" s="7" t="s">
        <v>395</v>
      </c>
      <c r="AL126" s="7">
        <v>0</v>
      </c>
      <c r="AM126" s="7">
        <f t="shared" si="28"/>
        <v>0</v>
      </c>
      <c r="AN126" s="7">
        <f t="shared" si="29"/>
        <v>0</v>
      </c>
      <c r="AO126" s="7">
        <v>0</v>
      </c>
      <c r="AP126" s="7">
        <f t="shared" si="30"/>
        <v>0</v>
      </c>
      <c r="AQ126" s="7">
        <f t="shared" si="31"/>
        <v>0</v>
      </c>
      <c r="AR126" s="7">
        <v>30</v>
      </c>
      <c r="AS126" s="7">
        <f t="shared" si="51"/>
        <v>25.5</v>
      </c>
      <c r="AT126" s="7">
        <f t="shared" si="55"/>
        <v>4.5</v>
      </c>
      <c r="AU126" s="7">
        <v>30</v>
      </c>
      <c r="AV126" s="7">
        <f t="shared" si="53"/>
        <v>25.5</v>
      </c>
      <c r="AW126" s="7">
        <f t="shared" ref="AW126:AW137" si="56">AU126/$L126*$N126</f>
        <v>4.5</v>
      </c>
      <c r="BA126" s="7">
        <f t="shared" si="32"/>
        <v>45</v>
      </c>
      <c r="BB126" s="7">
        <f t="shared" si="33"/>
        <v>45</v>
      </c>
      <c r="BC126" s="7">
        <f t="shared" si="34"/>
        <v>45</v>
      </c>
      <c r="BD126" s="7">
        <f t="shared" si="35"/>
        <v>15</v>
      </c>
      <c r="BE126" s="7">
        <f t="shared" si="36"/>
        <v>15</v>
      </c>
      <c r="BF126" s="7">
        <f t="shared" si="37"/>
        <v>45</v>
      </c>
      <c r="BG126" s="104">
        <f t="shared" si="38"/>
        <v>1</v>
      </c>
      <c r="BH126" s="104">
        <f t="shared" si="39"/>
        <v>1</v>
      </c>
      <c r="BI126" s="104">
        <f t="shared" si="40"/>
        <v>1</v>
      </c>
      <c r="BJ126" s="104">
        <f t="shared" si="41"/>
        <v>0.33333333333333331</v>
      </c>
      <c r="BK126" s="104">
        <f t="shared" si="42"/>
        <v>0.33333333333333331</v>
      </c>
      <c r="BL126" s="104">
        <f t="shared" si="43"/>
        <v>1</v>
      </c>
      <c r="BM126" s="104"/>
      <c r="BO126" s="7" t="s">
        <v>975</v>
      </c>
      <c r="BP126" s="125">
        <f t="shared" si="44"/>
        <v>42.5</v>
      </c>
      <c r="BQ126" s="7">
        <f t="shared" si="45"/>
        <v>0</v>
      </c>
      <c r="BR126" s="7">
        <f t="shared" si="46"/>
        <v>0</v>
      </c>
      <c r="BS126" s="7">
        <f t="shared" si="47"/>
        <v>0</v>
      </c>
      <c r="BT126" s="7">
        <f t="shared" si="48"/>
        <v>1</v>
      </c>
      <c r="BU126" s="7">
        <f t="shared" si="49"/>
        <v>1</v>
      </c>
      <c r="BV126" s="7">
        <f t="shared" si="50"/>
        <v>0</v>
      </c>
    </row>
    <row r="127" spans="1:74" s="7" customFormat="1" x14ac:dyDescent="0.2">
      <c r="A127" s="7" t="s">
        <v>218</v>
      </c>
      <c r="B127" s="7" t="s">
        <v>219</v>
      </c>
      <c r="C127" s="7">
        <v>45</v>
      </c>
      <c r="F127" s="7" t="s">
        <v>247</v>
      </c>
      <c r="G127" s="7" t="s">
        <v>251</v>
      </c>
      <c r="H127" s="7" t="s">
        <v>225</v>
      </c>
      <c r="I127" s="7" t="s">
        <v>15</v>
      </c>
      <c r="J127" s="7" t="str">
        <f t="shared" si="26"/>
        <v>RACKPDU-RACK-R3-Z6E-R1-06-A</v>
      </c>
      <c r="K127" s="7" t="str">
        <f t="shared" si="27"/>
        <v>RACKPDU-RACK-R3-Z6E-R1-06-B</v>
      </c>
      <c r="L127" s="7">
        <v>45</v>
      </c>
      <c r="M127" s="7">
        <f>VLOOKUP($H127,'Cooling-Rack'!$A$2:$G$265,5,FALSE)</f>
        <v>38.25</v>
      </c>
      <c r="N127" s="7">
        <f>VLOOKUP($H127,'Cooling-Rack'!$A$2:$G$265,7,FALSE)</f>
        <v>6.7500000000000009</v>
      </c>
      <c r="O127" s="7">
        <v>54</v>
      </c>
      <c r="P127" s="104">
        <v>0.85</v>
      </c>
      <c r="Q127" s="104">
        <v>0.15000000000000002</v>
      </c>
      <c r="R127" s="15" t="s">
        <v>33</v>
      </c>
      <c r="S127" s="7" t="s">
        <v>29</v>
      </c>
      <c r="T127" s="7" t="s">
        <v>70</v>
      </c>
      <c r="U127" s="7" t="s">
        <v>72</v>
      </c>
      <c r="V127" s="7" t="s">
        <v>293</v>
      </c>
      <c r="W127" s="7" t="s">
        <v>294</v>
      </c>
      <c r="X127" s="7" t="s">
        <v>80</v>
      </c>
      <c r="Y127" s="7" t="s">
        <v>76</v>
      </c>
      <c r="Z127" s="7" t="s">
        <v>77</v>
      </c>
      <c r="AA127" s="7" t="s">
        <v>74</v>
      </c>
      <c r="AB127" s="7" t="s">
        <v>75</v>
      </c>
      <c r="AC127" s="7" t="s">
        <v>78</v>
      </c>
      <c r="AD127" s="7" t="s">
        <v>79</v>
      </c>
      <c r="AE127" s="7" t="s">
        <v>385</v>
      </c>
      <c r="AF127" s="7" t="s">
        <v>384</v>
      </c>
      <c r="AG127" s="7" t="s">
        <v>392</v>
      </c>
      <c r="AH127" s="7" t="s">
        <v>395</v>
      </c>
      <c r="AL127" s="7">
        <v>0</v>
      </c>
      <c r="AM127" s="7">
        <f t="shared" si="28"/>
        <v>0</v>
      </c>
      <c r="AN127" s="7">
        <f t="shared" si="29"/>
        <v>0</v>
      </c>
      <c r="AO127" s="7">
        <v>0</v>
      </c>
      <c r="AP127" s="7">
        <f t="shared" si="30"/>
        <v>0</v>
      </c>
      <c r="AQ127" s="7">
        <f t="shared" si="31"/>
        <v>0</v>
      </c>
      <c r="AR127" s="7">
        <v>30</v>
      </c>
      <c r="AS127" s="7">
        <f t="shared" si="51"/>
        <v>25.5</v>
      </c>
      <c r="AT127" s="7">
        <f t="shared" si="55"/>
        <v>4.5</v>
      </c>
      <c r="AU127" s="7">
        <v>30</v>
      </c>
      <c r="AV127" s="7">
        <f t="shared" si="53"/>
        <v>25.5</v>
      </c>
      <c r="AW127" s="7">
        <f t="shared" si="56"/>
        <v>4.5</v>
      </c>
      <c r="BA127" s="7">
        <f t="shared" si="32"/>
        <v>45</v>
      </c>
      <c r="BB127" s="7">
        <f t="shared" si="33"/>
        <v>45</v>
      </c>
      <c r="BC127" s="7">
        <f t="shared" si="34"/>
        <v>45</v>
      </c>
      <c r="BD127" s="7">
        <f t="shared" si="35"/>
        <v>15</v>
      </c>
      <c r="BE127" s="7">
        <f t="shared" si="36"/>
        <v>15</v>
      </c>
      <c r="BF127" s="7">
        <f t="shared" si="37"/>
        <v>45</v>
      </c>
      <c r="BG127" s="104">
        <f t="shared" si="38"/>
        <v>1</v>
      </c>
      <c r="BH127" s="104">
        <f t="shared" si="39"/>
        <v>1</v>
      </c>
      <c r="BI127" s="104">
        <f t="shared" si="40"/>
        <v>1</v>
      </c>
      <c r="BJ127" s="104">
        <f t="shared" si="41"/>
        <v>0.33333333333333331</v>
      </c>
      <c r="BK127" s="104">
        <f t="shared" si="42"/>
        <v>0.33333333333333331</v>
      </c>
      <c r="BL127" s="104">
        <f t="shared" si="43"/>
        <v>1</v>
      </c>
      <c r="BM127" s="104"/>
      <c r="BO127" s="7" t="s">
        <v>976</v>
      </c>
      <c r="BP127" s="125">
        <f t="shared" si="44"/>
        <v>42.5</v>
      </c>
      <c r="BQ127" s="7">
        <f t="shared" si="45"/>
        <v>0</v>
      </c>
      <c r="BR127" s="7">
        <f t="shared" si="46"/>
        <v>0</v>
      </c>
      <c r="BS127" s="7">
        <f t="shared" si="47"/>
        <v>0</v>
      </c>
      <c r="BT127" s="7">
        <f t="shared" si="48"/>
        <v>1</v>
      </c>
      <c r="BU127" s="7">
        <f t="shared" si="49"/>
        <v>1</v>
      </c>
      <c r="BV127" s="7">
        <f t="shared" si="50"/>
        <v>0</v>
      </c>
    </row>
    <row r="128" spans="1:74" s="7" customFormat="1" x14ac:dyDescent="0.2">
      <c r="A128" s="7" t="s">
        <v>218</v>
      </c>
      <c r="B128" s="7" t="s">
        <v>219</v>
      </c>
      <c r="C128" s="7">
        <v>45</v>
      </c>
      <c r="F128" s="7" t="s">
        <v>247</v>
      </c>
      <c r="G128" s="7" t="s">
        <v>251</v>
      </c>
      <c r="H128" s="7" t="s">
        <v>226</v>
      </c>
      <c r="I128" s="7" t="s">
        <v>15</v>
      </c>
      <c r="J128" s="7" t="str">
        <f t="shared" si="26"/>
        <v>RACKPDU-RACK-R3-Z6E-R1-07-A</v>
      </c>
      <c r="K128" s="7" t="str">
        <f t="shared" si="27"/>
        <v>RACKPDU-RACK-R3-Z6E-R1-07-B</v>
      </c>
      <c r="L128" s="7">
        <v>45</v>
      </c>
      <c r="M128" s="7">
        <f>VLOOKUP($H128,'Cooling-Rack'!$A$2:$G$265,5,FALSE)</f>
        <v>38.25</v>
      </c>
      <c r="N128" s="7">
        <f>VLOOKUP($H128,'Cooling-Rack'!$A$2:$G$265,7,FALSE)</f>
        <v>6.7500000000000009</v>
      </c>
      <c r="O128" s="7">
        <v>54</v>
      </c>
      <c r="P128" s="104">
        <v>0.85</v>
      </c>
      <c r="Q128" s="104">
        <v>0.15000000000000002</v>
      </c>
      <c r="R128" s="13" t="s">
        <v>32</v>
      </c>
      <c r="S128" s="15" t="s">
        <v>34</v>
      </c>
      <c r="T128" s="7" t="s">
        <v>70</v>
      </c>
      <c r="U128" s="7" t="s">
        <v>72</v>
      </c>
      <c r="V128" s="7" t="s">
        <v>293</v>
      </c>
      <c r="W128" s="7" t="s">
        <v>294</v>
      </c>
      <c r="X128" s="7" t="s">
        <v>80</v>
      </c>
      <c r="Y128" s="7" t="s">
        <v>76</v>
      </c>
      <c r="Z128" s="7" t="s">
        <v>77</v>
      </c>
      <c r="AA128" s="7" t="s">
        <v>74</v>
      </c>
      <c r="AB128" s="7" t="s">
        <v>75</v>
      </c>
      <c r="AC128" s="7" t="s">
        <v>78</v>
      </c>
      <c r="AD128" s="7" t="s">
        <v>79</v>
      </c>
      <c r="AE128" s="7" t="s">
        <v>385</v>
      </c>
      <c r="AF128" s="7" t="s">
        <v>384</v>
      </c>
      <c r="AG128" s="7" t="s">
        <v>392</v>
      </c>
      <c r="AH128" s="7" t="s">
        <v>395</v>
      </c>
      <c r="AL128" s="7">
        <v>0</v>
      </c>
      <c r="AM128" s="7">
        <f t="shared" si="28"/>
        <v>0</v>
      </c>
      <c r="AN128" s="7">
        <f t="shared" si="29"/>
        <v>0</v>
      </c>
      <c r="AO128" s="7">
        <v>0</v>
      </c>
      <c r="AP128" s="7">
        <f t="shared" si="30"/>
        <v>0</v>
      </c>
      <c r="AQ128" s="7">
        <f t="shared" si="31"/>
        <v>0</v>
      </c>
      <c r="AR128" s="7">
        <v>30</v>
      </c>
      <c r="AS128" s="7">
        <f t="shared" si="51"/>
        <v>25.5</v>
      </c>
      <c r="AT128" s="7">
        <f t="shared" si="55"/>
        <v>4.5</v>
      </c>
      <c r="AU128" s="7">
        <v>30</v>
      </c>
      <c r="AV128" s="7">
        <f t="shared" si="53"/>
        <v>25.5</v>
      </c>
      <c r="AW128" s="7">
        <f t="shared" si="56"/>
        <v>4.5</v>
      </c>
      <c r="BA128" s="7">
        <f t="shared" si="32"/>
        <v>45</v>
      </c>
      <c r="BB128" s="7">
        <f t="shared" si="33"/>
        <v>45</v>
      </c>
      <c r="BC128" s="7">
        <f t="shared" si="34"/>
        <v>45</v>
      </c>
      <c r="BD128" s="7">
        <f t="shared" si="35"/>
        <v>15</v>
      </c>
      <c r="BE128" s="7">
        <f t="shared" si="36"/>
        <v>15</v>
      </c>
      <c r="BF128" s="7">
        <f t="shared" si="37"/>
        <v>45</v>
      </c>
      <c r="BG128" s="104">
        <f t="shared" si="38"/>
        <v>1</v>
      </c>
      <c r="BH128" s="104">
        <f t="shared" si="39"/>
        <v>1</v>
      </c>
      <c r="BI128" s="104">
        <f t="shared" si="40"/>
        <v>1</v>
      </c>
      <c r="BJ128" s="104">
        <f t="shared" si="41"/>
        <v>0.33333333333333331</v>
      </c>
      <c r="BK128" s="104">
        <f t="shared" si="42"/>
        <v>0.33333333333333331</v>
      </c>
      <c r="BL128" s="104">
        <f t="shared" si="43"/>
        <v>1</v>
      </c>
      <c r="BM128" s="104"/>
      <c r="BO128" s="7" t="s">
        <v>977</v>
      </c>
      <c r="BP128" s="125">
        <f t="shared" si="44"/>
        <v>42.5</v>
      </c>
      <c r="BQ128" s="7">
        <f t="shared" si="45"/>
        <v>0</v>
      </c>
      <c r="BR128" s="7">
        <f t="shared" si="46"/>
        <v>0</v>
      </c>
      <c r="BS128" s="7">
        <f t="shared" si="47"/>
        <v>0</v>
      </c>
      <c r="BT128" s="7">
        <f t="shared" si="48"/>
        <v>1</v>
      </c>
      <c r="BU128" s="7">
        <f t="shared" si="49"/>
        <v>1</v>
      </c>
      <c r="BV128" s="7">
        <f t="shared" si="50"/>
        <v>0</v>
      </c>
    </row>
    <row r="129" spans="1:74" s="7" customFormat="1" x14ac:dyDescent="0.2">
      <c r="A129" s="7" t="s">
        <v>218</v>
      </c>
      <c r="B129" s="7" t="s">
        <v>219</v>
      </c>
      <c r="C129" s="7">
        <v>45</v>
      </c>
      <c r="F129" s="7" t="s">
        <v>247</v>
      </c>
      <c r="G129" s="7" t="s">
        <v>251</v>
      </c>
      <c r="H129" s="7" t="s">
        <v>227</v>
      </c>
      <c r="I129" s="7" t="s">
        <v>15</v>
      </c>
      <c r="J129" s="7" t="str">
        <f t="shared" si="26"/>
        <v>RACKPDU-RACK-R3-Z6E-R1-08-A</v>
      </c>
      <c r="K129" s="7" t="str">
        <f t="shared" si="27"/>
        <v>RACKPDU-RACK-R3-Z6E-R1-08-B</v>
      </c>
      <c r="L129" s="7">
        <v>45</v>
      </c>
      <c r="M129" s="7">
        <f>VLOOKUP($H129,'Cooling-Rack'!$A$2:$G$265,5,FALSE)</f>
        <v>38.25</v>
      </c>
      <c r="N129" s="7">
        <f>VLOOKUP($H129,'Cooling-Rack'!$A$2:$G$265,7,FALSE)</f>
        <v>6.7500000000000009</v>
      </c>
      <c r="O129" s="7">
        <v>54</v>
      </c>
      <c r="P129" s="104">
        <v>0.85</v>
      </c>
      <c r="Q129" s="104">
        <v>0.15000000000000002</v>
      </c>
      <c r="R129" s="15" t="s">
        <v>33</v>
      </c>
      <c r="S129" s="15" t="s">
        <v>34</v>
      </c>
      <c r="T129" s="7" t="s">
        <v>70</v>
      </c>
      <c r="U129" s="7" t="s">
        <v>72</v>
      </c>
      <c r="V129" s="7" t="s">
        <v>293</v>
      </c>
      <c r="W129" s="7" t="s">
        <v>294</v>
      </c>
      <c r="X129" s="7" t="s">
        <v>80</v>
      </c>
      <c r="Y129" s="7" t="s">
        <v>76</v>
      </c>
      <c r="Z129" s="7" t="s">
        <v>77</v>
      </c>
      <c r="AA129" s="7" t="s">
        <v>74</v>
      </c>
      <c r="AB129" s="7" t="s">
        <v>75</v>
      </c>
      <c r="AC129" s="7" t="s">
        <v>78</v>
      </c>
      <c r="AD129" s="7" t="s">
        <v>79</v>
      </c>
      <c r="AE129" s="7" t="s">
        <v>385</v>
      </c>
      <c r="AF129" s="7" t="s">
        <v>384</v>
      </c>
      <c r="AG129" s="7" t="s">
        <v>392</v>
      </c>
      <c r="AH129" s="7" t="s">
        <v>395</v>
      </c>
      <c r="AL129" s="7">
        <v>0</v>
      </c>
      <c r="AM129" s="7">
        <f t="shared" si="28"/>
        <v>0</v>
      </c>
      <c r="AN129" s="7">
        <f t="shared" si="29"/>
        <v>0</v>
      </c>
      <c r="AO129" s="7">
        <v>0</v>
      </c>
      <c r="AP129" s="7">
        <f t="shared" si="30"/>
        <v>0</v>
      </c>
      <c r="AQ129" s="7">
        <f t="shared" si="31"/>
        <v>0</v>
      </c>
      <c r="AR129" s="7">
        <v>30</v>
      </c>
      <c r="AS129" s="7">
        <f t="shared" si="51"/>
        <v>25.5</v>
      </c>
      <c r="AT129" s="7">
        <f t="shared" si="55"/>
        <v>4.5</v>
      </c>
      <c r="AU129" s="7">
        <v>30</v>
      </c>
      <c r="AV129" s="7">
        <f t="shared" si="53"/>
        <v>25.5</v>
      </c>
      <c r="AW129" s="7">
        <f t="shared" si="56"/>
        <v>4.5</v>
      </c>
      <c r="BA129" s="7">
        <f t="shared" si="32"/>
        <v>45</v>
      </c>
      <c r="BB129" s="7">
        <f t="shared" si="33"/>
        <v>45</v>
      </c>
      <c r="BC129" s="7">
        <f t="shared" si="34"/>
        <v>45</v>
      </c>
      <c r="BD129" s="7">
        <f t="shared" si="35"/>
        <v>15</v>
      </c>
      <c r="BE129" s="7">
        <f t="shared" si="36"/>
        <v>15</v>
      </c>
      <c r="BF129" s="7">
        <f t="shared" si="37"/>
        <v>45</v>
      </c>
      <c r="BG129" s="104">
        <f t="shared" si="38"/>
        <v>1</v>
      </c>
      <c r="BH129" s="104">
        <f t="shared" si="39"/>
        <v>1</v>
      </c>
      <c r="BI129" s="104">
        <f t="shared" si="40"/>
        <v>1</v>
      </c>
      <c r="BJ129" s="104">
        <f t="shared" si="41"/>
        <v>0.33333333333333331</v>
      </c>
      <c r="BK129" s="104">
        <f t="shared" si="42"/>
        <v>0.33333333333333331</v>
      </c>
      <c r="BL129" s="104">
        <f t="shared" si="43"/>
        <v>1</v>
      </c>
      <c r="BM129" s="104"/>
      <c r="BO129" s="7" t="s">
        <v>978</v>
      </c>
      <c r="BP129" s="125">
        <f t="shared" si="44"/>
        <v>42.5</v>
      </c>
      <c r="BQ129" s="7">
        <f t="shared" si="45"/>
        <v>0</v>
      </c>
      <c r="BR129" s="7">
        <f t="shared" si="46"/>
        <v>0</v>
      </c>
      <c r="BS129" s="7">
        <f t="shared" si="47"/>
        <v>0</v>
      </c>
      <c r="BT129" s="7">
        <f t="shared" si="48"/>
        <v>1</v>
      </c>
      <c r="BU129" s="7">
        <f t="shared" si="49"/>
        <v>1</v>
      </c>
      <c r="BV129" s="7">
        <f t="shared" si="50"/>
        <v>0</v>
      </c>
    </row>
    <row r="130" spans="1:74" s="7" customFormat="1" x14ac:dyDescent="0.2">
      <c r="A130" s="7" t="s">
        <v>218</v>
      </c>
      <c r="B130" s="7" t="s">
        <v>219</v>
      </c>
      <c r="C130" s="7">
        <v>45</v>
      </c>
      <c r="F130" s="7" t="s">
        <v>247</v>
      </c>
      <c r="G130" s="7" t="s">
        <v>251</v>
      </c>
      <c r="H130" s="7" t="s">
        <v>228</v>
      </c>
      <c r="I130" s="7" t="s">
        <v>15</v>
      </c>
      <c r="J130" s="7" t="str">
        <f t="shared" si="26"/>
        <v>RACKPDU-RACK-R3-Z6E-R1-09-A</v>
      </c>
      <c r="K130" s="7" t="str">
        <f t="shared" si="27"/>
        <v>RACKPDU-RACK-R3-Z6E-R1-09-B</v>
      </c>
      <c r="L130" s="7">
        <v>45</v>
      </c>
      <c r="M130" s="7">
        <f>VLOOKUP($H130,'Cooling-Rack'!$A$2:$G$265,5,FALSE)</f>
        <v>38.25</v>
      </c>
      <c r="N130" s="7">
        <f>VLOOKUP($H130,'Cooling-Rack'!$A$2:$G$265,7,FALSE)</f>
        <v>6.7500000000000009</v>
      </c>
      <c r="O130" s="7">
        <v>54</v>
      </c>
      <c r="P130" s="104">
        <v>0.85</v>
      </c>
      <c r="Q130" s="104">
        <v>0.15000000000000002</v>
      </c>
      <c r="R130" s="13" t="s">
        <v>32</v>
      </c>
      <c r="S130" s="15" t="s">
        <v>34</v>
      </c>
      <c r="T130" s="7" t="s">
        <v>70</v>
      </c>
      <c r="U130" s="7" t="s">
        <v>72</v>
      </c>
      <c r="V130" s="7" t="s">
        <v>293</v>
      </c>
      <c r="W130" s="7" t="s">
        <v>294</v>
      </c>
      <c r="X130" s="7" t="s">
        <v>80</v>
      </c>
      <c r="Y130" s="7" t="s">
        <v>76</v>
      </c>
      <c r="Z130" s="7" t="s">
        <v>77</v>
      </c>
      <c r="AA130" s="7" t="s">
        <v>74</v>
      </c>
      <c r="AB130" s="7" t="s">
        <v>75</v>
      </c>
      <c r="AC130" s="7" t="s">
        <v>78</v>
      </c>
      <c r="AD130" s="7" t="s">
        <v>79</v>
      </c>
      <c r="AE130" s="7" t="s">
        <v>385</v>
      </c>
      <c r="AF130" s="7" t="s">
        <v>384</v>
      </c>
      <c r="AG130" s="7" t="s">
        <v>392</v>
      </c>
      <c r="AH130" s="7" t="s">
        <v>395</v>
      </c>
      <c r="AL130" s="7">
        <v>0</v>
      </c>
      <c r="AM130" s="7">
        <f t="shared" si="28"/>
        <v>0</v>
      </c>
      <c r="AN130" s="7">
        <f t="shared" si="29"/>
        <v>0</v>
      </c>
      <c r="AO130" s="7">
        <v>0</v>
      </c>
      <c r="AP130" s="7">
        <f t="shared" si="30"/>
        <v>0</v>
      </c>
      <c r="AQ130" s="7">
        <f t="shared" si="31"/>
        <v>0</v>
      </c>
      <c r="AR130" s="7">
        <v>30</v>
      </c>
      <c r="AS130" s="7">
        <f t="shared" si="51"/>
        <v>25.5</v>
      </c>
      <c r="AT130" s="7">
        <f t="shared" si="55"/>
        <v>4.5</v>
      </c>
      <c r="AU130" s="7">
        <v>30</v>
      </c>
      <c r="AV130" s="7">
        <f t="shared" si="53"/>
        <v>25.5</v>
      </c>
      <c r="AW130" s="7">
        <f t="shared" si="56"/>
        <v>4.5</v>
      </c>
      <c r="BA130" s="7">
        <f t="shared" si="32"/>
        <v>45</v>
      </c>
      <c r="BB130" s="7">
        <f t="shared" si="33"/>
        <v>45</v>
      </c>
      <c r="BC130" s="7">
        <f t="shared" si="34"/>
        <v>45</v>
      </c>
      <c r="BD130" s="7">
        <f t="shared" si="35"/>
        <v>15</v>
      </c>
      <c r="BE130" s="7">
        <f t="shared" si="36"/>
        <v>15</v>
      </c>
      <c r="BF130" s="7">
        <f t="shared" si="37"/>
        <v>45</v>
      </c>
      <c r="BG130" s="104">
        <f t="shared" si="38"/>
        <v>1</v>
      </c>
      <c r="BH130" s="104">
        <f t="shared" si="39"/>
        <v>1</v>
      </c>
      <c r="BI130" s="104">
        <f t="shared" si="40"/>
        <v>1</v>
      </c>
      <c r="BJ130" s="104">
        <f t="shared" si="41"/>
        <v>0.33333333333333331</v>
      </c>
      <c r="BK130" s="104">
        <f t="shared" si="42"/>
        <v>0.33333333333333331</v>
      </c>
      <c r="BL130" s="104">
        <f t="shared" si="43"/>
        <v>1</v>
      </c>
      <c r="BM130" s="104"/>
      <c r="BO130" s="7" t="s">
        <v>979</v>
      </c>
      <c r="BP130" s="125">
        <f t="shared" si="44"/>
        <v>42.5</v>
      </c>
      <c r="BQ130" s="7">
        <f t="shared" si="45"/>
        <v>0</v>
      </c>
      <c r="BR130" s="7">
        <f t="shared" si="46"/>
        <v>0</v>
      </c>
      <c r="BS130" s="7">
        <f t="shared" si="47"/>
        <v>0</v>
      </c>
      <c r="BT130" s="7">
        <f t="shared" si="48"/>
        <v>1</v>
      </c>
      <c r="BU130" s="7">
        <f t="shared" si="49"/>
        <v>1</v>
      </c>
      <c r="BV130" s="7">
        <f t="shared" si="50"/>
        <v>0</v>
      </c>
    </row>
    <row r="131" spans="1:74" s="7" customFormat="1" x14ac:dyDescent="0.2">
      <c r="A131" s="7" t="s">
        <v>218</v>
      </c>
      <c r="B131" s="7" t="s">
        <v>219</v>
      </c>
      <c r="C131" s="7">
        <v>45</v>
      </c>
      <c r="F131" s="7" t="s">
        <v>247</v>
      </c>
      <c r="G131" s="7" t="s">
        <v>251</v>
      </c>
      <c r="H131" s="7" t="s">
        <v>229</v>
      </c>
      <c r="I131" s="7" t="s">
        <v>15</v>
      </c>
      <c r="J131" s="7" t="str">
        <f t="shared" ref="J131:J169" si="57">"RACKPDU-"&amp;H131&amp;"-A"</f>
        <v>RACKPDU-RACK-R3-Z6E-R1-10-A</v>
      </c>
      <c r="K131" s="7" t="str">
        <f t="shared" ref="K131:K168" si="58">"RACKPDU-"&amp;H131&amp;"-B"</f>
        <v>RACKPDU-RACK-R3-Z6E-R1-10-B</v>
      </c>
      <c r="L131" s="7">
        <v>45</v>
      </c>
      <c r="M131" s="7">
        <f>VLOOKUP($H131,'Cooling-Rack'!$A$2:$G$265,5,FALSE)</f>
        <v>38.25</v>
      </c>
      <c r="N131" s="7">
        <f>VLOOKUP($H131,'Cooling-Rack'!$A$2:$G$265,7,FALSE)</f>
        <v>6.7500000000000009</v>
      </c>
      <c r="O131" s="7">
        <v>54</v>
      </c>
      <c r="P131" s="104">
        <v>0.85</v>
      </c>
      <c r="Q131" s="104">
        <v>0.15000000000000002</v>
      </c>
      <c r="R131" s="15" t="s">
        <v>33</v>
      </c>
      <c r="S131" s="15" t="s">
        <v>34</v>
      </c>
      <c r="T131" s="7" t="s">
        <v>70</v>
      </c>
      <c r="U131" s="7" t="s">
        <v>72</v>
      </c>
      <c r="V131" s="7" t="s">
        <v>293</v>
      </c>
      <c r="W131" s="7" t="s">
        <v>294</v>
      </c>
      <c r="X131" s="7" t="s">
        <v>80</v>
      </c>
      <c r="Y131" s="7" t="s">
        <v>76</v>
      </c>
      <c r="Z131" s="7" t="s">
        <v>77</v>
      </c>
      <c r="AA131" s="7" t="s">
        <v>74</v>
      </c>
      <c r="AB131" s="7" t="s">
        <v>75</v>
      </c>
      <c r="AC131" s="7" t="s">
        <v>78</v>
      </c>
      <c r="AD131" s="7" t="s">
        <v>79</v>
      </c>
      <c r="AE131" s="7" t="s">
        <v>385</v>
      </c>
      <c r="AF131" s="7" t="s">
        <v>384</v>
      </c>
      <c r="AG131" s="7" t="s">
        <v>392</v>
      </c>
      <c r="AH131" s="7" t="s">
        <v>395</v>
      </c>
      <c r="AL131" s="7">
        <v>0</v>
      </c>
      <c r="AM131" s="7">
        <f t="shared" ref="AM131:AM194" si="59">AL131/$L131*$M131</f>
        <v>0</v>
      </c>
      <c r="AN131" s="7">
        <f t="shared" ref="AN131:AN194" si="60">AL131/$L131*$N131</f>
        <v>0</v>
      </c>
      <c r="AO131" s="7">
        <v>0</v>
      </c>
      <c r="AP131" s="7">
        <f t="shared" ref="AP131:AP194" si="61">AO131/$L131*$M131</f>
        <v>0</v>
      </c>
      <c r="AQ131" s="7">
        <f t="shared" ref="AQ131:AQ194" si="62">AO131/$L131*$N131</f>
        <v>0</v>
      </c>
      <c r="AR131" s="7">
        <v>30</v>
      </c>
      <c r="AS131" s="7">
        <f t="shared" si="51"/>
        <v>25.5</v>
      </c>
      <c r="AT131" s="7">
        <f t="shared" si="55"/>
        <v>4.5</v>
      </c>
      <c r="AU131" s="7">
        <v>30</v>
      </c>
      <c r="AV131" s="7">
        <f t="shared" si="53"/>
        <v>25.5</v>
      </c>
      <c r="AW131" s="7">
        <f t="shared" si="56"/>
        <v>4.5</v>
      </c>
      <c r="BA131" s="7">
        <f t="shared" ref="BA131:BA194" si="63">$L131-$AI131</f>
        <v>45</v>
      </c>
      <c r="BB131" s="7">
        <f t="shared" ref="BB131:BB194" si="64">$L131-$AL131</f>
        <v>45</v>
      </c>
      <c r="BC131" s="7">
        <f t="shared" ref="BC131:BC194" si="65">$L131-$AO131</f>
        <v>45</v>
      </c>
      <c r="BD131" s="7">
        <f t="shared" ref="BD131:BD194" si="66">$L131-$AR131</f>
        <v>15</v>
      </c>
      <c r="BE131" s="7">
        <f t="shared" ref="BE131:BE194" si="67">$L131-$AU131</f>
        <v>15</v>
      </c>
      <c r="BF131" s="7">
        <f t="shared" ref="BF131:BF194" si="68">$L131-$AX131</f>
        <v>45</v>
      </c>
      <c r="BG131" s="104">
        <f t="shared" ref="BG131:BG194" si="69">BA131/$L131</f>
        <v>1</v>
      </c>
      <c r="BH131" s="104">
        <f t="shared" ref="BH131:BH194" si="70">BB131/$L131</f>
        <v>1</v>
      </c>
      <c r="BI131" s="104">
        <f t="shared" ref="BI131:BI194" si="71">BC131/$L131</f>
        <v>1</v>
      </c>
      <c r="BJ131" s="104">
        <f t="shared" ref="BJ131:BJ194" si="72">BD131/$L131</f>
        <v>0.33333333333333331</v>
      </c>
      <c r="BK131" s="104">
        <f t="shared" ref="BK131:BK194" si="73">BE131/$L131</f>
        <v>0.33333333333333331</v>
      </c>
      <c r="BL131" s="104">
        <f t="shared" ref="BL131:BL194" si="74">BF131/$L131</f>
        <v>1</v>
      </c>
      <c r="BM131" s="104"/>
      <c r="BO131" s="7" t="s">
        <v>980</v>
      </c>
      <c r="BP131" s="125">
        <f t="shared" ref="BP131:BP194" si="75">M131/0.9</f>
        <v>42.5</v>
      </c>
      <c r="BQ131" s="7">
        <f t="shared" ref="BQ131:BQ194" si="76">IF($AI131&gt;0, 1, 0)</f>
        <v>0</v>
      </c>
      <c r="BR131" s="7">
        <f t="shared" ref="BR131:BR194" si="77">IF($AL131&gt;0, 1, 0)</f>
        <v>0</v>
      </c>
      <c r="BS131" s="7">
        <f t="shared" ref="BS131:BS194" si="78">IF($AO131&gt;0, 1, 0)</f>
        <v>0</v>
      </c>
      <c r="BT131" s="7">
        <f t="shared" ref="BT131:BT194" si="79">IF($AR131&gt;0, 1, 0)</f>
        <v>1</v>
      </c>
      <c r="BU131" s="7">
        <f t="shared" ref="BU131:BU194" si="80">IF($AU131&gt;0, 1, 0)</f>
        <v>1</v>
      </c>
      <c r="BV131" s="7">
        <f t="shared" ref="BV131:BV194" si="81">IF(AX131&gt;0, 1, 0)</f>
        <v>0</v>
      </c>
    </row>
    <row r="132" spans="1:74" s="7" customFormat="1" x14ac:dyDescent="0.2">
      <c r="A132" s="7" t="s">
        <v>218</v>
      </c>
      <c r="B132" s="7" t="s">
        <v>219</v>
      </c>
      <c r="C132" s="7">
        <v>45</v>
      </c>
      <c r="F132" s="7" t="s">
        <v>247</v>
      </c>
      <c r="G132" s="7" t="s">
        <v>251</v>
      </c>
      <c r="H132" s="7" t="s">
        <v>230</v>
      </c>
      <c r="I132" s="7" t="s">
        <v>15</v>
      </c>
      <c r="J132" s="7" t="str">
        <f t="shared" si="57"/>
        <v>RACKPDU-RACK-R3-Z6E-R1-11-A</v>
      </c>
      <c r="K132" s="7" t="str">
        <f t="shared" si="58"/>
        <v>RACKPDU-RACK-R3-Z6E-R1-11-B</v>
      </c>
      <c r="L132" s="7">
        <v>45</v>
      </c>
      <c r="M132" s="7">
        <f>VLOOKUP($H132,'Cooling-Rack'!$A$2:$G$265,5,FALSE)</f>
        <v>38.25</v>
      </c>
      <c r="N132" s="7">
        <f>VLOOKUP($H132,'Cooling-Rack'!$A$2:$G$265,7,FALSE)</f>
        <v>6.7500000000000009</v>
      </c>
      <c r="O132" s="7">
        <v>54</v>
      </c>
      <c r="P132" s="104">
        <v>0.85</v>
      </c>
      <c r="Q132" s="104">
        <v>0.15000000000000002</v>
      </c>
      <c r="R132" s="13" t="s">
        <v>32</v>
      </c>
      <c r="S132" s="15" t="s">
        <v>34</v>
      </c>
      <c r="T132" s="7" t="s">
        <v>70</v>
      </c>
      <c r="U132" s="7" t="s">
        <v>72</v>
      </c>
      <c r="V132" s="7" t="s">
        <v>293</v>
      </c>
      <c r="W132" s="7" t="s">
        <v>294</v>
      </c>
      <c r="X132" s="7" t="s">
        <v>80</v>
      </c>
      <c r="Y132" s="7" t="s">
        <v>76</v>
      </c>
      <c r="Z132" s="7" t="s">
        <v>77</v>
      </c>
      <c r="AA132" s="7" t="s">
        <v>74</v>
      </c>
      <c r="AB132" s="7" t="s">
        <v>75</v>
      </c>
      <c r="AC132" s="7" t="s">
        <v>78</v>
      </c>
      <c r="AD132" s="7" t="s">
        <v>79</v>
      </c>
      <c r="AE132" s="7" t="s">
        <v>385</v>
      </c>
      <c r="AF132" s="7" t="s">
        <v>384</v>
      </c>
      <c r="AG132" s="7" t="s">
        <v>392</v>
      </c>
      <c r="AH132" s="7" t="s">
        <v>395</v>
      </c>
      <c r="AL132" s="7">
        <v>0</v>
      </c>
      <c r="AM132" s="7">
        <f t="shared" si="59"/>
        <v>0</v>
      </c>
      <c r="AN132" s="7">
        <f t="shared" si="60"/>
        <v>0</v>
      </c>
      <c r="AO132" s="7">
        <v>0</v>
      </c>
      <c r="AP132" s="7">
        <f t="shared" si="61"/>
        <v>0</v>
      </c>
      <c r="AQ132" s="7">
        <f t="shared" si="62"/>
        <v>0</v>
      </c>
      <c r="AR132" s="7">
        <v>30</v>
      </c>
      <c r="AS132" s="7">
        <f t="shared" si="51"/>
        <v>25.5</v>
      </c>
      <c r="AT132" s="7">
        <f t="shared" si="55"/>
        <v>4.5</v>
      </c>
      <c r="AU132" s="7">
        <v>30</v>
      </c>
      <c r="AV132" s="7">
        <f t="shared" si="53"/>
        <v>25.5</v>
      </c>
      <c r="AW132" s="7">
        <f t="shared" si="56"/>
        <v>4.5</v>
      </c>
      <c r="BA132" s="7">
        <f t="shared" si="63"/>
        <v>45</v>
      </c>
      <c r="BB132" s="7">
        <f t="shared" si="64"/>
        <v>45</v>
      </c>
      <c r="BC132" s="7">
        <f t="shared" si="65"/>
        <v>45</v>
      </c>
      <c r="BD132" s="7">
        <f t="shared" si="66"/>
        <v>15</v>
      </c>
      <c r="BE132" s="7">
        <f t="shared" si="67"/>
        <v>15</v>
      </c>
      <c r="BF132" s="7">
        <f t="shared" si="68"/>
        <v>45</v>
      </c>
      <c r="BG132" s="104">
        <f t="shared" si="69"/>
        <v>1</v>
      </c>
      <c r="BH132" s="104">
        <f t="shared" si="70"/>
        <v>1</v>
      </c>
      <c r="BI132" s="104">
        <f t="shared" si="71"/>
        <v>1</v>
      </c>
      <c r="BJ132" s="104">
        <f t="shared" si="72"/>
        <v>0.33333333333333331</v>
      </c>
      <c r="BK132" s="104">
        <f t="shared" si="73"/>
        <v>0.33333333333333331</v>
      </c>
      <c r="BL132" s="104">
        <f t="shared" si="74"/>
        <v>1</v>
      </c>
      <c r="BM132" s="104"/>
      <c r="BO132" s="7" t="s">
        <v>981</v>
      </c>
      <c r="BP132" s="125">
        <f t="shared" si="75"/>
        <v>42.5</v>
      </c>
      <c r="BQ132" s="7">
        <f t="shared" si="76"/>
        <v>0</v>
      </c>
      <c r="BR132" s="7">
        <f t="shared" si="77"/>
        <v>0</v>
      </c>
      <c r="BS132" s="7">
        <f t="shared" si="78"/>
        <v>0</v>
      </c>
      <c r="BT132" s="7">
        <f t="shared" si="79"/>
        <v>1</v>
      </c>
      <c r="BU132" s="7">
        <f t="shared" si="80"/>
        <v>1</v>
      </c>
      <c r="BV132" s="7">
        <f t="shared" si="81"/>
        <v>0</v>
      </c>
    </row>
    <row r="133" spans="1:74" s="7" customFormat="1" x14ac:dyDescent="0.2">
      <c r="A133" s="7" t="s">
        <v>218</v>
      </c>
      <c r="B133" s="7" t="s">
        <v>219</v>
      </c>
      <c r="C133" s="7">
        <v>45</v>
      </c>
      <c r="F133" s="7" t="s">
        <v>247</v>
      </c>
      <c r="G133" s="7" t="s">
        <v>251</v>
      </c>
      <c r="H133" s="7" t="s">
        <v>231</v>
      </c>
      <c r="I133" s="7" t="s">
        <v>15</v>
      </c>
      <c r="J133" s="7" t="str">
        <f t="shared" si="57"/>
        <v>RACKPDU-RACK-R3-Z6E-R1-12-A</v>
      </c>
      <c r="K133" s="7" t="str">
        <f t="shared" si="58"/>
        <v>RACKPDU-RACK-R3-Z6E-R1-12-B</v>
      </c>
      <c r="L133" s="7">
        <v>45</v>
      </c>
      <c r="M133" s="7">
        <f>VLOOKUP($H133,'Cooling-Rack'!$A$2:$G$265,5,FALSE)</f>
        <v>38.25</v>
      </c>
      <c r="N133" s="7">
        <f>VLOOKUP($H133,'Cooling-Rack'!$A$2:$G$265,7,FALSE)</f>
        <v>6.7500000000000009</v>
      </c>
      <c r="O133" s="7">
        <v>54</v>
      </c>
      <c r="P133" s="104">
        <v>0.85</v>
      </c>
      <c r="Q133" s="104">
        <v>0.15000000000000002</v>
      </c>
      <c r="R133" s="15" t="s">
        <v>33</v>
      </c>
      <c r="S133" s="15" t="s">
        <v>34</v>
      </c>
      <c r="T133" s="7" t="s">
        <v>70</v>
      </c>
      <c r="U133" s="7" t="s">
        <v>72</v>
      </c>
      <c r="V133" s="7" t="s">
        <v>293</v>
      </c>
      <c r="W133" s="7" t="s">
        <v>294</v>
      </c>
      <c r="X133" s="7" t="s">
        <v>80</v>
      </c>
      <c r="Y133" s="7" t="s">
        <v>76</v>
      </c>
      <c r="Z133" s="7" t="s">
        <v>77</v>
      </c>
      <c r="AA133" s="7" t="s">
        <v>74</v>
      </c>
      <c r="AB133" s="7" t="s">
        <v>75</v>
      </c>
      <c r="AC133" s="7" t="s">
        <v>78</v>
      </c>
      <c r="AD133" s="7" t="s">
        <v>79</v>
      </c>
      <c r="AE133" s="7" t="s">
        <v>385</v>
      </c>
      <c r="AF133" s="7" t="s">
        <v>384</v>
      </c>
      <c r="AG133" s="7" t="s">
        <v>392</v>
      </c>
      <c r="AH133" s="7" t="s">
        <v>395</v>
      </c>
      <c r="AL133" s="7">
        <v>0</v>
      </c>
      <c r="AM133" s="7">
        <f t="shared" si="59"/>
        <v>0</v>
      </c>
      <c r="AN133" s="7">
        <f t="shared" si="60"/>
        <v>0</v>
      </c>
      <c r="AO133" s="7">
        <v>0</v>
      </c>
      <c r="AP133" s="7">
        <f t="shared" si="61"/>
        <v>0</v>
      </c>
      <c r="AQ133" s="7">
        <f t="shared" si="62"/>
        <v>0</v>
      </c>
      <c r="AR133" s="7">
        <v>30</v>
      </c>
      <c r="AS133" s="7">
        <f t="shared" si="51"/>
        <v>25.5</v>
      </c>
      <c r="AT133" s="7">
        <f t="shared" si="55"/>
        <v>4.5</v>
      </c>
      <c r="AU133" s="7">
        <v>30</v>
      </c>
      <c r="AV133" s="7">
        <f t="shared" si="53"/>
        <v>25.5</v>
      </c>
      <c r="AW133" s="7">
        <f t="shared" si="56"/>
        <v>4.5</v>
      </c>
      <c r="BA133" s="7">
        <f t="shared" si="63"/>
        <v>45</v>
      </c>
      <c r="BB133" s="7">
        <f t="shared" si="64"/>
        <v>45</v>
      </c>
      <c r="BC133" s="7">
        <f t="shared" si="65"/>
        <v>45</v>
      </c>
      <c r="BD133" s="7">
        <f t="shared" si="66"/>
        <v>15</v>
      </c>
      <c r="BE133" s="7">
        <f t="shared" si="67"/>
        <v>15</v>
      </c>
      <c r="BF133" s="7">
        <f t="shared" si="68"/>
        <v>45</v>
      </c>
      <c r="BG133" s="104">
        <f t="shared" si="69"/>
        <v>1</v>
      </c>
      <c r="BH133" s="104">
        <f t="shared" si="70"/>
        <v>1</v>
      </c>
      <c r="BI133" s="104">
        <f t="shared" si="71"/>
        <v>1</v>
      </c>
      <c r="BJ133" s="104">
        <f t="shared" si="72"/>
        <v>0.33333333333333331</v>
      </c>
      <c r="BK133" s="104">
        <f t="shared" si="73"/>
        <v>0.33333333333333331</v>
      </c>
      <c r="BL133" s="104">
        <f t="shared" si="74"/>
        <v>1</v>
      </c>
      <c r="BM133" s="104"/>
      <c r="BO133" s="7" t="s">
        <v>982</v>
      </c>
      <c r="BP133" s="125">
        <f t="shared" si="75"/>
        <v>42.5</v>
      </c>
      <c r="BQ133" s="7">
        <f t="shared" si="76"/>
        <v>0</v>
      </c>
      <c r="BR133" s="7">
        <f t="shared" si="77"/>
        <v>0</v>
      </c>
      <c r="BS133" s="7">
        <f t="shared" si="78"/>
        <v>0</v>
      </c>
      <c r="BT133" s="7">
        <f t="shared" si="79"/>
        <v>1</v>
      </c>
      <c r="BU133" s="7">
        <f t="shared" si="80"/>
        <v>1</v>
      </c>
      <c r="BV133" s="7">
        <f t="shared" si="81"/>
        <v>0</v>
      </c>
    </row>
    <row r="134" spans="1:74" s="6" customFormat="1" x14ac:dyDescent="0.2">
      <c r="A134" s="6" t="s">
        <v>218</v>
      </c>
      <c r="B134" s="6" t="s">
        <v>232</v>
      </c>
      <c r="C134" s="6">
        <v>45</v>
      </c>
      <c r="F134" s="6" t="s">
        <v>247</v>
      </c>
      <c r="G134" s="6" t="s">
        <v>251</v>
      </c>
      <c r="H134" s="6" t="s">
        <v>233</v>
      </c>
      <c r="I134" s="6" t="s">
        <v>15</v>
      </c>
      <c r="J134" s="6" t="str">
        <f t="shared" si="57"/>
        <v>RACKPDU-RACK-R3-Z6E-R2-01-A</v>
      </c>
      <c r="K134" s="6" t="str">
        <f t="shared" si="58"/>
        <v>RACKPDU-RACK-R3-Z6E-R2-01-B</v>
      </c>
      <c r="L134" s="6">
        <v>45</v>
      </c>
      <c r="M134" s="6">
        <f>VLOOKUP($H134,'Cooling-Rack'!$A$2:$G$265,5,FALSE)</f>
        <v>38.25</v>
      </c>
      <c r="N134" s="6">
        <f>VLOOKUP($H134,'Cooling-Rack'!$A$2:$G$265,7,FALSE)</f>
        <v>6.7500000000000009</v>
      </c>
      <c r="O134" s="6">
        <v>54</v>
      </c>
      <c r="P134" s="105">
        <v>0.85</v>
      </c>
      <c r="Q134" s="105">
        <v>0.15000000000000002</v>
      </c>
      <c r="R134" s="14" t="s">
        <v>32</v>
      </c>
      <c r="S134" s="12" t="s">
        <v>28</v>
      </c>
      <c r="T134" s="6" t="s">
        <v>70</v>
      </c>
      <c r="U134" s="6" t="s">
        <v>72</v>
      </c>
      <c r="V134" s="6" t="s">
        <v>293</v>
      </c>
      <c r="W134" s="6" t="s">
        <v>294</v>
      </c>
      <c r="X134" s="6" t="s">
        <v>80</v>
      </c>
      <c r="Y134" s="6" t="s">
        <v>76</v>
      </c>
      <c r="Z134" s="6" t="s">
        <v>77</v>
      </c>
      <c r="AA134" s="6" t="s">
        <v>74</v>
      </c>
      <c r="AB134" s="6" t="s">
        <v>75</v>
      </c>
      <c r="AC134" s="6" t="s">
        <v>78</v>
      </c>
      <c r="AD134" s="6" t="s">
        <v>79</v>
      </c>
      <c r="AE134" s="6" t="s">
        <v>385</v>
      </c>
      <c r="AF134" s="6" t="s">
        <v>384</v>
      </c>
      <c r="AG134" s="6" t="s">
        <v>392</v>
      </c>
      <c r="AH134" s="6" t="s">
        <v>395</v>
      </c>
      <c r="AL134" s="6">
        <v>0</v>
      </c>
      <c r="AM134" s="6">
        <f t="shared" si="59"/>
        <v>0</v>
      </c>
      <c r="AN134" s="6">
        <f t="shared" si="60"/>
        <v>0</v>
      </c>
      <c r="AO134" s="6">
        <v>0</v>
      </c>
      <c r="AP134" s="6">
        <f t="shared" si="61"/>
        <v>0</v>
      </c>
      <c r="AQ134" s="6">
        <f t="shared" si="62"/>
        <v>0</v>
      </c>
      <c r="AS134" s="6">
        <f t="shared" si="51"/>
        <v>0</v>
      </c>
      <c r="AT134" s="6">
        <f t="shared" si="55"/>
        <v>0</v>
      </c>
      <c r="AU134" s="6">
        <v>30</v>
      </c>
      <c r="AV134" s="6">
        <f t="shared" si="53"/>
        <v>25.5</v>
      </c>
      <c r="AW134" s="6">
        <f t="shared" si="56"/>
        <v>4.5</v>
      </c>
      <c r="BA134" s="6">
        <f t="shared" si="63"/>
        <v>45</v>
      </c>
      <c r="BB134" s="6">
        <f t="shared" si="64"/>
        <v>45</v>
      </c>
      <c r="BC134" s="6">
        <f t="shared" si="65"/>
        <v>45</v>
      </c>
      <c r="BD134" s="6">
        <f t="shared" si="66"/>
        <v>45</v>
      </c>
      <c r="BE134" s="6">
        <f t="shared" si="67"/>
        <v>15</v>
      </c>
      <c r="BF134" s="6">
        <f t="shared" si="68"/>
        <v>45</v>
      </c>
      <c r="BG134" s="105">
        <f t="shared" si="69"/>
        <v>1</v>
      </c>
      <c r="BH134" s="105">
        <f t="shared" si="70"/>
        <v>1</v>
      </c>
      <c r="BI134" s="105">
        <f t="shared" si="71"/>
        <v>1</v>
      </c>
      <c r="BJ134" s="105">
        <f t="shared" si="72"/>
        <v>1</v>
      </c>
      <c r="BK134" s="105">
        <f t="shared" si="73"/>
        <v>0.33333333333333331</v>
      </c>
      <c r="BL134" s="105">
        <f t="shared" si="74"/>
        <v>1</v>
      </c>
      <c r="BM134" s="105"/>
      <c r="BO134" s="6" t="s">
        <v>983</v>
      </c>
      <c r="BP134" s="126">
        <f t="shared" si="75"/>
        <v>42.5</v>
      </c>
      <c r="BQ134" s="6">
        <f t="shared" si="76"/>
        <v>0</v>
      </c>
      <c r="BR134" s="6">
        <f t="shared" si="77"/>
        <v>0</v>
      </c>
      <c r="BS134" s="6">
        <f t="shared" si="78"/>
        <v>0</v>
      </c>
      <c r="BT134" s="6">
        <f t="shared" si="79"/>
        <v>0</v>
      </c>
      <c r="BU134" s="6">
        <f t="shared" si="80"/>
        <v>1</v>
      </c>
      <c r="BV134" s="6">
        <f t="shared" si="81"/>
        <v>0</v>
      </c>
    </row>
    <row r="135" spans="1:74" s="6" customFormat="1" x14ac:dyDescent="0.2">
      <c r="A135" s="6" t="s">
        <v>218</v>
      </c>
      <c r="B135" s="6" t="s">
        <v>232</v>
      </c>
      <c r="C135" s="6">
        <v>45</v>
      </c>
      <c r="F135" s="6" t="s">
        <v>247</v>
      </c>
      <c r="G135" s="6" t="s">
        <v>251</v>
      </c>
      <c r="H135" s="6" t="s">
        <v>234</v>
      </c>
      <c r="I135" s="6" t="s">
        <v>15</v>
      </c>
      <c r="J135" s="6" t="str">
        <f t="shared" si="57"/>
        <v>RACKPDU-RACK-R3-Z6E-R2-02-A</v>
      </c>
      <c r="K135" s="6" t="str">
        <f t="shared" si="58"/>
        <v>RACKPDU-RACK-R3-Z6E-R2-02-B</v>
      </c>
      <c r="L135" s="6">
        <v>45</v>
      </c>
      <c r="M135" s="6">
        <f>VLOOKUP($H135,'Cooling-Rack'!$A$2:$G$265,5,FALSE)</f>
        <v>38.25</v>
      </c>
      <c r="N135" s="6">
        <f>VLOOKUP($H135,'Cooling-Rack'!$A$2:$G$265,7,FALSE)</f>
        <v>6.7500000000000009</v>
      </c>
      <c r="O135" s="6">
        <v>54</v>
      </c>
      <c r="P135" s="105">
        <v>0.85</v>
      </c>
      <c r="Q135" s="105">
        <v>0.15000000000000002</v>
      </c>
      <c r="R135" s="16" t="s">
        <v>33</v>
      </c>
      <c r="S135" s="12" t="s">
        <v>28</v>
      </c>
      <c r="T135" s="6" t="s">
        <v>70</v>
      </c>
      <c r="U135" s="6" t="s">
        <v>72</v>
      </c>
      <c r="V135" s="6" t="s">
        <v>293</v>
      </c>
      <c r="W135" s="6" t="s">
        <v>294</v>
      </c>
      <c r="X135" s="6" t="s">
        <v>80</v>
      </c>
      <c r="Y135" s="6" t="s">
        <v>76</v>
      </c>
      <c r="Z135" s="6" t="s">
        <v>77</v>
      </c>
      <c r="AA135" s="6" t="s">
        <v>74</v>
      </c>
      <c r="AB135" s="6" t="s">
        <v>75</v>
      </c>
      <c r="AC135" s="6" t="s">
        <v>78</v>
      </c>
      <c r="AD135" s="6" t="s">
        <v>79</v>
      </c>
      <c r="AE135" s="6" t="s">
        <v>385</v>
      </c>
      <c r="AF135" s="6" t="s">
        <v>384</v>
      </c>
      <c r="AG135" s="6" t="s">
        <v>392</v>
      </c>
      <c r="AH135" s="6" t="s">
        <v>395</v>
      </c>
      <c r="AL135" s="6">
        <v>0</v>
      </c>
      <c r="AM135" s="6">
        <f t="shared" si="59"/>
        <v>0</v>
      </c>
      <c r="AN135" s="6">
        <f t="shared" si="60"/>
        <v>0</v>
      </c>
      <c r="AO135" s="6">
        <v>0</v>
      </c>
      <c r="AP135" s="6">
        <f t="shared" si="61"/>
        <v>0</v>
      </c>
      <c r="AQ135" s="6">
        <f t="shared" si="62"/>
        <v>0</v>
      </c>
      <c r="AS135" s="6">
        <f t="shared" si="51"/>
        <v>0</v>
      </c>
      <c r="AT135" s="6">
        <f t="shared" si="55"/>
        <v>0</v>
      </c>
      <c r="AU135" s="6">
        <v>30</v>
      </c>
      <c r="AV135" s="6">
        <f t="shared" si="53"/>
        <v>25.5</v>
      </c>
      <c r="AW135" s="6">
        <f t="shared" si="56"/>
        <v>4.5</v>
      </c>
      <c r="BA135" s="6">
        <f t="shared" si="63"/>
        <v>45</v>
      </c>
      <c r="BB135" s="6">
        <f t="shared" si="64"/>
        <v>45</v>
      </c>
      <c r="BC135" s="6">
        <f t="shared" si="65"/>
        <v>45</v>
      </c>
      <c r="BD135" s="6">
        <f t="shared" si="66"/>
        <v>45</v>
      </c>
      <c r="BE135" s="6">
        <f t="shared" si="67"/>
        <v>15</v>
      </c>
      <c r="BF135" s="6">
        <f t="shared" si="68"/>
        <v>45</v>
      </c>
      <c r="BG135" s="105">
        <f t="shared" si="69"/>
        <v>1</v>
      </c>
      <c r="BH135" s="105">
        <f t="shared" si="70"/>
        <v>1</v>
      </c>
      <c r="BI135" s="105">
        <f t="shared" si="71"/>
        <v>1</v>
      </c>
      <c r="BJ135" s="105">
        <f t="shared" si="72"/>
        <v>1</v>
      </c>
      <c r="BK135" s="105">
        <f t="shared" si="73"/>
        <v>0.33333333333333331</v>
      </c>
      <c r="BL135" s="105">
        <f t="shared" si="74"/>
        <v>1</v>
      </c>
      <c r="BM135" s="105"/>
      <c r="BO135" s="6" t="s">
        <v>984</v>
      </c>
      <c r="BP135" s="126">
        <f t="shared" si="75"/>
        <v>42.5</v>
      </c>
      <c r="BQ135" s="6">
        <f t="shared" si="76"/>
        <v>0</v>
      </c>
      <c r="BR135" s="6">
        <f t="shared" si="77"/>
        <v>0</v>
      </c>
      <c r="BS135" s="6">
        <f t="shared" si="78"/>
        <v>0</v>
      </c>
      <c r="BT135" s="6">
        <f t="shared" si="79"/>
        <v>0</v>
      </c>
      <c r="BU135" s="6">
        <f t="shared" si="80"/>
        <v>1</v>
      </c>
      <c r="BV135" s="6">
        <f t="shared" si="81"/>
        <v>0</v>
      </c>
    </row>
    <row r="136" spans="1:74" s="6" customFormat="1" x14ac:dyDescent="0.2">
      <c r="A136" s="6" t="s">
        <v>218</v>
      </c>
      <c r="B136" s="6" t="s">
        <v>232</v>
      </c>
      <c r="C136" s="6">
        <v>45</v>
      </c>
      <c r="F136" s="6" t="s">
        <v>247</v>
      </c>
      <c r="G136" s="6" t="s">
        <v>251</v>
      </c>
      <c r="H136" s="6" t="s">
        <v>235</v>
      </c>
      <c r="I136" s="6" t="s">
        <v>15</v>
      </c>
      <c r="J136" s="6" t="str">
        <f t="shared" si="57"/>
        <v>RACKPDU-RACK-R3-Z6E-R2-03-A</v>
      </c>
      <c r="K136" s="6" t="str">
        <f t="shared" si="58"/>
        <v>RACKPDU-RACK-R3-Z6E-R2-03-B</v>
      </c>
      <c r="L136" s="6">
        <v>45</v>
      </c>
      <c r="M136" s="6">
        <f>VLOOKUP($H136,'Cooling-Rack'!$A$2:$G$265,5,FALSE)</f>
        <v>38.25</v>
      </c>
      <c r="N136" s="6">
        <f>VLOOKUP($H136,'Cooling-Rack'!$A$2:$G$265,7,FALSE)</f>
        <v>6.7500000000000009</v>
      </c>
      <c r="O136" s="6">
        <v>54</v>
      </c>
      <c r="P136" s="105">
        <v>0.85</v>
      </c>
      <c r="Q136" s="105">
        <v>0.15000000000000002</v>
      </c>
      <c r="R136" s="14" t="s">
        <v>32</v>
      </c>
      <c r="S136" s="12" t="s">
        <v>28</v>
      </c>
      <c r="T136" s="6" t="s">
        <v>70</v>
      </c>
      <c r="U136" s="6" t="s">
        <v>72</v>
      </c>
      <c r="V136" s="6" t="s">
        <v>293</v>
      </c>
      <c r="W136" s="6" t="s">
        <v>294</v>
      </c>
      <c r="X136" s="6" t="s">
        <v>80</v>
      </c>
      <c r="Y136" s="6" t="s">
        <v>76</v>
      </c>
      <c r="Z136" s="6" t="s">
        <v>77</v>
      </c>
      <c r="AA136" s="6" t="s">
        <v>74</v>
      </c>
      <c r="AB136" s="6" t="s">
        <v>75</v>
      </c>
      <c r="AC136" s="6" t="s">
        <v>78</v>
      </c>
      <c r="AD136" s="6" t="s">
        <v>79</v>
      </c>
      <c r="AE136" s="6" t="s">
        <v>385</v>
      </c>
      <c r="AF136" s="6" t="s">
        <v>384</v>
      </c>
      <c r="AG136" s="6" t="s">
        <v>392</v>
      </c>
      <c r="AH136" s="6" t="s">
        <v>395</v>
      </c>
      <c r="AL136" s="6">
        <v>0</v>
      </c>
      <c r="AM136" s="6">
        <f t="shared" si="59"/>
        <v>0</v>
      </c>
      <c r="AN136" s="6">
        <f t="shared" si="60"/>
        <v>0</v>
      </c>
      <c r="AO136" s="6">
        <v>0</v>
      </c>
      <c r="AP136" s="6">
        <f t="shared" si="61"/>
        <v>0</v>
      </c>
      <c r="AQ136" s="6">
        <f t="shared" si="62"/>
        <v>0</v>
      </c>
      <c r="AS136" s="6">
        <f t="shared" si="51"/>
        <v>0</v>
      </c>
      <c r="AT136" s="6">
        <f t="shared" si="55"/>
        <v>0</v>
      </c>
      <c r="AU136" s="6">
        <v>30</v>
      </c>
      <c r="AV136" s="6">
        <f t="shared" si="53"/>
        <v>25.5</v>
      </c>
      <c r="AW136" s="6">
        <f t="shared" si="56"/>
        <v>4.5</v>
      </c>
      <c r="BA136" s="6">
        <f t="shared" si="63"/>
        <v>45</v>
      </c>
      <c r="BB136" s="6">
        <f t="shared" si="64"/>
        <v>45</v>
      </c>
      <c r="BC136" s="6">
        <f t="shared" si="65"/>
        <v>45</v>
      </c>
      <c r="BD136" s="6">
        <f t="shared" si="66"/>
        <v>45</v>
      </c>
      <c r="BE136" s="6">
        <f t="shared" si="67"/>
        <v>15</v>
      </c>
      <c r="BF136" s="6">
        <f t="shared" si="68"/>
        <v>45</v>
      </c>
      <c r="BG136" s="105">
        <f t="shared" si="69"/>
        <v>1</v>
      </c>
      <c r="BH136" s="105">
        <f t="shared" si="70"/>
        <v>1</v>
      </c>
      <c r="BI136" s="105">
        <f t="shared" si="71"/>
        <v>1</v>
      </c>
      <c r="BJ136" s="105">
        <f t="shared" si="72"/>
        <v>1</v>
      </c>
      <c r="BK136" s="105">
        <f t="shared" si="73"/>
        <v>0.33333333333333331</v>
      </c>
      <c r="BL136" s="105">
        <f t="shared" si="74"/>
        <v>1</v>
      </c>
      <c r="BM136" s="105"/>
      <c r="BO136" s="6" t="s">
        <v>985</v>
      </c>
      <c r="BP136" s="126">
        <f t="shared" si="75"/>
        <v>42.5</v>
      </c>
      <c r="BQ136" s="6">
        <f t="shared" si="76"/>
        <v>0</v>
      </c>
      <c r="BR136" s="6">
        <f t="shared" si="77"/>
        <v>0</v>
      </c>
      <c r="BS136" s="6">
        <f t="shared" si="78"/>
        <v>0</v>
      </c>
      <c r="BT136" s="6">
        <f t="shared" si="79"/>
        <v>0</v>
      </c>
      <c r="BU136" s="6">
        <f t="shared" si="80"/>
        <v>1</v>
      </c>
      <c r="BV136" s="6">
        <f t="shared" si="81"/>
        <v>0</v>
      </c>
    </row>
    <row r="137" spans="1:74" s="6" customFormat="1" x14ac:dyDescent="0.2">
      <c r="A137" s="6" t="s">
        <v>218</v>
      </c>
      <c r="B137" s="6" t="s">
        <v>232</v>
      </c>
      <c r="C137" s="6">
        <v>45</v>
      </c>
      <c r="F137" s="6" t="s">
        <v>247</v>
      </c>
      <c r="G137" s="6" t="s">
        <v>251</v>
      </c>
      <c r="H137" s="6" t="s">
        <v>236</v>
      </c>
      <c r="I137" s="6" t="s">
        <v>15</v>
      </c>
      <c r="J137" s="6" t="str">
        <f t="shared" si="57"/>
        <v>RACKPDU-RACK-R3-Z6E-R2-04-A</v>
      </c>
      <c r="K137" s="6" t="str">
        <f t="shared" si="58"/>
        <v>RACKPDU-RACK-R3-Z6E-R2-04-B</v>
      </c>
      <c r="L137" s="6">
        <v>45</v>
      </c>
      <c r="M137" s="6">
        <f>VLOOKUP($H137,'Cooling-Rack'!$A$2:$G$265,5,FALSE)</f>
        <v>38.25</v>
      </c>
      <c r="N137" s="6">
        <f>VLOOKUP($H137,'Cooling-Rack'!$A$2:$G$265,7,FALSE)</f>
        <v>6.7500000000000009</v>
      </c>
      <c r="O137" s="6">
        <v>54</v>
      </c>
      <c r="P137" s="105">
        <v>0.85</v>
      </c>
      <c r="Q137" s="105">
        <v>0.15000000000000002</v>
      </c>
      <c r="R137" s="16" t="s">
        <v>33</v>
      </c>
      <c r="S137" s="12" t="s">
        <v>28</v>
      </c>
      <c r="T137" s="6" t="s">
        <v>70</v>
      </c>
      <c r="U137" s="6" t="s">
        <v>72</v>
      </c>
      <c r="V137" s="6" t="s">
        <v>293</v>
      </c>
      <c r="W137" s="6" t="s">
        <v>294</v>
      </c>
      <c r="X137" s="6" t="s">
        <v>80</v>
      </c>
      <c r="Y137" s="6" t="s">
        <v>76</v>
      </c>
      <c r="Z137" s="6" t="s">
        <v>77</v>
      </c>
      <c r="AA137" s="6" t="s">
        <v>74</v>
      </c>
      <c r="AB137" s="6" t="s">
        <v>75</v>
      </c>
      <c r="AC137" s="6" t="s">
        <v>78</v>
      </c>
      <c r="AD137" s="6" t="s">
        <v>79</v>
      </c>
      <c r="AE137" s="6" t="s">
        <v>385</v>
      </c>
      <c r="AF137" s="6" t="s">
        <v>384</v>
      </c>
      <c r="AG137" s="6" t="s">
        <v>392</v>
      </c>
      <c r="AH137" s="6" t="s">
        <v>395</v>
      </c>
      <c r="AL137" s="6">
        <v>0</v>
      </c>
      <c r="AM137" s="6">
        <f t="shared" si="59"/>
        <v>0</v>
      </c>
      <c r="AN137" s="6">
        <f t="shared" si="60"/>
        <v>0</v>
      </c>
      <c r="AO137" s="6">
        <v>0</v>
      </c>
      <c r="AP137" s="6">
        <f t="shared" si="61"/>
        <v>0</v>
      </c>
      <c r="AQ137" s="6">
        <f t="shared" si="62"/>
        <v>0</v>
      </c>
      <c r="AS137" s="6">
        <f t="shared" si="51"/>
        <v>0</v>
      </c>
      <c r="AT137" s="6">
        <f t="shared" si="55"/>
        <v>0</v>
      </c>
      <c r="AU137" s="6">
        <v>30</v>
      </c>
      <c r="AV137" s="6">
        <f t="shared" si="53"/>
        <v>25.5</v>
      </c>
      <c r="AW137" s="6">
        <f t="shared" si="56"/>
        <v>4.5</v>
      </c>
      <c r="BA137" s="6">
        <f t="shared" si="63"/>
        <v>45</v>
      </c>
      <c r="BB137" s="6">
        <f t="shared" si="64"/>
        <v>45</v>
      </c>
      <c r="BC137" s="6">
        <f t="shared" si="65"/>
        <v>45</v>
      </c>
      <c r="BD137" s="6">
        <f t="shared" si="66"/>
        <v>45</v>
      </c>
      <c r="BE137" s="6">
        <f t="shared" si="67"/>
        <v>15</v>
      </c>
      <c r="BF137" s="6">
        <f t="shared" si="68"/>
        <v>45</v>
      </c>
      <c r="BG137" s="105">
        <f t="shared" si="69"/>
        <v>1</v>
      </c>
      <c r="BH137" s="105">
        <f t="shared" si="70"/>
        <v>1</v>
      </c>
      <c r="BI137" s="105">
        <f t="shared" si="71"/>
        <v>1</v>
      </c>
      <c r="BJ137" s="105">
        <f t="shared" si="72"/>
        <v>1</v>
      </c>
      <c r="BK137" s="105">
        <f t="shared" si="73"/>
        <v>0.33333333333333331</v>
      </c>
      <c r="BL137" s="105">
        <f t="shared" si="74"/>
        <v>1</v>
      </c>
      <c r="BM137" s="105"/>
      <c r="BO137" s="6" t="s">
        <v>986</v>
      </c>
      <c r="BP137" s="126">
        <f t="shared" si="75"/>
        <v>42.5</v>
      </c>
      <c r="BQ137" s="6">
        <f t="shared" si="76"/>
        <v>0</v>
      </c>
      <c r="BR137" s="6">
        <f t="shared" si="77"/>
        <v>0</v>
      </c>
      <c r="BS137" s="6">
        <f t="shared" si="78"/>
        <v>0</v>
      </c>
      <c r="BT137" s="6">
        <f t="shared" si="79"/>
        <v>0</v>
      </c>
      <c r="BU137" s="6">
        <f t="shared" si="80"/>
        <v>1</v>
      </c>
      <c r="BV137" s="6">
        <f t="shared" si="81"/>
        <v>0</v>
      </c>
    </row>
    <row r="138" spans="1:74" s="6" customFormat="1" x14ac:dyDescent="0.2">
      <c r="A138" s="6" t="s">
        <v>218</v>
      </c>
      <c r="B138" s="6" t="s">
        <v>232</v>
      </c>
      <c r="C138" s="6">
        <v>45</v>
      </c>
      <c r="F138" s="6" t="s">
        <v>247</v>
      </c>
      <c r="G138" s="6" t="s">
        <v>251</v>
      </c>
      <c r="H138" s="6" t="s">
        <v>237</v>
      </c>
      <c r="I138" s="6" t="s">
        <v>15</v>
      </c>
      <c r="J138" s="6" t="str">
        <f t="shared" si="57"/>
        <v>RACKPDU-RACK-R3-Z6E-R2-05-A</v>
      </c>
      <c r="K138" s="6" t="str">
        <f t="shared" si="58"/>
        <v>RACKPDU-RACK-R3-Z6E-R2-05-B</v>
      </c>
      <c r="L138" s="6">
        <v>45</v>
      </c>
      <c r="M138" s="6">
        <f>VLOOKUP($H138,'Cooling-Rack'!$A$2:$G$265,5,FALSE)</f>
        <v>38.25</v>
      </c>
      <c r="N138" s="6">
        <f>VLOOKUP($H138,'Cooling-Rack'!$A$2:$G$265,7,FALSE)</f>
        <v>6.7500000000000009</v>
      </c>
      <c r="O138" s="6">
        <v>54</v>
      </c>
      <c r="P138" s="105">
        <v>0.85</v>
      </c>
      <c r="Q138" s="105">
        <v>0.15000000000000002</v>
      </c>
      <c r="R138" s="14" t="s">
        <v>32</v>
      </c>
      <c r="S138" s="12" t="s">
        <v>28</v>
      </c>
      <c r="T138" s="6" t="s">
        <v>70</v>
      </c>
      <c r="U138" s="6" t="s">
        <v>72</v>
      </c>
      <c r="V138" s="6" t="s">
        <v>293</v>
      </c>
      <c r="W138" s="6" t="s">
        <v>294</v>
      </c>
      <c r="X138" s="6" t="s">
        <v>80</v>
      </c>
      <c r="Y138" s="6" t="s">
        <v>76</v>
      </c>
      <c r="Z138" s="6" t="s">
        <v>77</v>
      </c>
      <c r="AA138" s="6" t="s">
        <v>74</v>
      </c>
      <c r="AB138" s="6" t="s">
        <v>75</v>
      </c>
      <c r="AC138" s="6" t="s">
        <v>78</v>
      </c>
      <c r="AD138" s="6" t="s">
        <v>79</v>
      </c>
      <c r="AE138" s="6" t="s">
        <v>385</v>
      </c>
      <c r="AF138" s="6" t="s">
        <v>384</v>
      </c>
      <c r="AG138" s="6" t="s">
        <v>392</v>
      </c>
      <c r="AH138" s="6" t="s">
        <v>395</v>
      </c>
      <c r="AL138" s="6">
        <v>0</v>
      </c>
      <c r="AM138" s="6">
        <f t="shared" si="59"/>
        <v>0</v>
      </c>
      <c r="AN138" s="6">
        <f t="shared" si="60"/>
        <v>0</v>
      </c>
      <c r="AO138" s="6">
        <v>0</v>
      </c>
      <c r="AP138" s="6">
        <f t="shared" si="61"/>
        <v>0</v>
      </c>
      <c r="AQ138" s="6">
        <f t="shared" si="62"/>
        <v>0</v>
      </c>
      <c r="AS138" s="6">
        <f t="shared" ref="AS138:AS201" si="82">AR138/$L138*$M138</f>
        <v>0</v>
      </c>
      <c r="AT138" s="6">
        <f t="shared" si="55"/>
        <v>0</v>
      </c>
      <c r="BA138" s="6">
        <f t="shared" si="63"/>
        <v>45</v>
      </c>
      <c r="BB138" s="6">
        <f t="shared" si="64"/>
        <v>45</v>
      </c>
      <c r="BC138" s="6">
        <f t="shared" si="65"/>
        <v>45</v>
      </c>
      <c r="BD138" s="6">
        <f t="shared" si="66"/>
        <v>45</v>
      </c>
      <c r="BE138" s="6">
        <f t="shared" si="67"/>
        <v>45</v>
      </c>
      <c r="BF138" s="6">
        <f t="shared" si="68"/>
        <v>45</v>
      </c>
      <c r="BG138" s="105">
        <f t="shared" si="69"/>
        <v>1</v>
      </c>
      <c r="BH138" s="105">
        <f t="shared" si="70"/>
        <v>1</v>
      </c>
      <c r="BI138" s="105">
        <f t="shared" si="71"/>
        <v>1</v>
      </c>
      <c r="BJ138" s="105">
        <f t="shared" si="72"/>
        <v>1</v>
      </c>
      <c r="BK138" s="105">
        <f t="shared" si="73"/>
        <v>1</v>
      </c>
      <c r="BL138" s="105">
        <f t="shared" si="74"/>
        <v>1</v>
      </c>
      <c r="BM138" s="105"/>
      <c r="BO138" s="6" t="s">
        <v>987</v>
      </c>
      <c r="BP138" s="126">
        <f t="shared" si="75"/>
        <v>42.5</v>
      </c>
      <c r="BQ138" s="6">
        <f t="shared" si="76"/>
        <v>0</v>
      </c>
      <c r="BR138" s="6">
        <f t="shared" si="77"/>
        <v>0</v>
      </c>
      <c r="BS138" s="6">
        <f t="shared" si="78"/>
        <v>0</v>
      </c>
      <c r="BT138" s="6">
        <f t="shared" si="79"/>
        <v>0</v>
      </c>
      <c r="BU138" s="6">
        <f t="shared" si="80"/>
        <v>0</v>
      </c>
      <c r="BV138" s="6">
        <f t="shared" si="81"/>
        <v>0</v>
      </c>
    </row>
    <row r="139" spans="1:74" s="6" customFormat="1" x14ac:dyDescent="0.2">
      <c r="A139" s="6" t="s">
        <v>218</v>
      </c>
      <c r="B139" s="6" t="s">
        <v>232</v>
      </c>
      <c r="C139" s="6">
        <v>45</v>
      </c>
      <c r="F139" s="6" t="s">
        <v>247</v>
      </c>
      <c r="G139" s="6" t="s">
        <v>251</v>
      </c>
      <c r="H139" s="6" t="s">
        <v>238</v>
      </c>
      <c r="I139" s="6" t="s">
        <v>15</v>
      </c>
      <c r="J139" s="6" t="str">
        <f t="shared" si="57"/>
        <v>RACKPDU-RACK-R3-Z6E-R2-06-A</v>
      </c>
      <c r="K139" s="6" t="str">
        <f t="shared" si="58"/>
        <v>RACKPDU-RACK-R3-Z6E-R2-06-B</v>
      </c>
      <c r="L139" s="6">
        <v>45</v>
      </c>
      <c r="M139" s="6">
        <f>VLOOKUP($H139,'Cooling-Rack'!$A$2:$G$265,5,FALSE)</f>
        <v>38.25</v>
      </c>
      <c r="N139" s="6">
        <f>VLOOKUP($H139,'Cooling-Rack'!$A$2:$G$265,7,FALSE)</f>
        <v>6.7500000000000009</v>
      </c>
      <c r="O139" s="6">
        <v>54</v>
      </c>
      <c r="P139" s="105">
        <v>0.85</v>
      </c>
      <c r="Q139" s="105">
        <v>0.15000000000000002</v>
      </c>
      <c r="R139" s="16" t="s">
        <v>33</v>
      </c>
      <c r="S139" s="12" t="s">
        <v>28</v>
      </c>
      <c r="T139" s="6" t="s">
        <v>70</v>
      </c>
      <c r="U139" s="6" t="s">
        <v>72</v>
      </c>
      <c r="V139" s="6" t="s">
        <v>293</v>
      </c>
      <c r="W139" s="6" t="s">
        <v>294</v>
      </c>
      <c r="X139" s="6" t="s">
        <v>80</v>
      </c>
      <c r="Y139" s="6" t="s">
        <v>76</v>
      </c>
      <c r="Z139" s="6" t="s">
        <v>77</v>
      </c>
      <c r="AA139" s="6" t="s">
        <v>74</v>
      </c>
      <c r="AB139" s="6" t="s">
        <v>75</v>
      </c>
      <c r="AC139" s="6" t="s">
        <v>78</v>
      </c>
      <c r="AD139" s="6" t="s">
        <v>79</v>
      </c>
      <c r="AE139" s="6" t="s">
        <v>385</v>
      </c>
      <c r="AF139" s="6" t="s">
        <v>384</v>
      </c>
      <c r="AG139" s="6" t="s">
        <v>392</v>
      </c>
      <c r="AH139" s="6" t="s">
        <v>395</v>
      </c>
      <c r="AL139" s="6">
        <v>0</v>
      </c>
      <c r="AM139" s="6">
        <f t="shared" si="59"/>
        <v>0</v>
      </c>
      <c r="AN139" s="6">
        <f t="shared" si="60"/>
        <v>0</v>
      </c>
      <c r="AO139" s="6">
        <v>0</v>
      </c>
      <c r="AP139" s="6">
        <f t="shared" si="61"/>
        <v>0</v>
      </c>
      <c r="AQ139" s="6">
        <f t="shared" si="62"/>
        <v>0</v>
      </c>
      <c r="AS139" s="6">
        <f t="shared" si="82"/>
        <v>0</v>
      </c>
      <c r="AT139" s="6">
        <f t="shared" ref="AT139:AT202" si="83">AR139/$L139*$N139</f>
        <v>0</v>
      </c>
      <c r="BA139" s="6">
        <f t="shared" si="63"/>
        <v>45</v>
      </c>
      <c r="BB139" s="6">
        <f t="shared" si="64"/>
        <v>45</v>
      </c>
      <c r="BC139" s="6">
        <f t="shared" si="65"/>
        <v>45</v>
      </c>
      <c r="BD139" s="6">
        <f t="shared" si="66"/>
        <v>45</v>
      </c>
      <c r="BE139" s="6">
        <f t="shared" si="67"/>
        <v>45</v>
      </c>
      <c r="BF139" s="6">
        <f t="shared" si="68"/>
        <v>45</v>
      </c>
      <c r="BG139" s="105">
        <f t="shared" si="69"/>
        <v>1</v>
      </c>
      <c r="BH139" s="105">
        <f t="shared" si="70"/>
        <v>1</v>
      </c>
      <c r="BI139" s="105">
        <f t="shared" si="71"/>
        <v>1</v>
      </c>
      <c r="BJ139" s="105">
        <f t="shared" si="72"/>
        <v>1</v>
      </c>
      <c r="BK139" s="105">
        <f t="shared" si="73"/>
        <v>1</v>
      </c>
      <c r="BL139" s="105">
        <f t="shared" si="74"/>
        <v>1</v>
      </c>
      <c r="BM139" s="105"/>
      <c r="BO139" s="6" t="s">
        <v>988</v>
      </c>
      <c r="BP139" s="126">
        <f t="shared" si="75"/>
        <v>42.5</v>
      </c>
      <c r="BQ139" s="6">
        <f t="shared" si="76"/>
        <v>0</v>
      </c>
      <c r="BR139" s="6">
        <f t="shared" si="77"/>
        <v>0</v>
      </c>
      <c r="BS139" s="6">
        <f t="shared" si="78"/>
        <v>0</v>
      </c>
      <c r="BT139" s="6">
        <f t="shared" si="79"/>
        <v>0</v>
      </c>
      <c r="BU139" s="6">
        <f t="shared" si="80"/>
        <v>0</v>
      </c>
      <c r="BV139" s="6">
        <f t="shared" si="81"/>
        <v>0</v>
      </c>
    </row>
    <row r="140" spans="1:74" s="6" customFormat="1" x14ac:dyDescent="0.2">
      <c r="A140" s="6" t="s">
        <v>218</v>
      </c>
      <c r="B140" s="6" t="s">
        <v>232</v>
      </c>
      <c r="C140" s="6">
        <v>45</v>
      </c>
      <c r="F140" s="6" t="s">
        <v>247</v>
      </c>
      <c r="G140" s="6" t="s">
        <v>251</v>
      </c>
      <c r="H140" s="6" t="s">
        <v>239</v>
      </c>
      <c r="I140" s="6" t="s">
        <v>15</v>
      </c>
      <c r="J140" s="6" t="str">
        <f t="shared" si="57"/>
        <v>RACKPDU-RACK-R3-Z6E-R2-07-A</v>
      </c>
      <c r="K140" s="6" t="str">
        <f t="shared" si="58"/>
        <v>RACKPDU-RACK-R3-Z6E-R2-07-B</v>
      </c>
      <c r="L140" s="6">
        <v>45</v>
      </c>
      <c r="M140" s="6">
        <f>VLOOKUP($H140,'Cooling-Rack'!$A$2:$G$265,5,FALSE)</f>
        <v>38.25</v>
      </c>
      <c r="N140" s="6">
        <f>VLOOKUP($H140,'Cooling-Rack'!$A$2:$G$265,7,FALSE)</f>
        <v>6.7500000000000009</v>
      </c>
      <c r="O140" s="6">
        <v>54</v>
      </c>
      <c r="P140" s="105">
        <v>0.85</v>
      </c>
      <c r="Q140" s="105">
        <v>0.15000000000000002</v>
      </c>
      <c r="R140" s="14" t="s">
        <v>32</v>
      </c>
      <c r="S140" s="16" t="s">
        <v>34</v>
      </c>
      <c r="T140" s="6" t="s">
        <v>70</v>
      </c>
      <c r="U140" s="6" t="s">
        <v>72</v>
      </c>
      <c r="V140" s="6" t="s">
        <v>293</v>
      </c>
      <c r="W140" s="6" t="s">
        <v>294</v>
      </c>
      <c r="X140" s="6" t="s">
        <v>80</v>
      </c>
      <c r="Y140" s="6" t="s">
        <v>76</v>
      </c>
      <c r="Z140" s="6" t="s">
        <v>77</v>
      </c>
      <c r="AA140" s="6" t="s">
        <v>74</v>
      </c>
      <c r="AB140" s="6" t="s">
        <v>75</v>
      </c>
      <c r="AC140" s="6" t="s">
        <v>78</v>
      </c>
      <c r="AD140" s="6" t="s">
        <v>79</v>
      </c>
      <c r="AE140" s="6" t="s">
        <v>385</v>
      </c>
      <c r="AF140" s="6" t="s">
        <v>384</v>
      </c>
      <c r="AG140" s="6" t="s">
        <v>392</v>
      </c>
      <c r="AH140" s="6" t="s">
        <v>395</v>
      </c>
      <c r="AL140" s="6">
        <v>0</v>
      </c>
      <c r="AM140" s="6">
        <f t="shared" si="59"/>
        <v>0</v>
      </c>
      <c r="AN140" s="6">
        <f t="shared" si="60"/>
        <v>0</v>
      </c>
      <c r="AO140" s="6">
        <v>0</v>
      </c>
      <c r="AP140" s="6">
        <f t="shared" si="61"/>
        <v>0</v>
      </c>
      <c r="AQ140" s="6">
        <f t="shared" si="62"/>
        <v>0</v>
      </c>
      <c r="AS140" s="6">
        <f t="shared" si="82"/>
        <v>0</v>
      </c>
      <c r="AT140" s="6">
        <f t="shared" si="83"/>
        <v>0</v>
      </c>
      <c r="BA140" s="6">
        <f t="shared" si="63"/>
        <v>45</v>
      </c>
      <c r="BB140" s="6">
        <f t="shared" si="64"/>
        <v>45</v>
      </c>
      <c r="BC140" s="6">
        <f t="shared" si="65"/>
        <v>45</v>
      </c>
      <c r="BD140" s="6">
        <f t="shared" si="66"/>
        <v>45</v>
      </c>
      <c r="BE140" s="6">
        <f t="shared" si="67"/>
        <v>45</v>
      </c>
      <c r="BF140" s="6">
        <f t="shared" si="68"/>
        <v>45</v>
      </c>
      <c r="BG140" s="105">
        <f t="shared" si="69"/>
        <v>1</v>
      </c>
      <c r="BH140" s="105">
        <f t="shared" si="70"/>
        <v>1</v>
      </c>
      <c r="BI140" s="105">
        <f t="shared" si="71"/>
        <v>1</v>
      </c>
      <c r="BJ140" s="105">
        <f t="shared" si="72"/>
        <v>1</v>
      </c>
      <c r="BK140" s="105">
        <f t="shared" si="73"/>
        <v>1</v>
      </c>
      <c r="BL140" s="105">
        <f t="shared" si="74"/>
        <v>1</v>
      </c>
      <c r="BM140" s="105"/>
      <c r="BO140" s="6" t="s">
        <v>989</v>
      </c>
      <c r="BP140" s="126">
        <f t="shared" si="75"/>
        <v>42.5</v>
      </c>
      <c r="BQ140" s="6">
        <f t="shared" si="76"/>
        <v>0</v>
      </c>
      <c r="BR140" s="6">
        <f t="shared" si="77"/>
        <v>0</v>
      </c>
      <c r="BS140" s="6">
        <f t="shared" si="78"/>
        <v>0</v>
      </c>
      <c r="BT140" s="6">
        <f t="shared" si="79"/>
        <v>0</v>
      </c>
      <c r="BU140" s="6">
        <f t="shared" si="80"/>
        <v>0</v>
      </c>
      <c r="BV140" s="6">
        <f t="shared" si="81"/>
        <v>0</v>
      </c>
    </row>
    <row r="141" spans="1:74" s="6" customFormat="1" x14ac:dyDescent="0.2">
      <c r="A141" s="6" t="s">
        <v>218</v>
      </c>
      <c r="B141" s="6" t="s">
        <v>232</v>
      </c>
      <c r="C141" s="6">
        <v>45</v>
      </c>
      <c r="F141" s="6" t="s">
        <v>247</v>
      </c>
      <c r="G141" s="6" t="s">
        <v>251</v>
      </c>
      <c r="H141" s="6" t="s">
        <v>240</v>
      </c>
      <c r="I141" s="6" t="s">
        <v>15</v>
      </c>
      <c r="J141" s="6" t="str">
        <f t="shared" si="57"/>
        <v>RACKPDU-RACK-R3-Z6E-R2-08-A</v>
      </c>
      <c r="K141" s="6" t="str">
        <f t="shared" si="58"/>
        <v>RACKPDU-RACK-R3-Z6E-R2-08-B</v>
      </c>
      <c r="L141" s="6">
        <v>45</v>
      </c>
      <c r="M141" s="6">
        <f>VLOOKUP($H141,'Cooling-Rack'!$A$2:$G$265,5,FALSE)</f>
        <v>38.25</v>
      </c>
      <c r="N141" s="6">
        <f>VLOOKUP($H141,'Cooling-Rack'!$A$2:$G$265,7,FALSE)</f>
        <v>6.7500000000000009</v>
      </c>
      <c r="O141" s="6">
        <v>54</v>
      </c>
      <c r="P141" s="105">
        <v>0.85</v>
      </c>
      <c r="Q141" s="105">
        <v>0.15000000000000002</v>
      </c>
      <c r="R141" s="16" t="s">
        <v>33</v>
      </c>
      <c r="S141" s="16" t="s">
        <v>34</v>
      </c>
      <c r="T141" s="6" t="s">
        <v>70</v>
      </c>
      <c r="U141" s="6" t="s">
        <v>72</v>
      </c>
      <c r="V141" s="6" t="s">
        <v>293</v>
      </c>
      <c r="W141" s="6" t="s">
        <v>294</v>
      </c>
      <c r="X141" s="6" t="s">
        <v>80</v>
      </c>
      <c r="Y141" s="6" t="s">
        <v>76</v>
      </c>
      <c r="Z141" s="6" t="s">
        <v>77</v>
      </c>
      <c r="AA141" s="6" t="s">
        <v>74</v>
      </c>
      <c r="AB141" s="6" t="s">
        <v>75</v>
      </c>
      <c r="AC141" s="6" t="s">
        <v>78</v>
      </c>
      <c r="AD141" s="6" t="s">
        <v>79</v>
      </c>
      <c r="AE141" s="6" t="s">
        <v>385</v>
      </c>
      <c r="AF141" s="6" t="s">
        <v>384</v>
      </c>
      <c r="AG141" s="6" t="s">
        <v>392</v>
      </c>
      <c r="AH141" s="6" t="s">
        <v>395</v>
      </c>
      <c r="AL141" s="6">
        <v>0</v>
      </c>
      <c r="AM141" s="6">
        <f t="shared" si="59"/>
        <v>0</v>
      </c>
      <c r="AN141" s="6">
        <f t="shared" si="60"/>
        <v>0</v>
      </c>
      <c r="AO141" s="6">
        <v>0</v>
      </c>
      <c r="AP141" s="6">
        <f t="shared" si="61"/>
        <v>0</v>
      </c>
      <c r="AQ141" s="6">
        <f t="shared" si="62"/>
        <v>0</v>
      </c>
      <c r="AS141" s="6">
        <f t="shared" si="82"/>
        <v>0</v>
      </c>
      <c r="AT141" s="6">
        <f t="shared" si="83"/>
        <v>0</v>
      </c>
      <c r="BA141" s="6">
        <f t="shared" si="63"/>
        <v>45</v>
      </c>
      <c r="BB141" s="6">
        <f t="shared" si="64"/>
        <v>45</v>
      </c>
      <c r="BC141" s="6">
        <f t="shared" si="65"/>
        <v>45</v>
      </c>
      <c r="BD141" s="6">
        <f t="shared" si="66"/>
        <v>45</v>
      </c>
      <c r="BE141" s="6">
        <f t="shared" si="67"/>
        <v>45</v>
      </c>
      <c r="BF141" s="6">
        <f t="shared" si="68"/>
        <v>45</v>
      </c>
      <c r="BG141" s="105">
        <f t="shared" si="69"/>
        <v>1</v>
      </c>
      <c r="BH141" s="105">
        <f t="shared" si="70"/>
        <v>1</v>
      </c>
      <c r="BI141" s="105">
        <f t="shared" si="71"/>
        <v>1</v>
      </c>
      <c r="BJ141" s="105">
        <f t="shared" si="72"/>
        <v>1</v>
      </c>
      <c r="BK141" s="105">
        <f t="shared" si="73"/>
        <v>1</v>
      </c>
      <c r="BL141" s="105">
        <f t="shared" si="74"/>
        <v>1</v>
      </c>
      <c r="BM141" s="105"/>
      <c r="BO141" s="6" t="s">
        <v>990</v>
      </c>
      <c r="BP141" s="126">
        <f t="shared" si="75"/>
        <v>42.5</v>
      </c>
      <c r="BQ141" s="6">
        <f t="shared" si="76"/>
        <v>0</v>
      </c>
      <c r="BR141" s="6">
        <f t="shared" si="77"/>
        <v>0</v>
      </c>
      <c r="BS141" s="6">
        <f t="shared" si="78"/>
        <v>0</v>
      </c>
      <c r="BT141" s="6">
        <f t="shared" si="79"/>
        <v>0</v>
      </c>
      <c r="BU141" s="6">
        <f t="shared" si="80"/>
        <v>0</v>
      </c>
      <c r="BV141" s="6">
        <f t="shared" si="81"/>
        <v>0</v>
      </c>
    </row>
    <row r="142" spans="1:74" s="6" customFormat="1" x14ac:dyDescent="0.2">
      <c r="A142" s="6" t="s">
        <v>218</v>
      </c>
      <c r="B142" s="6" t="s">
        <v>232</v>
      </c>
      <c r="C142" s="6">
        <v>45</v>
      </c>
      <c r="F142" s="6" t="s">
        <v>247</v>
      </c>
      <c r="G142" s="6" t="s">
        <v>251</v>
      </c>
      <c r="H142" s="6" t="s">
        <v>241</v>
      </c>
      <c r="I142" s="6" t="s">
        <v>15</v>
      </c>
      <c r="J142" s="6" t="str">
        <f t="shared" si="57"/>
        <v>RACKPDU-RACK-R3-Z6E-R2-09-A</v>
      </c>
      <c r="K142" s="6" t="str">
        <f t="shared" si="58"/>
        <v>RACKPDU-RACK-R3-Z6E-R2-09-B</v>
      </c>
      <c r="L142" s="6">
        <v>45</v>
      </c>
      <c r="M142" s="6">
        <f>VLOOKUP($H142,'Cooling-Rack'!$A$2:$G$265,5,FALSE)</f>
        <v>38.25</v>
      </c>
      <c r="N142" s="6">
        <f>VLOOKUP($H142,'Cooling-Rack'!$A$2:$G$265,7,FALSE)</f>
        <v>6.7500000000000009</v>
      </c>
      <c r="O142" s="6">
        <v>54</v>
      </c>
      <c r="P142" s="105">
        <v>0.85</v>
      </c>
      <c r="Q142" s="105">
        <v>0.15000000000000002</v>
      </c>
      <c r="R142" s="14" t="s">
        <v>32</v>
      </c>
      <c r="S142" s="16" t="s">
        <v>34</v>
      </c>
      <c r="T142" s="6" t="s">
        <v>70</v>
      </c>
      <c r="U142" s="6" t="s">
        <v>72</v>
      </c>
      <c r="V142" s="6" t="s">
        <v>293</v>
      </c>
      <c r="W142" s="6" t="s">
        <v>294</v>
      </c>
      <c r="X142" s="6" t="s">
        <v>80</v>
      </c>
      <c r="Y142" s="6" t="s">
        <v>76</v>
      </c>
      <c r="Z142" s="6" t="s">
        <v>77</v>
      </c>
      <c r="AA142" s="6" t="s">
        <v>74</v>
      </c>
      <c r="AB142" s="6" t="s">
        <v>75</v>
      </c>
      <c r="AC142" s="6" t="s">
        <v>78</v>
      </c>
      <c r="AD142" s="6" t="s">
        <v>79</v>
      </c>
      <c r="AE142" s="6" t="s">
        <v>385</v>
      </c>
      <c r="AF142" s="6" t="s">
        <v>384</v>
      </c>
      <c r="AG142" s="6" t="s">
        <v>392</v>
      </c>
      <c r="AH142" s="6" t="s">
        <v>395</v>
      </c>
      <c r="AL142" s="6">
        <v>0</v>
      </c>
      <c r="AM142" s="6">
        <f t="shared" si="59"/>
        <v>0</v>
      </c>
      <c r="AN142" s="6">
        <f t="shared" si="60"/>
        <v>0</v>
      </c>
      <c r="AO142" s="6">
        <v>0</v>
      </c>
      <c r="AP142" s="6">
        <f t="shared" si="61"/>
        <v>0</v>
      </c>
      <c r="AQ142" s="6">
        <f t="shared" si="62"/>
        <v>0</v>
      </c>
      <c r="AS142" s="6">
        <f t="shared" si="82"/>
        <v>0</v>
      </c>
      <c r="AT142" s="6">
        <f t="shared" si="83"/>
        <v>0</v>
      </c>
      <c r="BA142" s="6">
        <f t="shared" si="63"/>
        <v>45</v>
      </c>
      <c r="BB142" s="6">
        <f t="shared" si="64"/>
        <v>45</v>
      </c>
      <c r="BC142" s="6">
        <f t="shared" si="65"/>
        <v>45</v>
      </c>
      <c r="BD142" s="6">
        <f t="shared" si="66"/>
        <v>45</v>
      </c>
      <c r="BE142" s="6">
        <f t="shared" si="67"/>
        <v>45</v>
      </c>
      <c r="BF142" s="6">
        <f t="shared" si="68"/>
        <v>45</v>
      </c>
      <c r="BG142" s="105">
        <f t="shared" si="69"/>
        <v>1</v>
      </c>
      <c r="BH142" s="105">
        <f t="shared" si="70"/>
        <v>1</v>
      </c>
      <c r="BI142" s="105">
        <f t="shared" si="71"/>
        <v>1</v>
      </c>
      <c r="BJ142" s="105">
        <f t="shared" si="72"/>
        <v>1</v>
      </c>
      <c r="BK142" s="105">
        <f t="shared" si="73"/>
        <v>1</v>
      </c>
      <c r="BL142" s="105">
        <f t="shared" si="74"/>
        <v>1</v>
      </c>
      <c r="BM142" s="105"/>
      <c r="BO142" s="6" t="s">
        <v>991</v>
      </c>
      <c r="BP142" s="126">
        <f t="shared" si="75"/>
        <v>42.5</v>
      </c>
      <c r="BQ142" s="6">
        <f t="shared" si="76"/>
        <v>0</v>
      </c>
      <c r="BR142" s="6">
        <f t="shared" si="77"/>
        <v>0</v>
      </c>
      <c r="BS142" s="6">
        <f t="shared" si="78"/>
        <v>0</v>
      </c>
      <c r="BT142" s="6">
        <f t="shared" si="79"/>
        <v>0</v>
      </c>
      <c r="BU142" s="6">
        <f t="shared" si="80"/>
        <v>0</v>
      </c>
      <c r="BV142" s="6">
        <f t="shared" si="81"/>
        <v>0</v>
      </c>
    </row>
    <row r="143" spans="1:74" s="6" customFormat="1" x14ac:dyDescent="0.2">
      <c r="A143" s="6" t="s">
        <v>218</v>
      </c>
      <c r="B143" s="6" t="s">
        <v>232</v>
      </c>
      <c r="C143" s="6">
        <v>45</v>
      </c>
      <c r="F143" s="6" t="s">
        <v>247</v>
      </c>
      <c r="G143" s="6" t="s">
        <v>251</v>
      </c>
      <c r="H143" s="6" t="s">
        <v>242</v>
      </c>
      <c r="I143" s="6" t="s">
        <v>15</v>
      </c>
      <c r="J143" s="6" t="str">
        <f t="shared" si="57"/>
        <v>RACKPDU-RACK-R3-Z6E-R2-10-A</v>
      </c>
      <c r="K143" s="6" t="str">
        <f t="shared" si="58"/>
        <v>RACKPDU-RACK-R3-Z6E-R2-10-B</v>
      </c>
      <c r="L143" s="6">
        <v>45</v>
      </c>
      <c r="M143" s="6">
        <f>VLOOKUP($H143,'Cooling-Rack'!$A$2:$G$265,5,FALSE)</f>
        <v>38.25</v>
      </c>
      <c r="N143" s="6">
        <f>VLOOKUP($H143,'Cooling-Rack'!$A$2:$G$265,7,FALSE)</f>
        <v>6.7500000000000009</v>
      </c>
      <c r="O143" s="6">
        <v>54</v>
      </c>
      <c r="P143" s="105">
        <v>0.85</v>
      </c>
      <c r="Q143" s="105">
        <v>0.15000000000000002</v>
      </c>
      <c r="R143" s="16" t="s">
        <v>33</v>
      </c>
      <c r="S143" s="16" t="s">
        <v>34</v>
      </c>
      <c r="T143" s="6" t="s">
        <v>70</v>
      </c>
      <c r="U143" s="6" t="s">
        <v>72</v>
      </c>
      <c r="V143" s="6" t="s">
        <v>293</v>
      </c>
      <c r="W143" s="6" t="s">
        <v>294</v>
      </c>
      <c r="X143" s="6" t="s">
        <v>80</v>
      </c>
      <c r="Y143" s="6" t="s">
        <v>76</v>
      </c>
      <c r="Z143" s="6" t="s">
        <v>77</v>
      </c>
      <c r="AA143" s="6" t="s">
        <v>74</v>
      </c>
      <c r="AB143" s="6" t="s">
        <v>75</v>
      </c>
      <c r="AC143" s="6" t="s">
        <v>78</v>
      </c>
      <c r="AD143" s="6" t="s">
        <v>79</v>
      </c>
      <c r="AE143" s="6" t="s">
        <v>385</v>
      </c>
      <c r="AF143" s="6" t="s">
        <v>384</v>
      </c>
      <c r="AG143" s="6" t="s">
        <v>392</v>
      </c>
      <c r="AH143" s="6" t="s">
        <v>395</v>
      </c>
      <c r="AL143" s="6">
        <v>0</v>
      </c>
      <c r="AM143" s="6">
        <f t="shared" si="59"/>
        <v>0</v>
      </c>
      <c r="AN143" s="6">
        <f t="shared" si="60"/>
        <v>0</v>
      </c>
      <c r="AO143" s="6">
        <v>0</v>
      </c>
      <c r="AP143" s="6">
        <f t="shared" si="61"/>
        <v>0</v>
      </c>
      <c r="AQ143" s="6">
        <f t="shared" si="62"/>
        <v>0</v>
      </c>
      <c r="AS143" s="6">
        <f t="shared" si="82"/>
        <v>0</v>
      </c>
      <c r="AT143" s="6">
        <f t="shared" si="83"/>
        <v>0</v>
      </c>
      <c r="BA143" s="6">
        <f t="shared" si="63"/>
        <v>45</v>
      </c>
      <c r="BB143" s="6">
        <f t="shared" si="64"/>
        <v>45</v>
      </c>
      <c r="BC143" s="6">
        <f t="shared" si="65"/>
        <v>45</v>
      </c>
      <c r="BD143" s="6">
        <f t="shared" si="66"/>
        <v>45</v>
      </c>
      <c r="BE143" s="6">
        <f t="shared" si="67"/>
        <v>45</v>
      </c>
      <c r="BF143" s="6">
        <f t="shared" si="68"/>
        <v>45</v>
      </c>
      <c r="BG143" s="105">
        <f t="shared" si="69"/>
        <v>1</v>
      </c>
      <c r="BH143" s="105">
        <f t="shared" si="70"/>
        <v>1</v>
      </c>
      <c r="BI143" s="105">
        <f t="shared" si="71"/>
        <v>1</v>
      </c>
      <c r="BJ143" s="105">
        <f t="shared" si="72"/>
        <v>1</v>
      </c>
      <c r="BK143" s="105">
        <f t="shared" si="73"/>
        <v>1</v>
      </c>
      <c r="BL143" s="105">
        <f t="shared" si="74"/>
        <v>1</v>
      </c>
      <c r="BM143" s="105"/>
      <c r="BO143" s="6" t="s">
        <v>992</v>
      </c>
      <c r="BP143" s="126">
        <f t="shared" si="75"/>
        <v>42.5</v>
      </c>
      <c r="BQ143" s="6">
        <f t="shared" si="76"/>
        <v>0</v>
      </c>
      <c r="BR143" s="6">
        <f t="shared" si="77"/>
        <v>0</v>
      </c>
      <c r="BS143" s="6">
        <f t="shared" si="78"/>
        <v>0</v>
      </c>
      <c r="BT143" s="6">
        <f t="shared" si="79"/>
        <v>0</v>
      </c>
      <c r="BU143" s="6">
        <f t="shared" si="80"/>
        <v>0</v>
      </c>
      <c r="BV143" s="6">
        <f t="shared" si="81"/>
        <v>0</v>
      </c>
    </row>
    <row r="144" spans="1:74" s="6" customFormat="1" x14ac:dyDescent="0.2">
      <c r="A144" s="6" t="s">
        <v>218</v>
      </c>
      <c r="B144" s="6" t="s">
        <v>232</v>
      </c>
      <c r="C144" s="6">
        <v>45</v>
      </c>
      <c r="F144" s="6" t="s">
        <v>247</v>
      </c>
      <c r="G144" s="6" t="s">
        <v>251</v>
      </c>
      <c r="H144" s="6" t="s">
        <v>243</v>
      </c>
      <c r="I144" s="6" t="s">
        <v>15</v>
      </c>
      <c r="J144" s="6" t="str">
        <f t="shared" si="57"/>
        <v>RACKPDU-RACK-R3-Z6E-R2-11-A</v>
      </c>
      <c r="K144" s="6" t="str">
        <f t="shared" si="58"/>
        <v>RACKPDU-RACK-R3-Z6E-R2-11-B</v>
      </c>
      <c r="L144" s="6">
        <v>45</v>
      </c>
      <c r="M144" s="6">
        <f>VLOOKUP($H144,'Cooling-Rack'!$A$2:$G$265,5,FALSE)</f>
        <v>38.25</v>
      </c>
      <c r="N144" s="6">
        <f>VLOOKUP($H144,'Cooling-Rack'!$A$2:$G$265,7,FALSE)</f>
        <v>6.7500000000000009</v>
      </c>
      <c r="O144" s="6">
        <v>54</v>
      </c>
      <c r="P144" s="105">
        <v>0.85</v>
      </c>
      <c r="Q144" s="105">
        <v>0.15000000000000002</v>
      </c>
      <c r="R144" s="14" t="s">
        <v>32</v>
      </c>
      <c r="S144" s="16" t="s">
        <v>34</v>
      </c>
      <c r="T144" s="6" t="s">
        <v>70</v>
      </c>
      <c r="U144" s="6" t="s">
        <v>72</v>
      </c>
      <c r="V144" s="6" t="s">
        <v>293</v>
      </c>
      <c r="W144" s="6" t="s">
        <v>294</v>
      </c>
      <c r="X144" s="6" t="s">
        <v>80</v>
      </c>
      <c r="Y144" s="6" t="s">
        <v>76</v>
      </c>
      <c r="Z144" s="6" t="s">
        <v>77</v>
      </c>
      <c r="AA144" s="6" t="s">
        <v>74</v>
      </c>
      <c r="AB144" s="6" t="s">
        <v>75</v>
      </c>
      <c r="AC144" s="6" t="s">
        <v>78</v>
      </c>
      <c r="AD144" s="6" t="s">
        <v>79</v>
      </c>
      <c r="AE144" s="6" t="s">
        <v>385</v>
      </c>
      <c r="AF144" s="6" t="s">
        <v>384</v>
      </c>
      <c r="AG144" s="6" t="s">
        <v>392</v>
      </c>
      <c r="AH144" s="6" t="s">
        <v>395</v>
      </c>
      <c r="AL144" s="6">
        <v>0</v>
      </c>
      <c r="AM144" s="6">
        <f t="shared" si="59"/>
        <v>0</v>
      </c>
      <c r="AN144" s="6">
        <f t="shared" si="60"/>
        <v>0</v>
      </c>
      <c r="AO144" s="6">
        <v>0</v>
      </c>
      <c r="AP144" s="6">
        <f t="shared" si="61"/>
        <v>0</v>
      </c>
      <c r="AQ144" s="6">
        <f t="shared" si="62"/>
        <v>0</v>
      </c>
      <c r="AS144" s="6">
        <f t="shared" si="82"/>
        <v>0</v>
      </c>
      <c r="AT144" s="6">
        <f t="shared" si="83"/>
        <v>0</v>
      </c>
      <c r="BA144" s="6">
        <f t="shared" si="63"/>
        <v>45</v>
      </c>
      <c r="BB144" s="6">
        <f t="shared" si="64"/>
        <v>45</v>
      </c>
      <c r="BC144" s="6">
        <f t="shared" si="65"/>
        <v>45</v>
      </c>
      <c r="BD144" s="6">
        <f t="shared" si="66"/>
        <v>45</v>
      </c>
      <c r="BE144" s="6">
        <f t="shared" si="67"/>
        <v>45</v>
      </c>
      <c r="BF144" s="6">
        <f t="shared" si="68"/>
        <v>45</v>
      </c>
      <c r="BG144" s="105">
        <f t="shared" si="69"/>
        <v>1</v>
      </c>
      <c r="BH144" s="105">
        <f t="shared" si="70"/>
        <v>1</v>
      </c>
      <c r="BI144" s="105">
        <f t="shared" si="71"/>
        <v>1</v>
      </c>
      <c r="BJ144" s="105">
        <f t="shared" si="72"/>
        <v>1</v>
      </c>
      <c r="BK144" s="105">
        <f t="shared" si="73"/>
        <v>1</v>
      </c>
      <c r="BL144" s="105">
        <f t="shared" si="74"/>
        <v>1</v>
      </c>
      <c r="BM144" s="105"/>
      <c r="BO144" s="6" t="s">
        <v>993</v>
      </c>
      <c r="BP144" s="126">
        <f t="shared" si="75"/>
        <v>42.5</v>
      </c>
      <c r="BQ144" s="6">
        <f t="shared" si="76"/>
        <v>0</v>
      </c>
      <c r="BR144" s="6">
        <f t="shared" si="77"/>
        <v>0</v>
      </c>
      <c r="BS144" s="6">
        <f t="shared" si="78"/>
        <v>0</v>
      </c>
      <c r="BT144" s="6">
        <f t="shared" si="79"/>
        <v>0</v>
      </c>
      <c r="BU144" s="6">
        <f t="shared" si="80"/>
        <v>0</v>
      </c>
      <c r="BV144" s="6">
        <f t="shared" si="81"/>
        <v>0</v>
      </c>
    </row>
    <row r="145" spans="1:74" s="6" customFormat="1" x14ac:dyDescent="0.2">
      <c r="A145" s="6" t="s">
        <v>218</v>
      </c>
      <c r="B145" s="6" t="s">
        <v>232</v>
      </c>
      <c r="C145" s="6">
        <v>45</v>
      </c>
      <c r="F145" s="6" t="s">
        <v>247</v>
      </c>
      <c r="G145" s="6" t="s">
        <v>251</v>
      </c>
      <c r="H145" s="6" t="s">
        <v>244</v>
      </c>
      <c r="I145" s="6" t="s">
        <v>15</v>
      </c>
      <c r="J145" s="6" t="str">
        <f t="shared" si="57"/>
        <v>RACKPDU-RACK-R3-Z6E-R2-12-A</v>
      </c>
      <c r="K145" s="6" t="str">
        <f t="shared" si="58"/>
        <v>RACKPDU-RACK-R3-Z6E-R2-12-B</v>
      </c>
      <c r="L145" s="6">
        <v>45</v>
      </c>
      <c r="M145" s="6">
        <f>VLOOKUP($H145,'Cooling-Rack'!$A$2:$G$265,5,FALSE)</f>
        <v>38.25</v>
      </c>
      <c r="N145" s="6">
        <f>VLOOKUP($H145,'Cooling-Rack'!$A$2:$G$265,7,FALSE)</f>
        <v>6.7500000000000009</v>
      </c>
      <c r="O145" s="6">
        <v>54</v>
      </c>
      <c r="P145" s="105">
        <v>0.85</v>
      </c>
      <c r="Q145" s="105">
        <v>0.15000000000000002</v>
      </c>
      <c r="R145" s="16" t="s">
        <v>33</v>
      </c>
      <c r="S145" s="16" t="s">
        <v>34</v>
      </c>
      <c r="T145" s="6" t="s">
        <v>70</v>
      </c>
      <c r="U145" s="6" t="s">
        <v>72</v>
      </c>
      <c r="V145" s="6" t="s">
        <v>293</v>
      </c>
      <c r="W145" s="6" t="s">
        <v>294</v>
      </c>
      <c r="X145" s="6" t="s">
        <v>80</v>
      </c>
      <c r="Y145" s="6" t="s">
        <v>76</v>
      </c>
      <c r="Z145" s="6" t="s">
        <v>77</v>
      </c>
      <c r="AA145" s="6" t="s">
        <v>74</v>
      </c>
      <c r="AB145" s="6" t="s">
        <v>75</v>
      </c>
      <c r="AC145" s="6" t="s">
        <v>78</v>
      </c>
      <c r="AD145" s="6" t="s">
        <v>79</v>
      </c>
      <c r="AE145" s="6" t="s">
        <v>385</v>
      </c>
      <c r="AF145" s="6" t="s">
        <v>384</v>
      </c>
      <c r="AG145" s="6" t="s">
        <v>392</v>
      </c>
      <c r="AH145" s="6" t="s">
        <v>395</v>
      </c>
      <c r="AL145" s="6">
        <v>0</v>
      </c>
      <c r="AM145" s="6">
        <f t="shared" si="59"/>
        <v>0</v>
      </c>
      <c r="AN145" s="6">
        <f t="shared" si="60"/>
        <v>0</v>
      </c>
      <c r="AO145" s="6">
        <v>0</v>
      </c>
      <c r="AP145" s="6">
        <f t="shared" si="61"/>
        <v>0</v>
      </c>
      <c r="AQ145" s="6">
        <f t="shared" si="62"/>
        <v>0</v>
      </c>
      <c r="AS145" s="6">
        <f t="shared" si="82"/>
        <v>0</v>
      </c>
      <c r="AT145" s="6">
        <f t="shared" si="83"/>
        <v>0</v>
      </c>
      <c r="BA145" s="6">
        <f t="shared" si="63"/>
        <v>45</v>
      </c>
      <c r="BB145" s="6">
        <f t="shared" si="64"/>
        <v>45</v>
      </c>
      <c r="BC145" s="6">
        <f t="shared" si="65"/>
        <v>45</v>
      </c>
      <c r="BD145" s="6">
        <f t="shared" si="66"/>
        <v>45</v>
      </c>
      <c r="BE145" s="6">
        <f t="shared" si="67"/>
        <v>45</v>
      </c>
      <c r="BF145" s="6">
        <f t="shared" si="68"/>
        <v>45</v>
      </c>
      <c r="BG145" s="105">
        <f t="shared" si="69"/>
        <v>1</v>
      </c>
      <c r="BH145" s="105">
        <f t="shared" si="70"/>
        <v>1</v>
      </c>
      <c r="BI145" s="105">
        <f t="shared" si="71"/>
        <v>1</v>
      </c>
      <c r="BJ145" s="105">
        <f t="shared" si="72"/>
        <v>1</v>
      </c>
      <c r="BK145" s="105">
        <f t="shared" si="73"/>
        <v>1</v>
      </c>
      <c r="BL145" s="105">
        <f t="shared" si="74"/>
        <v>1</v>
      </c>
      <c r="BM145" s="105"/>
      <c r="BO145" s="6" t="s">
        <v>994</v>
      </c>
      <c r="BP145" s="126">
        <f t="shared" si="75"/>
        <v>42.5</v>
      </c>
      <c r="BQ145" s="6">
        <f t="shared" si="76"/>
        <v>0</v>
      </c>
      <c r="BR145" s="6">
        <f t="shared" si="77"/>
        <v>0</v>
      </c>
      <c r="BS145" s="6">
        <f t="shared" si="78"/>
        <v>0</v>
      </c>
      <c r="BT145" s="6">
        <f t="shared" si="79"/>
        <v>0</v>
      </c>
      <c r="BU145" s="6">
        <f t="shared" si="80"/>
        <v>0</v>
      </c>
      <c r="BV145" s="6">
        <f t="shared" si="81"/>
        <v>0</v>
      </c>
    </row>
    <row r="146" spans="1:74" s="4" customFormat="1" x14ac:dyDescent="0.2">
      <c r="A146" s="4" t="s">
        <v>37</v>
      </c>
      <c r="B146" s="4" t="s">
        <v>38</v>
      </c>
      <c r="C146" s="4">
        <v>20</v>
      </c>
      <c r="F146" s="4" t="s">
        <v>252</v>
      </c>
      <c r="G146" s="4" t="s">
        <v>253</v>
      </c>
      <c r="H146" s="4" t="s">
        <v>40</v>
      </c>
      <c r="I146" s="4" t="s">
        <v>39</v>
      </c>
      <c r="J146" s="4" t="str">
        <f t="shared" si="57"/>
        <v>RACKPDU-RACK-R4-Z1-R1-01-A</v>
      </c>
      <c r="K146" s="4" t="str">
        <f t="shared" si="58"/>
        <v>RACKPDU-RACK-R4-Z1-R1-01-B</v>
      </c>
      <c r="L146" s="4">
        <v>20</v>
      </c>
      <c r="M146" s="4">
        <f>VLOOKUP($H146,'Cooling-Rack'!$A$2:$G$265,5,FALSE)</f>
        <v>14</v>
      </c>
      <c r="N146" s="4">
        <f>VLOOKUP($H146,'Cooling-Rack'!$A$2:$G$265,7,FALSE)</f>
        <v>6.0000000000000009</v>
      </c>
      <c r="O146" s="4">
        <f t="shared" ref="O146:O169" si="84">INT(L146/0.8+0.5)</f>
        <v>25</v>
      </c>
      <c r="P146" s="106">
        <v>0.7</v>
      </c>
      <c r="Q146" s="106">
        <v>0.30000000000000004</v>
      </c>
      <c r="R146" s="20" t="s">
        <v>64</v>
      </c>
      <c r="S146" s="20" t="s">
        <v>66</v>
      </c>
      <c r="T146" s="20" t="s">
        <v>73</v>
      </c>
      <c r="U146" s="4" t="s">
        <v>72</v>
      </c>
      <c r="V146" s="4" t="s">
        <v>293</v>
      </c>
      <c r="W146" s="4" t="s">
        <v>294</v>
      </c>
      <c r="X146" s="4" t="s">
        <v>80</v>
      </c>
      <c r="Y146" s="4" t="s">
        <v>76</v>
      </c>
      <c r="Z146" s="4" t="s">
        <v>77</v>
      </c>
      <c r="AA146" s="4" t="s">
        <v>74</v>
      </c>
      <c r="AB146" s="4" t="s">
        <v>75</v>
      </c>
      <c r="AC146" s="4" t="s">
        <v>78</v>
      </c>
      <c r="AD146" s="4" t="s">
        <v>79</v>
      </c>
      <c r="AE146" s="4" t="s">
        <v>386</v>
      </c>
      <c r="AF146" s="4" t="s">
        <v>389</v>
      </c>
      <c r="AG146" s="4" t="s">
        <v>392</v>
      </c>
      <c r="AH146" s="4" t="s">
        <v>395</v>
      </c>
      <c r="AL146" s="4">
        <v>0</v>
      </c>
      <c r="AM146" s="4">
        <f t="shared" si="59"/>
        <v>0</v>
      </c>
      <c r="AN146" s="4">
        <f t="shared" si="60"/>
        <v>0</v>
      </c>
      <c r="AO146" s="4">
        <v>0</v>
      </c>
      <c r="AP146" s="4">
        <f t="shared" si="61"/>
        <v>0</v>
      </c>
      <c r="AQ146" s="4">
        <f t="shared" si="62"/>
        <v>0</v>
      </c>
      <c r="AS146" s="4">
        <f t="shared" si="82"/>
        <v>0</v>
      </c>
      <c r="AT146" s="4">
        <f t="shared" si="83"/>
        <v>0</v>
      </c>
      <c r="BA146" s="4">
        <f t="shared" si="63"/>
        <v>20</v>
      </c>
      <c r="BB146" s="4">
        <f t="shared" si="64"/>
        <v>20</v>
      </c>
      <c r="BC146" s="4">
        <f t="shared" si="65"/>
        <v>20</v>
      </c>
      <c r="BD146" s="4">
        <f t="shared" si="66"/>
        <v>20</v>
      </c>
      <c r="BE146" s="4">
        <f t="shared" si="67"/>
        <v>20</v>
      </c>
      <c r="BF146" s="4">
        <f t="shared" si="68"/>
        <v>20</v>
      </c>
      <c r="BG146" s="106">
        <f t="shared" si="69"/>
        <v>1</v>
      </c>
      <c r="BH146" s="106">
        <f t="shared" si="70"/>
        <v>1</v>
      </c>
      <c r="BI146" s="106">
        <f t="shared" si="71"/>
        <v>1</v>
      </c>
      <c r="BJ146" s="106">
        <f t="shared" si="72"/>
        <v>1</v>
      </c>
      <c r="BK146" s="106">
        <f t="shared" si="73"/>
        <v>1</v>
      </c>
      <c r="BL146" s="106">
        <f t="shared" si="74"/>
        <v>1</v>
      </c>
      <c r="BM146" s="106"/>
      <c r="BO146" s="4" t="s">
        <v>995</v>
      </c>
      <c r="BP146" s="127">
        <f t="shared" si="75"/>
        <v>15.555555555555555</v>
      </c>
      <c r="BQ146" s="4">
        <f t="shared" si="76"/>
        <v>0</v>
      </c>
      <c r="BR146" s="4">
        <f t="shared" si="77"/>
        <v>0</v>
      </c>
      <c r="BS146" s="4">
        <f t="shared" si="78"/>
        <v>0</v>
      </c>
      <c r="BT146" s="4">
        <f t="shared" si="79"/>
        <v>0</v>
      </c>
      <c r="BU146" s="4">
        <f t="shared" si="80"/>
        <v>0</v>
      </c>
      <c r="BV146" s="4">
        <f t="shared" si="81"/>
        <v>0</v>
      </c>
    </row>
    <row r="147" spans="1:74" s="4" customFormat="1" x14ac:dyDescent="0.2">
      <c r="A147" s="4" t="s">
        <v>37</v>
      </c>
      <c r="B147" s="4" t="s">
        <v>38</v>
      </c>
      <c r="C147" s="4">
        <v>20</v>
      </c>
      <c r="F147" s="4" t="s">
        <v>252</v>
      </c>
      <c r="G147" s="4" t="s">
        <v>253</v>
      </c>
      <c r="H147" s="4" t="s">
        <v>41</v>
      </c>
      <c r="I147" s="4" t="s">
        <v>39</v>
      </c>
      <c r="J147" s="4" t="str">
        <f t="shared" si="57"/>
        <v>RACKPDU-RACK-R4-Z1-R1-02-A</v>
      </c>
      <c r="K147" s="4" t="str">
        <f t="shared" si="58"/>
        <v>RACKPDU-RACK-R4-Z1-R1-02-B</v>
      </c>
      <c r="L147" s="4">
        <v>20</v>
      </c>
      <c r="M147" s="4">
        <f>VLOOKUP($H147,'Cooling-Rack'!$A$2:$G$265,5,FALSE)</f>
        <v>14</v>
      </c>
      <c r="N147" s="4">
        <f>VLOOKUP($H147,'Cooling-Rack'!$A$2:$G$265,7,FALSE)</f>
        <v>6.0000000000000009</v>
      </c>
      <c r="O147" s="4">
        <f t="shared" si="84"/>
        <v>25</v>
      </c>
      <c r="P147" s="106">
        <v>0.7</v>
      </c>
      <c r="Q147" s="106">
        <v>0.30000000000000004</v>
      </c>
      <c r="R147" s="22" t="s">
        <v>65</v>
      </c>
      <c r="S147" s="22" t="s">
        <v>67</v>
      </c>
      <c r="T147" s="20" t="s">
        <v>73</v>
      </c>
      <c r="U147" s="4" t="s">
        <v>72</v>
      </c>
      <c r="V147" s="4" t="s">
        <v>293</v>
      </c>
      <c r="W147" s="4" t="s">
        <v>294</v>
      </c>
      <c r="X147" s="4" t="s">
        <v>80</v>
      </c>
      <c r="Y147" s="4" t="s">
        <v>76</v>
      </c>
      <c r="Z147" s="4" t="s">
        <v>77</v>
      </c>
      <c r="AA147" s="4" t="s">
        <v>74</v>
      </c>
      <c r="AB147" s="4" t="s">
        <v>75</v>
      </c>
      <c r="AC147" s="4" t="s">
        <v>78</v>
      </c>
      <c r="AD147" s="4" t="s">
        <v>79</v>
      </c>
      <c r="AE147" s="4" t="s">
        <v>386</v>
      </c>
      <c r="AF147" s="4" t="s">
        <v>389</v>
      </c>
      <c r="AG147" s="4" t="s">
        <v>392</v>
      </c>
      <c r="AH147" s="4" t="s">
        <v>395</v>
      </c>
      <c r="AL147" s="4">
        <v>0</v>
      </c>
      <c r="AM147" s="4">
        <f t="shared" si="59"/>
        <v>0</v>
      </c>
      <c r="AN147" s="4">
        <f t="shared" si="60"/>
        <v>0</v>
      </c>
      <c r="AO147" s="4">
        <v>0</v>
      </c>
      <c r="AP147" s="4">
        <f t="shared" si="61"/>
        <v>0</v>
      </c>
      <c r="AQ147" s="4">
        <f t="shared" si="62"/>
        <v>0</v>
      </c>
      <c r="AS147" s="4">
        <f t="shared" si="82"/>
        <v>0</v>
      </c>
      <c r="AT147" s="4">
        <f t="shared" si="83"/>
        <v>0</v>
      </c>
      <c r="BA147" s="4">
        <f t="shared" si="63"/>
        <v>20</v>
      </c>
      <c r="BB147" s="4">
        <f t="shared" si="64"/>
        <v>20</v>
      </c>
      <c r="BC147" s="4">
        <f t="shared" si="65"/>
        <v>20</v>
      </c>
      <c r="BD147" s="4">
        <f t="shared" si="66"/>
        <v>20</v>
      </c>
      <c r="BE147" s="4">
        <f t="shared" si="67"/>
        <v>20</v>
      </c>
      <c r="BF147" s="4">
        <f t="shared" si="68"/>
        <v>20</v>
      </c>
      <c r="BG147" s="106">
        <f t="shared" si="69"/>
        <v>1</v>
      </c>
      <c r="BH147" s="106">
        <f t="shared" si="70"/>
        <v>1</v>
      </c>
      <c r="BI147" s="106">
        <f t="shared" si="71"/>
        <v>1</v>
      </c>
      <c r="BJ147" s="106">
        <f t="shared" si="72"/>
        <v>1</v>
      </c>
      <c r="BK147" s="106">
        <f t="shared" si="73"/>
        <v>1</v>
      </c>
      <c r="BL147" s="106">
        <f t="shared" si="74"/>
        <v>1</v>
      </c>
      <c r="BM147" s="106"/>
      <c r="BO147" s="4" t="s">
        <v>996</v>
      </c>
      <c r="BP147" s="127">
        <f t="shared" si="75"/>
        <v>15.555555555555555</v>
      </c>
      <c r="BQ147" s="4">
        <f t="shared" si="76"/>
        <v>0</v>
      </c>
      <c r="BR147" s="4">
        <f t="shared" si="77"/>
        <v>0</v>
      </c>
      <c r="BS147" s="4">
        <f t="shared" si="78"/>
        <v>0</v>
      </c>
      <c r="BT147" s="4">
        <f t="shared" si="79"/>
        <v>0</v>
      </c>
      <c r="BU147" s="4">
        <f t="shared" si="80"/>
        <v>0</v>
      </c>
      <c r="BV147" s="4">
        <f t="shared" si="81"/>
        <v>0</v>
      </c>
    </row>
    <row r="148" spans="1:74" s="4" customFormat="1" x14ac:dyDescent="0.2">
      <c r="A148" s="4" t="s">
        <v>37</v>
      </c>
      <c r="B148" s="4" t="s">
        <v>38</v>
      </c>
      <c r="C148" s="4">
        <v>20</v>
      </c>
      <c r="F148" s="4" t="s">
        <v>252</v>
      </c>
      <c r="G148" s="4" t="s">
        <v>253</v>
      </c>
      <c r="H148" s="4" t="s">
        <v>42</v>
      </c>
      <c r="I148" s="4" t="s">
        <v>39</v>
      </c>
      <c r="J148" s="4" t="str">
        <f t="shared" si="57"/>
        <v>RACKPDU-RACK-R4-Z1-R1-03-A</v>
      </c>
      <c r="K148" s="4" t="str">
        <f t="shared" si="58"/>
        <v>RACKPDU-RACK-R4-Z1-R1-03-B</v>
      </c>
      <c r="L148" s="4">
        <v>20</v>
      </c>
      <c r="M148" s="4">
        <f>VLOOKUP($H148,'Cooling-Rack'!$A$2:$G$265,5,FALSE)</f>
        <v>14</v>
      </c>
      <c r="N148" s="4">
        <f>VLOOKUP($H148,'Cooling-Rack'!$A$2:$G$265,7,FALSE)</f>
        <v>6.0000000000000009</v>
      </c>
      <c r="O148" s="4">
        <f t="shared" si="84"/>
        <v>25</v>
      </c>
      <c r="P148" s="106">
        <v>0.7</v>
      </c>
      <c r="Q148" s="106">
        <v>0.30000000000000004</v>
      </c>
      <c r="R148" s="20" t="s">
        <v>64</v>
      </c>
      <c r="S148" s="20" t="s">
        <v>66</v>
      </c>
      <c r="T148" s="20" t="s">
        <v>73</v>
      </c>
      <c r="U148" s="4" t="s">
        <v>72</v>
      </c>
      <c r="V148" s="4" t="s">
        <v>293</v>
      </c>
      <c r="W148" s="4" t="s">
        <v>294</v>
      </c>
      <c r="X148" s="4" t="s">
        <v>80</v>
      </c>
      <c r="Y148" s="4" t="s">
        <v>76</v>
      </c>
      <c r="Z148" s="4" t="s">
        <v>77</v>
      </c>
      <c r="AA148" s="4" t="s">
        <v>74</v>
      </c>
      <c r="AB148" s="4" t="s">
        <v>75</v>
      </c>
      <c r="AC148" s="4" t="s">
        <v>78</v>
      </c>
      <c r="AD148" s="4" t="s">
        <v>79</v>
      </c>
      <c r="AE148" s="4" t="s">
        <v>386</v>
      </c>
      <c r="AF148" s="4" t="s">
        <v>389</v>
      </c>
      <c r="AG148" s="4" t="s">
        <v>392</v>
      </c>
      <c r="AH148" s="4" t="s">
        <v>395</v>
      </c>
      <c r="AL148" s="4">
        <v>0</v>
      </c>
      <c r="AM148" s="4">
        <f t="shared" si="59"/>
        <v>0</v>
      </c>
      <c r="AN148" s="4">
        <f t="shared" si="60"/>
        <v>0</v>
      </c>
      <c r="AO148" s="4">
        <v>0</v>
      </c>
      <c r="AP148" s="4">
        <f t="shared" si="61"/>
        <v>0</v>
      </c>
      <c r="AQ148" s="4">
        <f t="shared" si="62"/>
        <v>0</v>
      </c>
      <c r="AS148" s="4">
        <f t="shared" si="82"/>
        <v>0</v>
      </c>
      <c r="AT148" s="4">
        <f t="shared" si="83"/>
        <v>0</v>
      </c>
      <c r="BA148" s="4">
        <f t="shared" si="63"/>
        <v>20</v>
      </c>
      <c r="BB148" s="4">
        <f t="shared" si="64"/>
        <v>20</v>
      </c>
      <c r="BC148" s="4">
        <f t="shared" si="65"/>
        <v>20</v>
      </c>
      <c r="BD148" s="4">
        <f t="shared" si="66"/>
        <v>20</v>
      </c>
      <c r="BE148" s="4">
        <f t="shared" si="67"/>
        <v>20</v>
      </c>
      <c r="BF148" s="4">
        <f t="shared" si="68"/>
        <v>20</v>
      </c>
      <c r="BG148" s="106">
        <f t="shared" si="69"/>
        <v>1</v>
      </c>
      <c r="BH148" s="106">
        <f t="shared" si="70"/>
        <v>1</v>
      </c>
      <c r="BI148" s="106">
        <f t="shared" si="71"/>
        <v>1</v>
      </c>
      <c r="BJ148" s="106">
        <f t="shared" si="72"/>
        <v>1</v>
      </c>
      <c r="BK148" s="106">
        <f t="shared" si="73"/>
        <v>1</v>
      </c>
      <c r="BL148" s="106">
        <f t="shared" si="74"/>
        <v>1</v>
      </c>
      <c r="BM148" s="106"/>
      <c r="BO148" s="4" t="s">
        <v>997</v>
      </c>
      <c r="BP148" s="127">
        <f t="shared" si="75"/>
        <v>15.555555555555555</v>
      </c>
      <c r="BQ148" s="4">
        <f t="shared" si="76"/>
        <v>0</v>
      </c>
      <c r="BR148" s="4">
        <f t="shared" si="77"/>
        <v>0</v>
      </c>
      <c r="BS148" s="4">
        <f t="shared" si="78"/>
        <v>0</v>
      </c>
      <c r="BT148" s="4">
        <f t="shared" si="79"/>
        <v>0</v>
      </c>
      <c r="BU148" s="4">
        <f t="shared" si="80"/>
        <v>0</v>
      </c>
      <c r="BV148" s="4">
        <f t="shared" si="81"/>
        <v>0</v>
      </c>
    </row>
    <row r="149" spans="1:74" s="4" customFormat="1" x14ac:dyDescent="0.2">
      <c r="A149" s="4" t="s">
        <v>37</v>
      </c>
      <c r="B149" s="4" t="s">
        <v>38</v>
      </c>
      <c r="C149" s="4">
        <v>20</v>
      </c>
      <c r="F149" s="4" t="s">
        <v>252</v>
      </c>
      <c r="G149" s="4" t="s">
        <v>253</v>
      </c>
      <c r="H149" s="4" t="s">
        <v>43</v>
      </c>
      <c r="I149" s="4" t="s">
        <v>39</v>
      </c>
      <c r="J149" s="4" t="str">
        <f t="shared" si="57"/>
        <v>RACKPDU-RACK-R4-Z1-R1-04-A</v>
      </c>
      <c r="K149" s="4" t="str">
        <f t="shared" si="58"/>
        <v>RACKPDU-RACK-R4-Z1-R1-04-B</v>
      </c>
      <c r="L149" s="4">
        <v>20</v>
      </c>
      <c r="M149" s="4">
        <f>VLOOKUP($H149,'Cooling-Rack'!$A$2:$G$265,5,FALSE)</f>
        <v>14</v>
      </c>
      <c r="N149" s="4">
        <f>VLOOKUP($H149,'Cooling-Rack'!$A$2:$G$265,7,FALSE)</f>
        <v>6.0000000000000009</v>
      </c>
      <c r="O149" s="4">
        <f t="shared" si="84"/>
        <v>25</v>
      </c>
      <c r="P149" s="106">
        <v>0.7</v>
      </c>
      <c r="Q149" s="106">
        <v>0.30000000000000004</v>
      </c>
      <c r="R149" s="22" t="s">
        <v>65</v>
      </c>
      <c r="S149" s="22" t="s">
        <v>67</v>
      </c>
      <c r="T149" s="20" t="s">
        <v>73</v>
      </c>
      <c r="U149" s="4" t="s">
        <v>72</v>
      </c>
      <c r="V149" s="4" t="s">
        <v>293</v>
      </c>
      <c r="W149" s="4" t="s">
        <v>294</v>
      </c>
      <c r="X149" s="4" t="s">
        <v>80</v>
      </c>
      <c r="Y149" s="4" t="s">
        <v>76</v>
      </c>
      <c r="Z149" s="4" t="s">
        <v>77</v>
      </c>
      <c r="AA149" s="4" t="s">
        <v>74</v>
      </c>
      <c r="AB149" s="4" t="s">
        <v>75</v>
      </c>
      <c r="AC149" s="4" t="s">
        <v>78</v>
      </c>
      <c r="AD149" s="4" t="s">
        <v>79</v>
      </c>
      <c r="AE149" s="4" t="s">
        <v>386</v>
      </c>
      <c r="AF149" s="4" t="s">
        <v>389</v>
      </c>
      <c r="AG149" s="4" t="s">
        <v>392</v>
      </c>
      <c r="AH149" s="4" t="s">
        <v>395</v>
      </c>
      <c r="AL149" s="4">
        <v>0</v>
      </c>
      <c r="AM149" s="4">
        <f t="shared" si="59"/>
        <v>0</v>
      </c>
      <c r="AN149" s="4">
        <f t="shared" si="60"/>
        <v>0</v>
      </c>
      <c r="AO149" s="4">
        <v>0</v>
      </c>
      <c r="AP149" s="4">
        <f t="shared" si="61"/>
        <v>0</v>
      </c>
      <c r="AQ149" s="4">
        <f t="shared" si="62"/>
        <v>0</v>
      </c>
      <c r="AS149" s="4">
        <f t="shared" si="82"/>
        <v>0</v>
      </c>
      <c r="AT149" s="4">
        <f t="shared" si="83"/>
        <v>0</v>
      </c>
      <c r="BA149" s="4">
        <f t="shared" si="63"/>
        <v>20</v>
      </c>
      <c r="BB149" s="4">
        <f t="shared" si="64"/>
        <v>20</v>
      </c>
      <c r="BC149" s="4">
        <f t="shared" si="65"/>
        <v>20</v>
      </c>
      <c r="BD149" s="4">
        <f t="shared" si="66"/>
        <v>20</v>
      </c>
      <c r="BE149" s="4">
        <f t="shared" si="67"/>
        <v>20</v>
      </c>
      <c r="BF149" s="4">
        <f t="shared" si="68"/>
        <v>20</v>
      </c>
      <c r="BG149" s="106">
        <f t="shared" si="69"/>
        <v>1</v>
      </c>
      <c r="BH149" s="106">
        <f t="shared" si="70"/>
        <v>1</v>
      </c>
      <c r="BI149" s="106">
        <f t="shared" si="71"/>
        <v>1</v>
      </c>
      <c r="BJ149" s="106">
        <f t="shared" si="72"/>
        <v>1</v>
      </c>
      <c r="BK149" s="106">
        <f t="shared" si="73"/>
        <v>1</v>
      </c>
      <c r="BL149" s="106">
        <f t="shared" si="74"/>
        <v>1</v>
      </c>
      <c r="BM149" s="106"/>
      <c r="BO149" s="4" t="s">
        <v>998</v>
      </c>
      <c r="BP149" s="127">
        <f t="shared" si="75"/>
        <v>15.555555555555555</v>
      </c>
      <c r="BQ149" s="4">
        <f t="shared" si="76"/>
        <v>0</v>
      </c>
      <c r="BR149" s="4">
        <f t="shared" si="77"/>
        <v>0</v>
      </c>
      <c r="BS149" s="4">
        <f t="shared" si="78"/>
        <v>0</v>
      </c>
      <c r="BT149" s="4">
        <f t="shared" si="79"/>
        <v>0</v>
      </c>
      <c r="BU149" s="4">
        <f t="shared" si="80"/>
        <v>0</v>
      </c>
      <c r="BV149" s="4">
        <f t="shared" si="81"/>
        <v>0</v>
      </c>
    </row>
    <row r="150" spans="1:74" s="4" customFormat="1" x14ac:dyDescent="0.2">
      <c r="A150" s="4" t="s">
        <v>37</v>
      </c>
      <c r="B150" s="4" t="s">
        <v>38</v>
      </c>
      <c r="C150" s="4">
        <v>20</v>
      </c>
      <c r="F150" s="4" t="s">
        <v>252</v>
      </c>
      <c r="G150" s="4" t="s">
        <v>253</v>
      </c>
      <c r="H150" s="4" t="s">
        <v>44</v>
      </c>
      <c r="I150" s="4" t="s">
        <v>39</v>
      </c>
      <c r="J150" s="4" t="str">
        <f t="shared" si="57"/>
        <v>RACKPDU-RACK-R4-Z1-R1-05-A</v>
      </c>
      <c r="K150" s="4" t="str">
        <f t="shared" si="58"/>
        <v>RACKPDU-RACK-R4-Z1-R1-05-B</v>
      </c>
      <c r="L150" s="4">
        <v>20</v>
      </c>
      <c r="M150" s="4">
        <f>VLOOKUP($H150,'Cooling-Rack'!$A$2:$G$265,5,FALSE)</f>
        <v>14</v>
      </c>
      <c r="N150" s="4">
        <f>VLOOKUP($H150,'Cooling-Rack'!$A$2:$G$265,7,FALSE)</f>
        <v>6.0000000000000009</v>
      </c>
      <c r="O150" s="4">
        <f t="shared" si="84"/>
        <v>25</v>
      </c>
      <c r="P150" s="106">
        <v>0.7</v>
      </c>
      <c r="Q150" s="106">
        <v>0.30000000000000004</v>
      </c>
      <c r="R150" s="20" t="s">
        <v>64</v>
      </c>
      <c r="S150" s="20" t="s">
        <v>66</v>
      </c>
      <c r="T150" s="20" t="s">
        <v>73</v>
      </c>
      <c r="U150" s="4" t="s">
        <v>72</v>
      </c>
      <c r="V150" s="4" t="s">
        <v>293</v>
      </c>
      <c r="W150" s="4" t="s">
        <v>294</v>
      </c>
      <c r="X150" s="4" t="s">
        <v>80</v>
      </c>
      <c r="Y150" s="4" t="s">
        <v>76</v>
      </c>
      <c r="Z150" s="4" t="s">
        <v>77</v>
      </c>
      <c r="AA150" s="4" t="s">
        <v>74</v>
      </c>
      <c r="AB150" s="4" t="s">
        <v>75</v>
      </c>
      <c r="AC150" s="4" t="s">
        <v>78</v>
      </c>
      <c r="AD150" s="4" t="s">
        <v>79</v>
      </c>
      <c r="AE150" s="4" t="s">
        <v>386</v>
      </c>
      <c r="AF150" s="4" t="s">
        <v>389</v>
      </c>
      <c r="AG150" s="4" t="s">
        <v>392</v>
      </c>
      <c r="AH150" s="4" t="s">
        <v>395</v>
      </c>
      <c r="AL150" s="4">
        <v>0</v>
      </c>
      <c r="AM150" s="4">
        <f t="shared" si="59"/>
        <v>0</v>
      </c>
      <c r="AN150" s="4">
        <f t="shared" si="60"/>
        <v>0</v>
      </c>
      <c r="AO150" s="4">
        <v>0</v>
      </c>
      <c r="AP150" s="4">
        <f t="shared" si="61"/>
        <v>0</v>
      </c>
      <c r="AQ150" s="4">
        <f t="shared" si="62"/>
        <v>0</v>
      </c>
      <c r="AS150" s="4">
        <f t="shared" si="82"/>
        <v>0</v>
      </c>
      <c r="AT150" s="4">
        <f t="shared" si="83"/>
        <v>0</v>
      </c>
      <c r="BA150" s="4">
        <f t="shared" si="63"/>
        <v>20</v>
      </c>
      <c r="BB150" s="4">
        <f t="shared" si="64"/>
        <v>20</v>
      </c>
      <c r="BC150" s="4">
        <f t="shared" si="65"/>
        <v>20</v>
      </c>
      <c r="BD150" s="4">
        <f t="shared" si="66"/>
        <v>20</v>
      </c>
      <c r="BE150" s="4">
        <f t="shared" si="67"/>
        <v>20</v>
      </c>
      <c r="BF150" s="4">
        <f t="shared" si="68"/>
        <v>20</v>
      </c>
      <c r="BG150" s="106">
        <f t="shared" si="69"/>
        <v>1</v>
      </c>
      <c r="BH150" s="106">
        <f t="shared" si="70"/>
        <v>1</v>
      </c>
      <c r="BI150" s="106">
        <f t="shared" si="71"/>
        <v>1</v>
      </c>
      <c r="BJ150" s="106">
        <f t="shared" si="72"/>
        <v>1</v>
      </c>
      <c r="BK150" s="106">
        <f t="shared" si="73"/>
        <v>1</v>
      </c>
      <c r="BL150" s="106">
        <f t="shared" si="74"/>
        <v>1</v>
      </c>
      <c r="BM150" s="106"/>
      <c r="BO150" s="4" t="s">
        <v>999</v>
      </c>
      <c r="BP150" s="127">
        <f t="shared" si="75"/>
        <v>15.555555555555555</v>
      </c>
      <c r="BQ150" s="4">
        <f t="shared" si="76"/>
        <v>0</v>
      </c>
      <c r="BR150" s="4">
        <f t="shared" si="77"/>
        <v>0</v>
      </c>
      <c r="BS150" s="4">
        <f t="shared" si="78"/>
        <v>0</v>
      </c>
      <c r="BT150" s="4">
        <f t="shared" si="79"/>
        <v>0</v>
      </c>
      <c r="BU150" s="4">
        <f t="shared" si="80"/>
        <v>0</v>
      </c>
      <c r="BV150" s="4">
        <f t="shared" si="81"/>
        <v>0</v>
      </c>
    </row>
    <row r="151" spans="1:74" s="4" customFormat="1" x14ac:dyDescent="0.2">
      <c r="A151" s="4" t="s">
        <v>37</v>
      </c>
      <c r="B151" s="4" t="s">
        <v>38</v>
      </c>
      <c r="C151" s="4">
        <v>20</v>
      </c>
      <c r="F151" s="4" t="s">
        <v>252</v>
      </c>
      <c r="G151" s="4" t="s">
        <v>253</v>
      </c>
      <c r="H151" s="4" t="s">
        <v>45</v>
      </c>
      <c r="I151" s="4" t="s">
        <v>39</v>
      </c>
      <c r="J151" s="4" t="str">
        <f t="shared" si="57"/>
        <v>RACKPDU-RACK-R4-Z1-R1-06-A</v>
      </c>
      <c r="K151" s="4" t="str">
        <f t="shared" si="58"/>
        <v>RACKPDU-RACK-R4-Z1-R1-06-B</v>
      </c>
      <c r="L151" s="4">
        <v>20</v>
      </c>
      <c r="M151" s="4">
        <f>VLOOKUP($H151,'Cooling-Rack'!$A$2:$G$265,5,FALSE)</f>
        <v>14</v>
      </c>
      <c r="N151" s="4">
        <f>VLOOKUP($H151,'Cooling-Rack'!$A$2:$G$265,7,FALSE)</f>
        <v>6.0000000000000009</v>
      </c>
      <c r="O151" s="4">
        <f t="shared" si="84"/>
        <v>25</v>
      </c>
      <c r="P151" s="106">
        <v>0.7</v>
      </c>
      <c r="Q151" s="106">
        <v>0.30000000000000004</v>
      </c>
      <c r="R151" s="22" t="s">
        <v>65</v>
      </c>
      <c r="S151" s="22" t="s">
        <v>67</v>
      </c>
      <c r="T151" s="20" t="s">
        <v>73</v>
      </c>
      <c r="U151" s="4" t="s">
        <v>72</v>
      </c>
      <c r="V151" s="4" t="s">
        <v>293</v>
      </c>
      <c r="W151" s="4" t="s">
        <v>294</v>
      </c>
      <c r="X151" s="4" t="s">
        <v>80</v>
      </c>
      <c r="Y151" s="4" t="s">
        <v>76</v>
      </c>
      <c r="Z151" s="4" t="s">
        <v>77</v>
      </c>
      <c r="AA151" s="4" t="s">
        <v>74</v>
      </c>
      <c r="AB151" s="4" t="s">
        <v>75</v>
      </c>
      <c r="AC151" s="4" t="s">
        <v>78</v>
      </c>
      <c r="AD151" s="4" t="s">
        <v>79</v>
      </c>
      <c r="AE151" s="4" t="s">
        <v>386</v>
      </c>
      <c r="AF151" s="4" t="s">
        <v>389</v>
      </c>
      <c r="AG151" s="4" t="s">
        <v>392</v>
      </c>
      <c r="AH151" s="4" t="s">
        <v>395</v>
      </c>
      <c r="AL151" s="4">
        <v>0</v>
      </c>
      <c r="AM151" s="4">
        <f t="shared" si="59"/>
        <v>0</v>
      </c>
      <c r="AN151" s="4">
        <f t="shared" si="60"/>
        <v>0</v>
      </c>
      <c r="AO151" s="4">
        <v>0</v>
      </c>
      <c r="AP151" s="4">
        <f t="shared" si="61"/>
        <v>0</v>
      </c>
      <c r="AQ151" s="4">
        <f t="shared" si="62"/>
        <v>0</v>
      </c>
      <c r="AS151" s="4">
        <f t="shared" si="82"/>
        <v>0</v>
      </c>
      <c r="AT151" s="4">
        <f t="shared" si="83"/>
        <v>0</v>
      </c>
      <c r="BA151" s="4">
        <f t="shared" si="63"/>
        <v>20</v>
      </c>
      <c r="BB151" s="4">
        <f t="shared" si="64"/>
        <v>20</v>
      </c>
      <c r="BC151" s="4">
        <f t="shared" si="65"/>
        <v>20</v>
      </c>
      <c r="BD151" s="4">
        <f t="shared" si="66"/>
        <v>20</v>
      </c>
      <c r="BE151" s="4">
        <f t="shared" si="67"/>
        <v>20</v>
      </c>
      <c r="BF151" s="4">
        <f t="shared" si="68"/>
        <v>20</v>
      </c>
      <c r="BG151" s="106">
        <f t="shared" si="69"/>
        <v>1</v>
      </c>
      <c r="BH151" s="106">
        <f t="shared" si="70"/>
        <v>1</v>
      </c>
      <c r="BI151" s="106">
        <f t="shared" si="71"/>
        <v>1</v>
      </c>
      <c r="BJ151" s="106">
        <f t="shared" si="72"/>
        <v>1</v>
      </c>
      <c r="BK151" s="106">
        <f t="shared" si="73"/>
        <v>1</v>
      </c>
      <c r="BL151" s="106">
        <f t="shared" si="74"/>
        <v>1</v>
      </c>
      <c r="BM151" s="106"/>
      <c r="BO151" s="4" t="s">
        <v>1000</v>
      </c>
      <c r="BP151" s="127">
        <f t="shared" si="75"/>
        <v>15.555555555555555</v>
      </c>
      <c r="BQ151" s="4">
        <f t="shared" si="76"/>
        <v>0</v>
      </c>
      <c r="BR151" s="4">
        <f t="shared" si="77"/>
        <v>0</v>
      </c>
      <c r="BS151" s="4">
        <f t="shared" si="78"/>
        <v>0</v>
      </c>
      <c r="BT151" s="4">
        <f t="shared" si="79"/>
        <v>0</v>
      </c>
      <c r="BU151" s="4">
        <f t="shared" si="80"/>
        <v>0</v>
      </c>
      <c r="BV151" s="4">
        <f t="shared" si="81"/>
        <v>0</v>
      </c>
    </row>
    <row r="152" spans="1:74" s="4" customFormat="1" x14ac:dyDescent="0.2">
      <c r="A152" s="4" t="s">
        <v>37</v>
      </c>
      <c r="B152" s="4" t="s">
        <v>38</v>
      </c>
      <c r="C152" s="4">
        <v>20</v>
      </c>
      <c r="F152" s="4" t="s">
        <v>252</v>
      </c>
      <c r="G152" s="4" t="s">
        <v>253</v>
      </c>
      <c r="H152" s="4" t="s">
        <v>46</v>
      </c>
      <c r="I152" s="4" t="s">
        <v>39</v>
      </c>
      <c r="J152" s="4" t="str">
        <f t="shared" si="57"/>
        <v>RACKPDU-RACK-R4-Z1-R1-07-A</v>
      </c>
      <c r="K152" s="4" t="str">
        <f t="shared" si="58"/>
        <v>RACKPDU-RACK-R4-Z1-R1-07-B</v>
      </c>
      <c r="L152" s="4">
        <v>20</v>
      </c>
      <c r="M152" s="4">
        <f>VLOOKUP($H152,'Cooling-Rack'!$A$2:$G$265,5,FALSE)</f>
        <v>14</v>
      </c>
      <c r="N152" s="4">
        <f>VLOOKUP($H152,'Cooling-Rack'!$A$2:$G$265,7,FALSE)</f>
        <v>6.0000000000000009</v>
      </c>
      <c r="O152" s="4">
        <f t="shared" si="84"/>
        <v>25</v>
      </c>
      <c r="P152" s="106">
        <v>0.7</v>
      </c>
      <c r="Q152" s="106">
        <v>0.30000000000000004</v>
      </c>
      <c r="R152" s="20" t="s">
        <v>64</v>
      </c>
      <c r="S152" s="20" t="s">
        <v>66</v>
      </c>
      <c r="T152" s="20" t="s">
        <v>73</v>
      </c>
      <c r="U152" s="4" t="s">
        <v>72</v>
      </c>
      <c r="V152" s="4" t="s">
        <v>293</v>
      </c>
      <c r="W152" s="4" t="s">
        <v>294</v>
      </c>
      <c r="X152" s="4" t="s">
        <v>80</v>
      </c>
      <c r="Y152" s="4" t="s">
        <v>76</v>
      </c>
      <c r="Z152" s="4" t="s">
        <v>77</v>
      </c>
      <c r="AA152" s="4" t="s">
        <v>74</v>
      </c>
      <c r="AB152" s="4" t="s">
        <v>75</v>
      </c>
      <c r="AC152" s="4" t="s">
        <v>78</v>
      </c>
      <c r="AD152" s="4" t="s">
        <v>79</v>
      </c>
      <c r="AE152" s="4" t="s">
        <v>386</v>
      </c>
      <c r="AF152" s="4" t="s">
        <v>389</v>
      </c>
      <c r="AG152" s="4" t="s">
        <v>392</v>
      </c>
      <c r="AH152" s="4" t="s">
        <v>395</v>
      </c>
      <c r="AL152" s="4">
        <v>0</v>
      </c>
      <c r="AM152" s="4">
        <f t="shared" si="59"/>
        <v>0</v>
      </c>
      <c r="AN152" s="4">
        <f t="shared" si="60"/>
        <v>0</v>
      </c>
      <c r="AO152" s="4">
        <v>0</v>
      </c>
      <c r="AP152" s="4">
        <f t="shared" si="61"/>
        <v>0</v>
      </c>
      <c r="AQ152" s="4">
        <f t="shared" si="62"/>
        <v>0</v>
      </c>
      <c r="AS152" s="4">
        <f t="shared" si="82"/>
        <v>0</v>
      </c>
      <c r="AT152" s="4">
        <f t="shared" si="83"/>
        <v>0</v>
      </c>
      <c r="BA152" s="4">
        <f t="shared" si="63"/>
        <v>20</v>
      </c>
      <c r="BB152" s="4">
        <f t="shared" si="64"/>
        <v>20</v>
      </c>
      <c r="BC152" s="4">
        <f t="shared" si="65"/>
        <v>20</v>
      </c>
      <c r="BD152" s="4">
        <f t="shared" si="66"/>
        <v>20</v>
      </c>
      <c r="BE152" s="4">
        <f t="shared" si="67"/>
        <v>20</v>
      </c>
      <c r="BF152" s="4">
        <f t="shared" si="68"/>
        <v>20</v>
      </c>
      <c r="BG152" s="106">
        <f t="shared" si="69"/>
        <v>1</v>
      </c>
      <c r="BH152" s="106">
        <f t="shared" si="70"/>
        <v>1</v>
      </c>
      <c r="BI152" s="106">
        <f t="shared" si="71"/>
        <v>1</v>
      </c>
      <c r="BJ152" s="106">
        <f t="shared" si="72"/>
        <v>1</v>
      </c>
      <c r="BK152" s="106">
        <f t="shared" si="73"/>
        <v>1</v>
      </c>
      <c r="BL152" s="106">
        <f t="shared" si="74"/>
        <v>1</v>
      </c>
      <c r="BM152" s="106"/>
      <c r="BO152" s="4" t="s">
        <v>1001</v>
      </c>
      <c r="BP152" s="127">
        <f t="shared" si="75"/>
        <v>15.555555555555555</v>
      </c>
      <c r="BQ152" s="4">
        <f t="shared" si="76"/>
        <v>0</v>
      </c>
      <c r="BR152" s="4">
        <f t="shared" si="77"/>
        <v>0</v>
      </c>
      <c r="BS152" s="4">
        <f t="shared" si="78"/>
        <v>0</v>
      </c>
      <c r="BT152" s="4">
        <f t="shared" si="79"/>
        <v>0</v>
      </c>
      <c r="BU152" s="4">
        <f t="shared" si="80"/>
        <v>0</v>
      </c>
      <c r="BV152" s="4">
        <f t="shared" si="81"/>
        <v>0</v>
      </c>
    </row>
    <row r="153" spans="1:74" s="4" customFormat="1" x14ac:dyDescent="0.2">
      <c r="A153" s="4" t="s">
        <v>37</v>
      </c>
      <c r="B153" s="4" t="s">
        <v>38</v>
      </c>
      <c r="C153" s="4">
        <v>20</v>
      </c>
      <c r="F153" s="4" t="s">
        <v>252</v>
      </c>
      <c r="G153" s="4" t="s">
        <v>253</v>
      </c>
      <c r="H153" s="4" t="s">
        <v>47</v>
      </c>
      <c r="I153" s="4" t="s">
        <v>39</v>
      </c>
      <c r="J153" s="4" t="str">
        <f t="shared" si="57"/>
        <v>RACKPDU-RACK-R4-Z1-R1-08-A</v>
      </c>
      <c r="K153" s="4" t="str">
        <f t="shared" si="58"/>
        <v>RACKPDU-RACK-R4-Z1-R1-08-B</v>
      </c>
      <c r="L153" s="4">
        <v>20</v>
      </c>
      <c r="M153" s="4">
        <f>VLOOKUP($H153,'Cooling-Rack'!$A$2:$G$265,5,FALSE)</f>
        <v>14</v>
      </c>
      <c r="N153" s="4">
        <f>VLOOKUP($H153,'Cooling-Rack'!$A$2:$G$265,7,FALSE)</f>
        <v>6.0000000000000009</v>
      </c>
      <c r="O153" s="4">
        <f t="shared" si="84"/>
        <v>25</v>
      </c>
      <c r="P153" s="106">
        <v>0.7</v>
      </c>
      <c r="Q153" s="106">
        <v>0.30000000000000004</v>
      </c>
      <c r="R153" s="22" t="s">
        <v>65</v>
      </c>
      <c r="S153" s="22" t="s">
        <v>67</v>
      </c>
      <c r="T153" s="20" t="s">
        <v>73</v>
      </c>
      <c r="U153" s="4" t="s">
        <v>72</v>
      </c>
      <c r="V153" s="4" t="s">
        <v>293</v>
      </c>
      <c r="W153" s="4" t="s">
        <v>294</v>
      </c>
      <c r="X153" s="4" t="s">
        <v>80</v>
      </c>
      <c r="Y153" s="4" t="s">
        <v>76</v>
      </c>
      <c r="Z153" s="4" t="s">
        <v>77</v>
      </c>
      <c r="AA153" s="4" t="s">
        <v>74</v>
      </c>
      <c r="AB153" s="4" t="s">
        <v>75</v>
      </c>
      <c r="AC153" s="4" t="s">
        <v>78</v>
      </c>
      <c r="AD153" s="4" t="s">
        <v>79</v>
      </c>
      <c r="AE153" s="4" t="s">
        <v>386</v>
      </c>
      <c r="AF153" s="4" t="s">
        <v>389</v>
      </c>
      <c r="AG153" s="4" t="s">
        <v>392</v>
      </c>
      <c r="AH153" s="4" t="s">
        <v>395</v>
      </c>
      <c r="AL153" s="4">
        <v>0</v>
      </c>
      <c r="AM153" s="4">
        <f t="shared" si="59"/>
        <v>0</v>
      </c>
      <c r="AN153" s="4">
        <f t="shared" si="60"/>
        <v>0</v>
      </c>
      <c r="AO153" s="4">
        <v>0</v>
      </c>
      <c r="AP153" s="4">
        <f t="shared" si="61"/>
        <v>0</v>
      </c>
      <c r="AQ153" s="4">
        <f t="shared" si="62"/>
        <v>0</v>
      </c>
      <c r="AS153" s="4">
        <f t="shared" si="82"/>
        <v>0</v>
      </c>
      <c r="AT153" s="4">
        <f t="shared" si="83"/>
        <v>0</v>
      </c>
      <c r="BA153" s="4">
        <f t="shared" si="63"/>
        <v>20</v>
      </c>
      <c r="BB153" s="4">
        <f t="shared" si="64"/>
        <v>20</v>
      </c>
      <c r="BC153" s="4">
        <f t="shared" si="65"/>
        <v>20</v>
      </c>
      <c r="BD153" s="4">
        <f t="shared" si="66"/>
        <v>20</v>
      </c>
      <c r="BE153" s="4">
        <f t="shared" si="67"/>
        <v>20</v>
      </c>
      <c r="BF153" s="4">
        <f t="shared" si="68"/>
        <v>20</v>
      </c>
      <c r="BG153" s="106">
        <f t="shared" si="69"/>
        <v>1</v>
      </c>
      <c r="BH153" s="106">
        <f t="shared" si="70"/>
        <v>1</v>
      </c>
      <c r="BI153" s="106">
        <f t="shared" si="71"/>
        <v>1</v>
      </c>
      <c r="BJ153" s="106">
        <f t="shared" si="72"/>
        <v>1</v>
      </c>
      <c r="BK153" s="106">
        <f t="shared" si="73"/>
        <v>1</v>
      </c>
      <c r="BL153" s="106">
        <f t="shared" si="74"/>
        <v>1</v>
      </c>
      <c r="BM153" s="106"/>
      <c r="BO153" s="4" t="s">
        <v>1002</v>
      </c>
      <c r="BP153" s="127">
        <f t="shared" si="75"/>
        <v>15.555555555555555</v>
      </c>
      <c r="BQ153" s="4">
        <f t="shared" si="76"/>
        <v>0</v>
      </c>
      <c r="BR153" s="4">
        <f t="shared" si="77"/>
        <v>0</v>
      </c>
      <c r="BS153" s="4">
        <f t="shared" si="78"/>
        <v>0</v>
      </c>
      <c r="BT153" s="4">
        <f t="shared" si="79"/>
        <v>0</v>
      </c>
      <c r="BU153" s="4">
        <f t="shared" si="80"/>
        <v>0</v>
      </c>
      <c r="BV153" s="4">
        <f t="shared" si="81"/>
        <v>0</v>
      </c>
    </row>
    <row r="154" spans="1:74" s="4" customFormat="1" x14ac:dyDescent="0.2">
      <c r="A154" s="4" t="s">
        <v>37</v>
      </c>
      <c r="B154" s="4" t="s">
        <v>38</v>
      </c>
      <c r="C154" s="4">
        <v>20</v>
      </c>
      <c r="F154" s="4" t="s">
        <v>252</v>
      </c>
      <c r="G154" s="4" t="s">
        <v>253</v>
      </c>
      <c r="H154" s="4" t="s">
        <v>48</v>
      </c>
      <c r="I154" s="4" t="s">
        <v>39</v>
      </c>
      <c r="J154" s="4" t="str">
        <f t="shared" si="57"/>
        <v>RACKPDU-RACK-R4-Z1-R1-09-A</v>
      </c>
      <c r="K154" s="4" t="str">
        <f t="shared" si="58"/>
        <v>RACKPDU-RACK-R4-Z1-R1-09-B</v>
      </c>
      <c r="L154" s="4">
        <v>20</v>
      </c>
      <c r="M154" s="4">
        <f>VLOOKUP($H154,'Cooling-Rack'!$A$2:$G$265,5,FALSE)</f>
        <v>14</v>
      </c>
      <c r="N154" s="4">
        <f>VLOOKUP($H154,'Cooling-Rack'!$A$2:$G$265,7,FALSE)</f>
        <v>6.0000000000000009</v>
      </c>
      <c r="O154" s="4">
        <f t="shared" si="84"/>
        <v>25</v>
      </c>
      <c r="P154" s="106">
        <v>0.7</v>
      </c>
      <c r="Q154" s="106">
        <v>0.30000000000000004</v>
      </c>
      <c r="R154" s="20" t="s">
        <v>64</v>
      </c>
      <c r="S154" s="20" t="s">
        <v>66</v>
      </c>
      <c r="T154" s="20" t="s">
        <v>73</v>
      </c>
      <c r="U154" s="4" t="s">
        <v>72</v>
      </c>
      <c r="V154" s="4" t="s">
        <v>293</v>
      </c>
      <c r="W154" s="4" t="s">
        <v>294</v>
      </c>
      <c r="X154" s="4" t="s">
        <v>80</v>
      </c>
      <c r="Y154" s="4" t="s">
        <v>76</v>
      </c>
      <c r="Z154" s="4" t="s">
        <v>77</v>
      </c>
      <c r="AA154" s="4" t="s">
        <v>74</v>
      </c>
      <c r="AB154" s="4" t="s">
        <v>75</v>
      </c>
      <c r="AC154" s="4" t="s">
        <v>78</v>
      </c>
      <c r="AD154" s="4" t="s">
        <v>79</v>
      </c>
      <c r="AE154" s="4" t="s">
        <v>386</v>
      </c>
      <c r="AF154" s="4" t="s">
        <v>389</v>
      </c>
      <c r="AG154" s="4" t="s">
        <v>392</v>
      </c>
      <c r="AH154" s="4" t="s">
        <v>395</v>
      </c>
      <c r="AL154" s="4">
        <v>0</v>
      </c>
      <c r="AM154" s="4">
        <f t="shared" si="59"/>
        <v>0</v>
      </c>
      <c r="AN154" s="4">
        <f t="shared" si="60"/>
        <v>0</v>
      </c>
      <c r="AO154" s="4">
        <v>0</v>
      </c>
      <c r="AP154" s="4">
        <f t="shared" si="61"/>
        <v>0</v>
      </c>
      <c r="AQ154" s="4">
        <f t="shared" si="62"/>
        <v>0</v>
      </c>
      <c r="AS154" s="4">
        <f t="shared" si="82"/>
        <v>0</v>
      </c>
      <c r="AT154" s="4">
        <f t="shared" si="83"/>
        <v>0</v>
      </c>
      <c r="BA154" s="4">
        <f t="shared" si="63"/>
        <v>20</v>
      </c>
      <c r="BB154" s="4">
        <f t="shared" si="64"/>
        <v>20</v>
      </c>
      <c r="BC154" s="4">
        <f t="shared" si="65"/>
        <v>20</v>
      </c>
      <c r="BD154" s="4">
        <f t="shared" si="66"/>
        <v>20</v>
      </c>
      <c r="BE154" s="4">
        <f t="shared" si="67"/>
        <v>20</v>
      </c>
      <c r="BF154" s="4">
        <f t="shared" si="68"/>
        <v>20</v>
      </c>
      <c r="BG154" s="106">
        <f t="shared" si="69"/>
        <v>1</v>
      </c>
      <c r="BH154" s="106">
        <f t="shared" si="70"/>
        <v>1</v>
      </c>
      <c r="BI154" s="106">
        <f t="shared" si="71"/>
        <v>1</v>
      </c>
      <c r="BJ154" s="106">
        <f t="shared" si="72"/>
        <v>1</v>
      </c>
      <c r="BK154" s="106">
        <f t="shared" si="73"/>
        <v>1</v>
      </c>
      <c r="BL154" s="106">
        <f t="shared" si="74"/>
        <v>1</v>
      </c>
      <c r="BM154" s="106"/>
      <c r="BO154" s="4" t="s">
        <v>1003</v>
      </c>
      <c r="BP154" s="127">
        <f t="shared" si="75"/>
        <v>15.555555555555555</v>
      </c>
      <c r="BQ154" s="4">
        <f t="shared" si="76"/>
        <v>0</v>
      </c>
      <c r="BR154" s="4">
        <f t="shared" si="77"/>
        <v>0</v>
      </c>
      <c r="BS154" s="4">
        <f t="shared" si="78"/>
        <v>0</v>
      </c>
      <c r="BT154" s="4">
        <f t="shared" si="79"/>
        <v>0</v>
      </c>
      <c r="BU154" s="4">
        <f t="shared" si="80"/>
        <v>0</v>
      </c>
      <c r="BV154" s="4">
        <f t="shared" si="81"/>
        <v>0</v>
      </c>
    </row>
    <row r="155" spans="1:74" s="4" customFormat="1" x14ac:dyDescent="0.2">
      <c r="A155" s="4" t="s">
        <v>37</v>
      </c>
      <c r="B155" s="4" t="s">
        <v>38</v>
      </c>
      <c r="C155" s="4">
        <v>20</v>
      </c>
      <c r="F155" s="4" t="s">
        <v>252</v>
      </c>
      <c r="G155" s="4" t="s">
        <v>253</v>
      </c>
      <c r="H155" s="4" t="s">
        <v>49</v>
      </c>
      <c r="I155" s="4" t="s">
        <v>39</v>
      </c>
      <c r="J155" s="4" t="str">
        <f t="shared" si="57"/>
        <v>RACKPDU-RACK-R4-Z1-R1-10-A</v>
      </c>
      <c r="K155" s="4" t="str">
        <f t="shared" si="58"/>
        <v>RACKPDU-RACK-R4-Z1-R1-10-B</v>
      </c>
      <c r="L155" s="4">
        <v>20</v>
      </c>
      <c r="M155" s="4">
        <f>VLOOKUP($H155,'Cooling-Rack'!$A$2:$G$265,5,FALSE)</f>
        <v>14</v>
      </c>
      <c r="N155" s="4">
        <f>VLOOKUP($H155,'Cooling-Rack'!$A$2:$G$265,7,FALSE)</f>
        <v>6.0000000000000009</v>
      </c>
      <c r="O155" s="4">
        <f t="shared" si="84"/>
        <v>25</v>
      </c>
      <c r="P155" s="106">
        <v>0.7</v>
      </c>
      <c r="Q155" s="106">
        <v>0.30000000000000004</v>
      </c>
      <c r="R155" s="22" t="s">
        <v>65</v>
      </c>
      <c r="S155" s="22" t="s">
        <v>67</v>
      </c>
      <c r="T155" s="20" t="s">
        <v>73</v>
      </c>
      <c r="U155" s="4" t="s">
        <v>72</v>
      </c>
      <c r="V155" s="4" t="s">
        <v>293</v>
      </c>
      <c r="W155" s="4" t="s">
        <v>294</v>
      </c>
      <c r="X155" s="4" t="s">
        <v>80</v>
      </c>
      <c r="Y155" s="4" t="s">
        <v>76</v>
      </c>
      <c r="Z155" s="4" t="s">
        <v>77</v>
      </c>
      <c r="AA155" s="4" t="s">
        <v>74</v>
      </c>
      <c r="AB155" s="4" t="s">
        <v>75</v>
      </c>
      <c r="AC155" s="4" t="s">
        <v>78</v>
      </c>
      <c r="AD155" s="4" t="s">
        <v>79</v>
      </c>
      <c r="AE155" s="4" t="s">
        <v>386</v>
      </c>
      <c r="AF155" s="4" t="s">
        <v>389</v>
      </c>
      <c r="AG155" s="4" t="s">
        <v>392</v>
      </c>
      <c r="AH155" s="4" t="s">
        <v>395</v>
      </c>
      <c r="AL155" s="4">
        <v>0</v>
      </c>
      <c r="AM155" s="4">
        <f t="shared" si="59"/>
        <v>0</v>
      </c>
      <c r="AN155" s="4">
        <f t="shared" si="60"/>
        <v>0</v>
      </c>
      <c r="AO155" s="4">
        <v>0</v>
      </c>
      <c r="AP155" s="4">
        <f t="shared" si="61"/>
        <v>0</v>
      </c>
      <c r="AQ155" s="4">
        <f t="shared" si="62"/>
        <v>0</v>
      </c>
      <c r="AS155" s="4">
        <f t="shared" si="82"/>
        <v>0</v>
      </c>
      <c r="AT155" s="4">
        <f t="shared" si="83"/>
        <v>0</v>
      </c>
      <c r="BA155" s="4">
        <f t="shared" si="63"/>
        <v>20</v>
      </c>
      <c r="BB155" s="4">
        <f t="shared" si="64"/>
        <v>20</v>
      </c>
      <c r="BC155" s="4">
        <f t="shared" si="65"/>
        <v>20</v>
      </c>
      <c r="BD155" s="4">
        <f t="shared" si="66"/>
        <v>20</v>
      </c>
      <c r="BE155" s="4">
        <f t="shared" si="67"/>
        <v>20</v>
      </c>
      <c r="BF155" s="4">
        <f t="shared" si="68"/>
        <v>20</v>
      </c>
      <c r="BG155" s="106">
        <f t="shared" si="69"/>
        <v>1</v>
      </c>
      <c r="BH155" s="106">
        <f t="shared" si="70"/>
        <v>1</v>
      </c>
      <c r="BI155" s="106">
        <f t="shared" si="71"/>
        <v>1</v>
      </c>
      <c r="BJ155" s="106">
        <f t="shared" si="72"/>
        <v>1</v>
      </c>
      <c r="BK155" s="106">
        <f t="shared" si="73"/>
        <v>1</v>
      </c>
      <c r="BL155" s="106">
        <f t="shared" si="74"/>
        <v>1</v>
      </c>
      <c r="BM155" s="106"/>
      <c r="BO155" s="4" t="s">
        <v>1004</v>
      </c>
      <c r="BP155" s="127">
        <f t="shared" si="75"/>
        <v>15.555555555555555</v>
      </c>
      <c r="BQ155" s="4">
        <f t="shared" si="76"/>
        <v>0</v>
      </c>
      <c r="BR155" s="4">
        <f t="shared" si="77"/>
        <v>0</v>
      </c>
      <c r="BS155" s="4">
        <f t="shared" si="78"/>
        <v>0</v>
      </c>
      <c r="BT155" s="4">
        <f t="shared" si="79"/>
        <v>0</v>
      </c>
      <c r="BU155" s="4">
        <f t="shared" si="80"/>
        <v>0</v>
      </c>
      <c r="BV155" s="4">
        <f t="shared" si="81"/>
        <v>0</v>
      </c>
    </row>
    <row r="156" spans="1:74" s="4" customFormat="1" x14ac:dyDescent="0.2">
      <c r="A156" s="4" t="s">
        <v>37</v>
      </c>
      <c r="B156" s="4" t="s">
        <v>38</v>
      </c>
      <c r="C156" s="4">
        <v>20</v>
      </c>
      <c r="F156" s="4" t="s">
        <v>252</v>
      </c>
      <c r="G156" s="4" t="s">
        <v>253</v>
      </c>
      <c r="H156" s="4" t="s">
        <v>50</v>
      </c>
      <c r="I156" s="4" t="s">
        <v>39</v>
      </c>
      <c r="J156" s="4" t="str">
        <f t="shared" si="57"/>
        <v>RACKPDU-RACK-R4-Z1-R1-11-A</v>
      </c>
      <c r="K156" s="4" t="str">
        <f t="shared" si="58"/>
        <v>RACKPDU-RACK-R4-Z1-R1-11-B</v>
      </c>
      <c r="L156" s="4">
        <v>20</v>
      </c>
      <c r="M156" s="4">
        <f>VLOOKUP($H156,'Cooling-Rack'!$A$2:$G$265,5,FALSE)</f>
        <v>14</v>
      </c>
      <c r="N156" s="4">
        <f>VLOOKUP($H156,'Cooling-Rack'!$A$2:$G$265,7,FALSE)</f>
        <v>6.0000000000000009</v>
      </c>
      <c r="O156" s="4">
        <f t="shared" si="84"/>
        <v>25</v>
      </c>
      <c r="P156" s="106">
        <v>0.7</v>
      </c>
      <c r="Q156" s="106">
        <v>0.30000000000000004</v>
      </c>
      <c r="R156" s="20" t="s">
        <v>64</v>
      </c>
      <c r="S156" s="20" t="s">
        <v>66</v>
      </c>
      <c r="T156" s="20" t="s">
        <v>73</v>
      </c>
      <c r="U156" s="4" t="s">
        <v>72</v>
      </c>
      <c r="V156" s="4" t="s">
        <v>293</v>
      </c>
      <c r="W156" s="4" t="s">
        <v>294</v>
      </c>
      <c r="X156" s="4" t="s">
        <v>80</v>
      </c>
      <c r="Y156" s="4" t="s">
        <v>76</v>
      </c>
      <c r="Z156" s="4" t="s">
        <v>77</v>
      </c>
      <c r="AA156" s="4" t="s">
        <v>74</v>
      </c>
      <c r="AB156" s="4" t="s">
        <v>75</v>
      </c>
      <c r="AC156" s="4" t="s">
        <v>78</v>
      </c>
      <c r="AD156" s="4" t="s">
        <v>79</v>
      </c>
      <c r="AE156" s="4" t="s">
        <v>386</v>
      </c>
      <c r="AF156" s="4" t="s">
        <v>389</v>
      </c>
      <c r="AG156" s="4" t="s">
        <v>392</v>
      </c>
      <c r="AH156" s="4" t="s">
        <v>395</v>
      </c>
      <c r="AL156" s="4">
        <v>0</v>
      </c>
      <c r="AM156" s="4">
        <f t="shared" si="59"/>
        <v>0</v>
      </c>
      <c r="AN156" s="4">
        <f t="shared" si="60"/>
        <v>0</v>
      </c>
      <c r="AO156" s="4">
        <v>0</v>
      </c>
      <c r="AP156" s="4">
        <f t="shared" si="61"/>
        <v>0</v>
      </c>
      <c r="AQ156" s="4">
        <f t="shared" si="62"/>
        <v>0</v>
      </c>
      <c r="AS156" s="4">
        <f t="shared" si="82"/>
        <v>0</v>
      </c>
      <c r="AT156" s="4">
        <f t="shared" si="83"/>
        <v>0</v>
      </c>
      <c r="BA156" s="4">
        <f t="shared" si="63"/>
        <v>20</v>
      </c>
      <c r="BB156" s="4">
        <f t="shared" si="64"/>
        <v>20</v>
      </c>
      <c r="BC156" s="4">
        <f t="shared" si="65"/>
        <v>20</v>
      </c>
      <c r="BD156" s="4">
        <f t="shared" si="66"/>
        <v>20</v>
      </c>
      <c r="BE156" s="4">
        <f t="shared" si="67"/>
        <v>20</v>
      </c>
      <c r="BF156" s="4">
        <f t="shared" si="68"/>
        <v>20</v>
      </c>
      <c r="BG156" s="106">
        <f t="shared" si="69"/>
        <v>1</v>
      </c>
      <c r="BH156" s="106">
        <f t="shared" si="70"/>
        <v>1</v>
      </c>
      <c r="BI156" s="106">
        <f t="shared" si="71"/>
        <v>1</v>
      </c>
      <c r="BJ156" s="106">
        <f t="shared" si="72"/>
        <v>1</v>
      </c>
      <c r="BK156" s="106">
        <f t="shared" si="73"/>
        <v>1</v>
      </c>
      <c r="BL156" s="106">
        <f t="shared" si="74"/>
        <v>1</v>
      </c>
      <c r="BM156" s="106"/>
      <c r="BO156" s="4" t="s">
        <v>1005</v>
      </c>
      <c r="BP156" s="127">
        <f t="shared" si="75"/>
        <v>15.555555555555555</v>
      </c>
      <c r="BQ156" s="4">
        <f t="shared" si="76"/>
        <v>0</v>
      </c>
      <c r="BR156" s="4">
        <f t="shared" si="77"/>
        <v>0</v>
      </c>
      <c r="BS156" s="4">
        <f t="shared" si="78"/>
        <v>0</v>
      </c>
      <c r="BT156" s="4">
        <f t="shared" si="79"/>
        <v>0</v>
      </c>
      <c r="BU156" s="4">
        <f t="shared" si="80"/>
        <v>0</v>
      </c>
      <c r="BV156" s="4">
        <f t="shared" si="81"/>
        <v>0</v>
      </c>
    </row>
    <row r="157" spans="1:74" s="4" customFormat="1" x14ac:dyDescent="0.2">
      <c r="A157" s="4" t="s">
        <v>37</v>
      </c>
      <c r="B157" s="4" t="s">
        <v>38</v>
      </c>
      <c r="C157" s="4">
        <v>20</v>
      </c>
      <c r="F157" s="4" t="s">
        <v>252</v>
      </c>
      <c r="G157" s="4" t="s">
        <v>253</v>
      </c>
      <c r="H157" s="4" t="s">
        <v>51</v>
      </c>
      <c r="I157" s="4" t="s">
        <v>39</v>
      </c>
      <c r="J157" s="4" t="str">
        <f t="shared" si="57"/>
        <v>RACKPDU-RACK-R4-Z1-R1-12-A</v>
      </c>
      <c r="K157" s="4" t="str">
        <f t="shared" si="58"/>
        <v>RACKPDU-RACK-R4-Z1-R1-12-B</v>
      </c>
      <c r="L157" s="4">
        <v>20</v>
      </c>
      <c r="M157" s="4">
        <f>VLOOKUP($H157,'Cooling-Rack'!$A$2:$G$265,5,FALSE)</f>
        <v>14</v>
      </c>
      <c r="N157" s="4">
        <f>VLOOKUP($H157,'Cooling-Rack'!$A$2:$G$265,7,FALSE)</f>
        <v>6.0000000000000009</v>
      </c>
      <c r="O157" s="4">
        <f t="shared" si="84"/>
        <v>25</v>
      </c>
      <c r="P157" s="106">
        <v>0.7</v>
      </c>
      <c r="Q157" s="106">
        <v>0.30000000000000004</v>
      </c>
      <c r="R157" s="22" t="s">
        <v>65</v>
      </c>
      <c r="S157" s="22" t="s">
        <v>67</v>
      </c>
      <c r="T157" s="20" t="s">
        <v>73</v>
      </c>
      <c r="U157" s="4" t="s">
        <v>72</v>
      </c>
      <c r="V157" s="4" t="s">
        <v>293</v>
      </c>
      <c r="W157" s="4" t="s">
        <v>294</v>
      </c>
      <c r="X157" s="4" t="s">
        <v>80</v>
      </c>
      <c r="Y157" s="4" t="s">
        <v>76</v>
      </c>
      <c r="Z157" s="4" t="s">
        <v>77</v>
      </c>
      <c r="AA157" s="4" t="s">
        <v>74</v>
      </c>
      <c r="AB157" s="4" t="s">
        <v>75</v>
      </c>
      <c r="AC157" s="4" t="s">
        <v>78</v>
      </c>
      <c r="AD157" s="4" t="s">
        <v>79</v>
      </c>
      <c r="AE157" s="4" t="s">
        <v>386</v>
      </c>
      <c r="AF157" s="4" t="s">
        <v>389</v>
      </c>
      <c r="AG157" s="4" t="s">
        <v>392</v>
      </c>
      <c r="AH157" s="4" t="s">
        <v>395</v>
      </c>
      <c r="AL157" s="4">
        <v>0</v>
      </c>
      <c r="AM157" s="4">
        <f t="shared" si="59"/>
        <v>0</v>
      </c>
      <c r="AN157" s="4">
        <f t="shared" si="60"/>
        <v>0</v>
      </c>
      <c r="AO157" s="4">
        <v>0</v>
      </c>
      <c r="AP157" s="4">
        <f t="shared" si="61"/>
        <v>0</v>
      </c>
      <c r="AQ157" s="4">
        <f t="shared" si="62"/>
        <v>0</v>
      </c>
      <c r="AS157" s="4">
        <f t="shared" si="82"/>
        <v>0</v>
      </c>
      <c r="AT157" s="4">
        <f t="shared" si="83"/>
        <v>0</v>
      </c>
      <c r="BA157" s="4">
        <f t="shared" si="63"/>
        <v>20</v>
      </c>
      <c r="BB157" s="4">
        <f t="shared" si="64"/>
        <v>20</v>
      </c>
      <c r="BC157" s="4">
        <f t="shared" si="65"/>
        <v>20</v>
      </c>
      <c r="BD157" s="4">
        <f t="shared" si="66"/>
        <v>20</v>
      </c>
      <c r="BE157" s="4">
        <f t="shared" si="67"/>
        <v>20</v>
      </c>
      <c r="BF157" s="4">
        <f t="shared" si="68"/>
        <v>20</v>
      </c>
      <c r="BG157" s="106">
        <f t="shared" si="69"/>
        <v>1</v>
      </c>
      <c r="BH157" s="106">
        <f t="shared" si="70"/>
        <v>1</v>
      </c>
      <c r="BI157" s="106">
        <f t="shared" si="71"/>
        <v>1</v>
      </c>
      <c r="BJ157" s="106">
        <f t="shared" si="72"/>
        <v>1</v>
      </c>
      <c r="BK157" s="106">
        <f t="shared" si="73"/>
        <v>1</v>
      </c>
      <c r="BL157" s="106">
        <f t="shared" si="74"/>
        <v>1</v>
      </c>
      <c r="BM157" s="106"/>
      <c r="BO157" s="4" t="s">
        <v>1006</v>
      </c>
      <c r="BP157" s="127">
        <f t="shared" si="75"/>
        <v>15.555555555555555</v>
      </c>
      <c r="BQ157" s="4">
        <f t="shared" si="76"/>
        <v>0</v>
      </c>
      <c r="BR157" s="4">
        <f t="shared" si="77"/>
        <v>0</v>
      </c>
      <c r="BS157" s="4">
        <f t="shared" si="78"/>
        <v>0</v>
      </c>
      <c r="BT157" s="4">
        <f t="shared" si="79"/>
        <v>0</v>
      </c>
      <c r="BU157" s="4">
        <f t="shared" si="80"/>
        <v>0</v>
      </c>
      <c r="BV157" s="4">
        <f t="shared" si="81"/>
        <v>0</v>
      </c>
    </row>
    <row r="158" spans="1:74" s="19" customFormat="1" x14ac:dyDescent="0.2">
      <c r="A158" s="19" t="s">
        <v>37</v>
      </c>
      <c r="B158" s="19" t="s">
        <v>302</v>
      </c>
      <c r="C158" s="19">
        <v>20</v>
      </c>
      <c r="F158" s="19" t="s">
        <v>252</v>
      </c>
      <c r="G158" s="19" t="s">
        <v>253</v>
      </c>
      <c r="H158" s="19" t="s">
        <v>52</v>
      </c>
      <c r="I158" s="19" t="s">
        <v>39</v>
      </c>
      <c r="J158" s="19" t="str">
        <f t="shared" si="57"/>
        <v>RACKPDU-RACK-R4-Z1-R2-01-A</v>
      </c>
      <c r="K158" s="19" t="str">
        <f t="shared" si="58"/>
        <v>RACKPDU-RACK-R4-Z1-R2-01-B</v>
      </c>
      <c r="L158" s="19">
        <v>20</v>
      </c>
      <c r="M158" s="19">
        <f>VLOOKUP($H158,'Cooling-Rack'!$A$2:$G$265,5,FALSE)</f>
        <v>14</v>
      </c>
      <c r="N158" s="19">
        <f>VLOOKUP($H158,'Cooling-Rack'!$A$2:$G$265,7,FALSE)</f>
        <v>6.0000000000000009</v>
      </c>
      <c r="O158" s="19">
        <f t="shared" si="84"/>
        <v>25</v>
      </c>
      <c r="P158" s="107">
        <v>0.7</v>
      </c>
      <c r="Q158" s="107">
        <v>0.30000000000000004</v>
      </c>
      <c r="R158" s="21" t="s">
        <v>64</v>
      </c>
      <c r="S158" s="21" t="s">
        <v>66</v>
      </c>
      <c r="T158" s="21" t="s">
        <v>73</v>
      </c>
      <c r="U158" s="19" t="s">
        <v>72</v>
      </c>
      <c r="V158" s="19" t="s">
        <v>293</v>
      </c>
      <c r="W158" s="19" t="s">
        <v>294</v>
      </c>
      <c r="X158" s="19" t="s">
        <v>80</v>
      </c>
      <c r="Y158" s="19" t="s">
        <v>76</v>
      </c>
      <c r="Z158" s="19" t="s">
        <v>77</v>
      </c>
      <c r="AA158" s="19" t="s">
        <v>74</v>
      </c>
      <c r="AB158" s="19" t="s">
        <v>75</v>
      </c>
      <c r="AC158" s="19" t="s">
        <v>78</v>
      </c>
      <c r="AD158" s="19" t="s">
        <v>79</v>
      </c>
      <c r="AE158" s="19" t="s">
        <v>386</v>
      </c>
      <c r="AF158" s="19" t="s">
        <v>389</v>
      </c>
      <c r="AG158" s="19" t="s">
        <v>392</v>
      </c>
      <c r="AH158" s="19" t="s">
        <v>395</v>
      </c>
      <c r="AL158" s="19">
        <v>0</v>
      </c>
      <c r="AM158" s="19">
        <f t="shared" si="59"/>
        <v>0</v>
      </c>
      <c r="AN158" s="19">
        <f t="shared" si="60"/>
        <v>0</v>
      </c>
      <c r="AO158" s="19">
        <v>0</v>
      </c>
      <c r="AP158" s="19">
        <f t="shared" si="61"/>
        <v>0</v>
      </c>
      <c r="AQ158" s="19">
        <f t="shared" si="62"/>
        <v>0</v>
      </c>
      <c r="AS158" s="19">
        <f t="shared" si="82"/>
        <v>0</v>
      </c>
      <c r="AT158" s="19">
        <f t="shared" si="83"/>
        <v>0</v>
      </c>
      <c r="BA158" s="19">
        <f t="shared" si="63"/>
        <v>20</v>
      </c>
      <c r="BB158" s="19">
        <f t="shared" si="64"/>
        <v>20</v>
      </c>
      <c r="BC158" s="19">
        <f t="shared" si="65"/>
        <v>20</v>
      </c>
      <c r="BD158" s="19">
        <f t="shared" si="66"/>
        <v>20</v>
      </c>
      <c r="BE158" s="19">
        <f t="shared" si="67"/>
        <v>20</v>
      </c>
      <c r="BF158" s="19">
        <f t="shared" si="68"/>
        <v>20</v>
      </c>
      <c r="BG158" s="107">
        <f t="shared" si="69"/>
        <v>1</v>
      </c>
      <c r="BH158" s="107">
        <f t="shared" si="70"/>
        <v>1</v>
      </c>
      <c r="BI158" s="107">
        <f t="shared" si="71"/>
        <v>1</v>
      </c>
      <c r="BJ158" s="107">
        <f t="shared" si="72"/>
        <v>1</v>
      </c>
      <c r="BK158" s="107">
        <f t="shared" si="73"/>
        <v>1</v>
      </c>
      <c r="BL158" s="107">
        <f t="shared" si="74"/>
        <v>1</v>
      </c>
      <c r="BM158" s="107"/>
      <c r="BO158" s="19" t="s">
        <v>1007</v>
      </c>
      <c r="BP158" s="128">
        <f t="shared" si="75"/>
        <v>15.555555555555555</v>
      </c>
      <c r="BQ158" s="19">
        <f t="shared" si="76"/>
        <v>0</v>
      </c>
      <c r="BR158" s="19">
        <f t="shared" si="77"/>
        <v>0</v>
      </c>
      <c r="BS158" s="19">
        <f t="shared" si="78"/>
        <v>0</v>
      </c>
      <c r="BT158" s="19">
        <f t="shared" si="79"/>
        <v>0</v>
      </c>
      <c r="BU158" s="19">
        <f t="shared" si="80"/>
        <v>0</v>
      </c>
      <c r="BV158" s="19">
        <f t="shared" si="81"/>
        <v>0</v>
      </c>
    </row>
    <row r="159" spans="1:74" s="19" customFormat="1" x14ac:dyDescent="0.2">
      <c r="A159" s="19" t="s">
        <v>37</v>
      </c>
      <c r="B159" s="19" t="s">
        <v>302</v>
      </c>
      <c r="C159" s="19">
        <v>20</v>
      </c>
      <c r="F159" s="19" t="s">
        <v>252</v>
      </c>
      <c r="G159" s="19" t="s">
        <v>253</v>
      </c>
      <c r="H159" s="19" t="s">
        <v>53</v>
      </c>
      <c r="I159" s="19" t="s">
        <v>39</v>
      </c>
      <c r="J159" s="19" t="str">
        <f t="shared" si="57"/>
        <v>RACKPDU-RACK-R4-Z1-R2-02-A</v>
      </c>
      <c r="K159" s="19" t="str">
        <f t="shared" si="58"/>
        <v>RACKPDU-RACK-R4-Z1-R2-02-B</v>
      </c>
      <c r="L159" s="19">
        <v>20</v>
      </c>
      <c r="M159" s="19">
        <f>VLOOKUP($H159,'Cooling-Rack'!$A$2:$G$265,5,FALSE)</f>
        <v>14</v>
      </c>
      <c r="N159" s="19">
        <f>VLOOKUP($H159,'Cooling-Rack'!$A$2:$G$265,7,FALSE)</f>
        <v>6.0000000000000009</v>
      </c>
      <c r="O159" s="19">
        <f t="shared" si="84"/>
        <v>25</v>
      </c>
      <c r="P159" s="107">
        <v>0.7</v>
      </c>
      <c r="Q159" s="107">
        <v>0.30000000000000004</v>
      </c>
      <c r="R159" s="23" t="s">
        <v>65</v>
      </c>
      <c r="S159" s="23" t="s">
        <v>67</v>
      </c>
      <c r="T159" s="21" t="s">
        <v>73</v>
      </c>
      <c r="U159" s="19" t="s">
        <v>72</v>
      </c>
      <c r="V159" s="19" t="s">
        <v>293</v>
      </c>
      <c r="W159" s="19" t="s">
        <v>294</v>
      </c>
      <c r="X159" s="19" t="s">
        <v>80</v>
      </c>
      <c r="Y159" s="19" t="s">
        <v>76</v>
      </c>
      <c r="Z159" s="19" t="s">
        <v>77</v>
      </c>
      <c r="AA159" s="19" t="s">
        <v>74</v>
      </c>
      <c r="AB159" s="19" t="s">
        <v>75</v>
      </c>
      <c r="AC159" s="19" t="s">
        <v>78</v>
      </c>
      <c r="AD159" s="19" t="s">
        <v>79</v>
      </c>
      <c r="AE159" s="19" t="s">
        <v>386</v>
      </c>
      <c r="AF159" s="19" t="s">
        <v>389</v>
      </c>
      <c r="AG159" s="19" t="s">
        <v>392</v>
      </c>
      <c r="AH159" s="19" t="s">
        <v>395</v>
      </c>
      <c r="AL159" s="19">
        <v>0</v>
      </c>
      <c r="AM159" s="19">
        <f t="shared" si="59"/>
        <v>0</v>
      </c>
      <c r="AN159" s="19">
        <f t="shared" si="60"/>
        <v>0</v>
      </c>
      <c r="AO159" s="19">
        <v>0</v>
      </c>
      <c r="AP159" s="19">
        <f t="shared" si="61"/>
        <v>0</v>
      </c>
      <c r="AQ159" s="19">
        <f t="shared" si="62"/>
        <v>0</v>
      </c>
      <c r="AS159" s="19">
        <f t="shared" si="82"/>
        <v>0</v>
      </c>
      <c r="AT159" s="19">
        <f t="shared" si="83"/>
        <v>0</v>
      </c>
      <c r="BA159" s="19">
        <f t="shared" si="63"/>
        <v>20</v>
      </c>
      <c r="BB159" s="19">
        <f t="shared" si="64"/>
        <v>20</v>
      </c>
      <c r="BC159" s="19">
        <f t="shared" si="65"/>
        <v>20</v>
      </c>
      <c r="BD159" s="19">
        <f t="shared" si="66"/>
        <v>20</v>
      </c>
      <c r="BE159" s="19">
        <f t="shared" si="67"/>
        <v>20</v>
      </c>
      <c r="BF159" s="19">
        <f t="shared" si="68"/>
        <v>20</v>
      </c>
      <c r="BG159" s="107">
        <f t="shared" si="69"/>
        <v>1</v>
      </c>
      <c r="BH159" s="107">
        <f t="shared" si="70"/>
        <v>1</v>
      </c>
      <c r="BI159" s="107">
        <f t="shared" si="71"/>
        <v>1</v>
      </c>
      <c r="BJ159" s="107">
        <f t="shared" si="72"/>
        <v>1</v>
      </c>
      <c r="BK159" s="107">
        <f t="shared" si="73"/>
        <v>1</v>
      </c>
      <c r="BL159" s="107">
        <f t="shared" si="74"/>
        <v>1</v>
      </c>
      <c r="BM159" s="107"/>
      <c r="BO159" s="19" t="s">
        <v>1008</v>
      </c>
      <c r="BP159" s="128">
        <f t="shared" si="75"/>
        <v>15.555555555555555</v>
      </c>
      <c r="BQ159" s="19">
        <f t="shared" si="76"/>
        <v>0</v>
      </c>
      <c r="BR159" s="19">
        <f t="shared" si="77"/>
        <v>0</v>
      </c>
      <c r="BS159" s="19">
        <f t="shared" si="78"/>
        <v>0</v>
      </c>
      <c r="BT159" s="19">
        <f t="shared" si="79"/>
        <v>0</v>
      </c>
      <c r="BU159" s="19">
        <f t="shared" si="80"/>
        <v>0</v>
      </c>
      <c r="BV159" s="19">
        <f t="shared" si="81"/>
        <v>0</v>
      </c>
    </row>
    <row r="160" spans="1:74" s="19" customFormat="1" x14ac:dyDescent="0.2">
      <c r="A160" s="19" t="s">
        <v>37</v>
      </c>
      <c r="B160" s="19" t="s">
        <v>302</v>
      </c>
      <c r="C160" s="19">
        <v>20</v>
      </c>
      <c r="F160" s="19" t="s">
        <v>252</v>
      </c>
      <c r="G160" s="19" t="s">
        <v>253</v>
      </c>
      <c r="H160" s="19" t="s">
        <v>54</v>
      </c>
      <c r="I160" s="19" t="s">
        <v>39</v>
      </c>
      <c r="J160" s="19" t="str">
        <f t="shared" si="57"/>
        <v>RACKPDU-RACK-R4-Z1-R2-03-A</v>
      </c>
      <c r="K160" s="19" t="str">
        <f t="shared" si="58"/>
        <v>RACKPDU-RACK-R4-Z1-R2-03-B</v>
      </c>
      <c r="L160" s="19">
        <v>20</v>
      </c>
      <c r="M160" s="19">
        <f>VLOOKUP($H160,'Cooling-Rack'!$A$2:$G$265,5,FALSE)</f>
        <v>14</v>
      </c>
      <c r="N160" s="19">
        <f>VLOOKUP($H160,'Cooling-Rack'!$A$2:$G$265,7,FALSE)</f>
        <v>6.0000000000000009</v>
      </c>
      <c r="O160" s="19">
        <f t="shared" si="84"/>
        <v>25</v>
      </c>
      <c r="P160" s="107">
        <v>0.7</v>
      </c>
      <c r="Q160" s="107">
        <v>0.30000000000000004</v>
      </c>
      <c r="R160" s="21" t="s">
        <v>64</v>
      </c>
      <c r="S160" s="21" t="s">
        <v>66</v>
      </c>
      <c r="T160" s="21" t="s">
        <v>73</v>
      </c>
      <c r="U160" s="19" t="s">
        <v>72</v>
      </c>
      <c r="V160" s="19" t="s">
        <v>293</v>
      </c>
      <c r="W160" s="19" t="s">
        <v>294</v>
      </c>
      <c r="X160" s="19" t="s">
        <v>80</v>
      </c>
      <c r="Y160" s="19" t="s">
        <v>76</v>
      </c>
      <c r="Z160" s="19" t="s">
        <v>77</v>
      </c>
      <c r="AA160" s="19" t="s">
        <v>74</v>
      </c>
      <c r="AB160" s="19" t="s">
        <v>75</v>
      </c>
      <c r="AC160" s="19" t="s">
        <v>78</v>
      </c>
      <c r="AD160" s="19" t="s">
        <v>79</v>
      </c>
      <c r="AE160" s="19" t="s">
        <v>386</v>
      </c>
      <c r="AF160" s="19" t="s">
        <v>389</v>
      </c>
      <c r="AG160" s="19" t="s">
        <v>392</v>
      </c>
      <c r="AH160" s="19" t="s">
        <v>395</v>
      </c>
      <c r="AL160" s="19">
        <v>0</v>
      </c>
      <c r="AM160" s="19">
        <f t="shared" si="59"/>
        <v>0</v>
      </c>
      <c r="AN160" s="19">
        <f t="shared" si="60"/>
        <v>0</v>
      </c>
      <c r="AO160" s="19">
        <v>0</v>
      </c>
      <c r="AP160" s="19">
        <f t="shared" si="61"/>
        <v>0</v>
      </c>
      <c r="AQ160" s="19">
        <f t="shared" si="62"/>
        <v>0</v>
      </c>
      <c r="AS160" s="19">
        <f t="shared" si="82"/>
        <v>0</v>
      </c>
      <c r="AT160" s="19">
        <f t="shared" si="83"/>
        <v>0</v>
      </c>
      <c r="BA160" s="19">
        <f t="shared" si="63"/>
        <v>20</v>
      </c>
      <c r="BB160" s="19">
        <f t="shared" si="64"/>
        <v>20</v>
      </c>
      <c r="BC160" s="19">
        <f t="shared" si="65"/>
        <v>20</v>
      </c>
      <c r="BD160" s="19">
        <f t="shared" si="66"/>
        <v>20</v>
      </c>
      <c r="BE160" s="19">
        <f t="shared" si="67"/>
        <v>20</v>
      </c>
      <c r="BF160" s="19">
        <f t="shared" si="68"/>
        <v>20</v>
      </c>
      <c r="BG160" s="107">
        <f t="shared" si="69"/>
        <v>1</v>
      </c>
      <c r="BH160" s="107">
        <f t="shared" si="70"/>
        <v>1</v>
      </c>
      <c r="BI160" s="107">
        <f t="shared" si="71"/>
        <v>1</v>
      </c>
      <c r="BJ160" s="107">
        <f t="shared" si="72"/>
        <v>1</v>
      </c>
      <c r="BK160" s="107">
        <f t="shared" si="73"/>
        <v>1</v>
      </c>
      <c r="BL160" s="107">
        <f t="shared" si="74"/>
        <v>1</v>
      </c>
      <c r="BM160" s="107"/>
      <c r="BO160" s="19" t="s">
        <v>1009</v>
      </c>
      <c r="BP160" s="128">
        <f t="shared" si="75"/>
        <v>15.555555555555555</v>
      </c>
      <c r="BQ160" s="19">
        <f t="shared" si="76"/>
        <v>0</v>
      </c>
      <c r="BR160" s="19">
        <f t="shared" si="77"/>
        <v>0</v>
      </c>
      <c r="BS160" s="19">
        <f t="shared" si="78"/>
        <v>0</v>
      </c>
      <c r="BT160" s="19">
        <f t="shared" si="79"/>
        <v>0</v>
      </c>
      <c r="BU160" s="19">
        <f t="shared" si="80"/>
        <v>0</v>
      </c>
      <c r="BV160" s="19">
        <f t="shared" si="81"/>
        <v>0</v>
      </c>
    </row>
    <row r="161" spans="1:74" s="19" customFormat="1" x14ac:dyDescent="0.2">
      <c r="A161" s="19" t="s">
        <v>37</v>
      </c>
      <c r="B161" s="19" t="s">
        <v>302</v>
      </c>
      <c r="C161" s="19">
        <v>20</v>
      </c>
      <c r="F161" s="19" t="s">
        <v>252</v>
      </c>
      <c r="G161" s="19" t="s">
        <v>253</v>
      </c>
      <c r="H161" s="19" t="s">
        <v>55</v>
      </c>
      <c r="I161" s="19" t="s">
        <v>39</v>
      </c>
      <c r="J161" s="19" t="str">
        <f t="shared" si="57"/>
        <v>RACKPDU-RACK-R4-Z1-R2-04-A</v>
      </c>
      <c r="K161" s="19" t="str">
        <f t="shared" si="58"/>
        <v>RACKPDU-RACK-R4-Z1-R2-04-B</v>
      </c>
      <c r="L161" s="19">
        <v>20</v>
      </c>
      <c r="M161" s="19">
        <f>VLOOKUP($H161,'Cooling-Rack'!$A$2:$G$265,5,FALSE)</f>
        <v>14</v>
      </c>
      <c r="N161" s="19">
        <f>VLOOKUP($H161,'Cooling-Rack'!$A$2:$G$265,7,FALSE)</f>
        <v>6.0000000000000009</v>
      </c>
      <c r="O161" s="19">
        <f t="shared" si="84"/>
        <v>25</v>
      </c>
      <c r="P161" s="107">
        <v>0.7</v>
      </c>
      <c r="Q161" s="107">
        <v>0.30000000000000004</v>
      </c>
      <c r="R161" s="23" t="s">
        <v>65</v>
      </c>
      <c r="S161" s="23" t="s">
        <v>67</v>
      </c>
      <c r="T161" s="21" t="s">
        <v>73</v>
      </c>
      <c r="U161" s="19" t="s">
        <v>72</v>
      </c>
      <c r="V161" s="19" t="s">
        <v>293</v>
      </c>
      <c r="W161" s="19" t="s">
        <v>294</v>
      </c>
      <c r="X161" s="19" t="s">
        <v>80</v>
      </c>
      <c r="Y161" s="19" t="s">
        <v>76</v>
      </c>
      <c r="Z161" s="19" t="s">
        <v>77</v>
      </c>
      <c r="AA161" s="19" t="s">
        <v>74</v>
      </c>
      <c r="AB161" s="19" t="s">
        <v>75</v>
      </c>
      <c r="AC161" s="19" t="s">
        <v>78</v>
      </c>
      <c r="AD161" s="19" t="s">
        <v>79</v>
      </c>
      <c r="AE161" s="19" t="s">
        <v>386</v>
      </c>
      <c r="AF161" s="19" t="s">
        <v>389</v>
      </c>
      <c r="AG161" s="19" t="s">
        <v>392</v>
      </c>
      <c r="AH161" s="19" t="s">
        <v>395</v>
      </c>
      <c r="AL161" s="19">
        <v>0</v>
      </c>
      <c r="AM161" s="19">
        <f t="shared" si="59"/>
        <v>0</v>
      </c>
      <c r="AN161" s="19">
        <f t="shared" si="60"/>
        <v>0</v>
      </c>
      <c r="AO161" s="19">
        <v>0</v>
      </c>
      <c r="AP161" s="19">
        <f t="shared" si="61"/>
        <v>0</v>
      </c>
      <c r="AQ161" s="19">
        <f t="shared" si="62"/>
        <v>0</v>
      </c>
      <c r="AS161" s="19">
        <f t="shared" si="82"/>
        <v>0</v>
      </c>
      <c r="AT161" s="19">
        <f t="shared" si="83"/>
        <v>0</v>
      </c>
      <c r="BA161" s="19">
        <f t="shared" si="63"/>
        <v>20</v>
      </c>
      <c r="BB161" s="19">
        <f t="shared" si="64"/>
        <v>20</v>
      </c>
      <c r="BC161" s="19">
        <f t="shared" si="65"/>
        <v>20</v>
      </c>
      <c r="BD161" s="19">
        <f t="shared" si="66"/>
        <v>20</v>
      </c>
      <c r="BE161" s="19">
        <f t="shared" si="67"/>
        <v>20</v>
      </c>
      <c r="BF161" s="19">
        <f t="shared" si="68"/>
        <v>20</v>
      </c>
      <c r="BG161" s="107">
        <f t="shared" si="69"/>
        <v>1</v>
      </c>
      <c r="BH161" s="107">
        <f t="shared" si="70"/>
        <v>1</v>
      </c>
      <c r="BI161" s="107">
        <f t="shared" si="71"/>
        <v>1</v>
      </c>
      <c r="BJ161" s="107">
        <f t="shared" si="72"/>
        <v>1</v>
      </c>
      <c r="BK161" s="107">
        <f t="shared" si="73"/>
        <v>1</v>
      </c>
      <c r="BL161" s="107">
        <f t="shared" si="74"/>
        <v>1</v>
      </c>
      <c r="BM161" s="107"/>
      <c r="BO161" s="19" t="s">
        <v>1010</v>
      </c>
      <c r="BP161" s="128">
        <f t="shared" si="75"/>
        <v>15.555555555555555</v>
      </c>
      <c r="BQ161" s="19">
        <f t="shared" si="76"/>
        <v>0</v>
      </c>
      <c r="BR161" s="19">
        <f t="shared" si="77"/>
        <v>0</v>
      </c>
      <c r="BS161" s="19">
        <f t="shared" si="78"/>
        <v>0</v>
      </c>
      <c r="BT161" s="19">
        <f t="shared" si="79"/>
        <v>0</v>
      </c>
      <c r="BU161" s="19">
        <f t="shared" si="80"/>
        <v>0</v>
      </c>
      <c r="BV161" s="19">
        <f t="shared" si="81"/>
        <v>0</v>
      </c>
    </row>
    <row r="162" spans="1:74" s="19" customFormat="1" x14ac:dyDescent="0.2">
      <c r="A162" s="19" t="s">
        <v>37</v>
      </c>
      <c r="B162" s="19" t="s">
        <v>302</v>
      </c>
      <c r="C162" s="19">
        <v>20</v>
      </c>
      <c r="F162" s="19" t="s">
        <v>252</v>
      </c>
      <c r="G162" s="19" t="s">
        <v>253</v>
      </c>
      <c r="H162" s="19" t="s">
        <v>56</v>
      </c>
      <c r="I162" s="19" t="s">
        <v>39</v>
      </c>
      <c r="J162" s="19" t="str">
        <f t="shared" si="57"/>
        <v>RACKPDU-RACK-R4-Z1-R2-05-A</v>
      </c>
      <c r="K162" s="19" t="str">
        <f t="shared" si="58"/>
        <v>RACKPDU-RACK-R4-Z1-R2-05-B</v>
      </c>
      <c r="L162" s="19">
        <v>20</v>
      </c>
      <c r="M162" s="19">
        <f>VLOOKUP($H162,'Cooling-Rack'!$A$2:$G$265,5,FALSE)</f>
        <v>14</v>
      </c>
      <c r="N162" s="19">
        <f>VLOOKUP($H162,'Cooling-Rack'!$A$2:$G$265,7,FALSE)</f>
        <v>6.0000000000000009</v>
      </c>
      <c r="O162" s="19">
        <f t="shared" si="84"/>
        <v>25</v>
      </c>
      <c r="P162" s="107">
        <v>0.7</v>
      </c>
      <c r="Q162" s="107">
        <v>0.30000000000000004</v>
      </c>
      <c r="R162" s="21" t="s">
        <v>64</v>
      </c>
      <c r="S162" s="21" t="s">
        <v>66</v>
      </c>
      <c r="T162" s="21" t="s">
        <v>73</v>
      </c>
      <c r="U162" s="19" t="s">
        <v>72</v>
      </c>
      <c r="V162" s="19" t="s">
        <v>293</v>
      </c>
      <c r="W162" s="19" t="s">
        <v>294</v>
      </c>
      <c r="X162" s="19" t="s">
        <v>80</v>
      </c>
      <c r="Y162" s="19" t="s">
        <v>76</v>
      </c>
      <c r="Z162" s="19" t="s">
        <v>77</v>
      </c>
      <c r="AA162" s="19" t="s">
        <v>74</v>
      </c>
      <c r="AB162" s="19" t="s">
        <v>75</v>
      </c>
      <c r="AC162" s="19" t="s">
        <v>78</v>
      </c>
      <c r="AD162" s="19" t="s">
        <v>79</v>
      </c>
      <c r="AE162" s="19" t="s">
        <v>386</v>
      </c>
      <c r="AF162" s="19" t="s">
        <v>389</v>
      </c>
      <c r="AG162" s="19" t="s">
        <v>392</v>
      </c>
      <c r="AH162" s="19" t="s">
        <v>395</v>
      </c>
      <c r="AL162" s="19">
        <v>0</v>
      </c>
      <c r="AM162" s="19">
        <f t="shared" si="59"/>
        <v>0</v>
      </c>
      <c r="AN162" s="19">
        <f t="shared" si="60"/>
        <v>0</v>
      </c>
      <c r="AO162" s="19">
        <v>0</v>
      </c>
      <c r="AP162" s="19">
        <f t="shared" si="61"/>
        <v>0</v>
      </c>
      <c r="AQ162" s="19">
        <f t="shared" si="62"/>
        <v>0</v>
      </c>
      <c r="AS162" s="19">
        <f t="shared" si="82"/>
        <v>0</v>
      </c>
      <c r="AT162" s="19">
        <f t="shared" si="83"/>
        <v>0</v>
      </c>
      <c r="BA162" s="19">
        <f t="shared" si="63"/>
        <v>20</v>
      </c>
      <c r="BB162" s="19">
        <f t="shared" si="64"/>
        <v>20</v>
      </c>
      <c r="BC162" s="19">
        <f t="shared" si="65"/>
        <v>20</v>
      </c>
      <c r="BD162" s="19">
        <f t="shared" si="66"/>
        <v>20</v>
      </c>
      <c r="BE162" s="19">
        <f t="shared" si="67"/>
        <v>20</v>
      </c>
      <c r="BF162" s="19">
        <f t="shared" si="68"/>
        <v>20</v>
      </c>
      <c r="BG162" s="107">
        <f t="shared" si="69"/>
        <v>1</v>
      </c>
      <c r="BH162" s="107">
        <f t="shared" si="70"/>
        <v>1</v>
      </c>
      <c r="BI162" s="107">
        <f t="shared" si="71"/>
        <v>1</v>
      </c>
      <c r="BJ162" s="107">
        <f t="shared" si="72"/>
        <v>1</v>
      </c>
      <c r="BK162" s="107">
        <f t="shared" si="73"/>
        <v>1</v>
      </c>
      <c r="BL162" s="107">
        <f t="shared" si="74"/>
        <v>1</v>
      </c>
      <c r="BM162" s="107"/>
      <c r="BO162" s="19" t="s">
        <v>1011</v>
      </c>
      <c r="BP162" s="128">
        <f t="shared" si="75"/>
        <v>15.555555555555555</v>
      </c>
      <c r="BQ162" s="19">
        <f t="shared" si="76"/>
        <v>0</v>
      </c>
      <c r="BR162" s="19">
        <f t="shared" si="77"/>
        <v>0</v>
      </c>
      <c r="BS162" s="19">
        <f t="shared" si="78"/>
        <v>0</v>
      </c>
      <c r="BT162" s="19">
        <f t="shared" si="79"/>
        <v>0</v>
      </c>
      <c r="BU162" s="19">
        <f t="shared" si="80"/>
        <v>0</v>
      </c>
      <c r="BV162" s="19">
        <f t="shared" si="81"/>
        <v>0</v>
      </c>
    </row>
    <row r="163" spans="1:74" s="19" customFormat="1" x14ac:dyDescent="0.2">
      <c r="A163" s="19" t="s">
        <v>37</v>
      </c>
      <c r="B163" s="19" t="s">
        <v>302</v>
      </c>
      <c r="C163" s="19">
        <v>20</v>
      </c>
      <c r="F163" s="19" t="s">
        <v>252</v>
      </c>
      <c r="G163" s="19" t="s">
        <v>253</v>
      </c>
      <c r="H163" s="19" t="s">
        <v>57</v>
      </c>
      <c r="I163" s="19" t="s">
        <v>39</v>
      </c>
      <c r="J163" s="19" t="str">
        <f t="shared" si="57"/>
        <v>RACKPDU-RACK-R4-Z1-R2-06-A</v>
      </c>
      <c r="K163" s="19" t="str">
        <f t="shared" si="58"/>
        <v>RACKPDU-RACK-R4-Z1-R2-06-B</v>
      </c>
      <c r="L163" s="19">
        <v>20</v>
      </c>
      <c r="M163" s="19">
        <f>VLOOKUP($H163,'Cooling-Rack'!$A$2:$G$265,5,FALSE)</f>
        <v>14</v>
      </c>
      <c r="N163" s="19">
        <f>VLOOKUP($H163,'Cooling-Rack'!$A$2:$G$265,7,FALSE)</f>
        <v>6.0000000000000009</v>
      </c>
      <c r="O163" s="19">
        <f t="shared" si="84"/>
        <v>25</v>
      </c>
      <c r="P163" s="107">
        <v>0.7</v>
      </c>
      <c r="Q163" s="107">
        <v>0.30000000000000004</v>
      </c>
      <c r="R163" s="23" t="s">
        <v>65</v>
      </c>
      <c r="S163" s="23" t="s">
        <v>67</v>
      </c>
      <c r="T163" s="21" t="s">
        <v>73</v>
      </c>
      <c r="U163" s="19" t="s">
        <v>72</v>
      </c>
      <c r="V163" s="19" t="s">
        <v>293</v>
      </c>
      <c r="W163" s="19" t="s">
        <v>294</v>
      </c>
      <c r="X163" s="19" t="s">
        <v>80</v>
      </c>
      <c r="Y163" s="19" t="s">
        <v>76</v>
      </c>
      <c r="Z163" s="19" t="s">
        <v>77</v>
      </c>
      <c r="AA163" s="19" t="s">
        <v>74</v>
      </c>
      <c r="AB163" s="19" t="s">
        <v>75</v>
      </c>
      <c r="AC163" s="19" t="s">
        <v>78</v>
      </c>
      <c r="AD163" s="19" t="s">
        <v>79</v>
      </c>
      <c r="AE163" s="19" t="s">
        <v>386</v>
      </c>
      <c r="AF163" s="19" t="s">
        <v>389</v>
      </c>
      <c r="AG163" s="19" t="s">
        <v>392</v>
      </c>
      <c r="AH163" s="19" t="s">
        <v>395</v>
      </c>
      <c r="AL163" s="19">
        <v>0</v>
      </c>
      <c r="AM163" s="19">
        <f t="shared" si="59"/>
        <v>0</v>
      </c>
      <c r="AN163" s="19">
        <f t="shared" si="60"/>
        <v>0</v>
      </c>
      <c r="AO163" s="19">
        <v>0</v>
      </c>
      <c r="AP163" s="19">
        <f t="shared" si="61"/>
        <v>0</v>
      </c>
      <c r="AQ163" s="19">
        <f t="shared" si="62"/>
        <v>0</v>
      </c>
      <c r="AS163" s="19">
        <f t="shared" si="82"/>
        <v>0</v>
      </c>
      <c r="AT163" s="19">
        <f t="shared" si="83"/>
        <v>0</v>
      </c>
      <c r="BA163" s="19">
        <f t="shared" si="63"/>
        <v>20</v>
      </c>
      <c r="BB163" s="19">
        <f t="shared" si="64"/>
        <v>20</v>
      </c>
      <c r="BC163" s="19">
        <f t="shared" si="65"/>
        <v>20</v>
      </c>
      <c r="BD163" s="19">
        <f t="shared" si="66"/>
        <v>20</v>
      </c>
      <c r="BE163" s="19">
        <f t="shared" si="67"/>
        <v>20</v>
      </c>
      <c r="BF163" s="19">
        <f t="shared" si="68"/>
        <v>20</v>
      </c>
      <c r="BG163" s="107">
        <f t="shared" si="69"/>
        <v>1</v>
      </c>
      <c r="BH163" s="107">
        <f t="shared" si="70"/>
        <v>1</v>
      </c>
      <c r="BI163" s="107">
        <f t="shared" si="71"/>
        <v>1</v>
      </c>
      <c r="BJ163" s="107">
        <f t="shared" si="72"/>
        <v>1</v>
      </c>
      <c r="BK163" s="107">
        <f t="shared" si="73"/>
        <v>1</v>
      </c>
      <c r="BL163" s="107">
        <f t="shared" si="74"/>
        <v>1</v>
      </c>
      <c r="BM163" s="107"/>
      <c r="BO163" s="19" t="s">
        <v>1012</v>
      </c>
      <c r="BP163" s="128">
        <f t="shared" si="75"/>
        <v>15.555555555555555</v>
      </c>
      <c r="BQ163" s="19">
        <f t="shared" si="76"/>
        <v>0</v>
      </c>
      <c r="BR163" s="19">
        <f t="shared" si="77"/>
        <v>0</v>
      </c>
      <c r="BS163" s="19">
        <f t="shared" si="78"/>
        <v>0</v>
      </c>
      <c r="BT163" s="19">
        <f t="shared" si="79"/>
        <v>0</v>
      </c>
      <c r="BU163" s="19">
        <f t="shared" si="80"/>
        <v>0</v>
      </c>
      <c r="BV163" s="19">
        <f t="shared" si="81"/>
        <v>0</v>
      </c>
    </row>
    <row r="164" spans="1:74" s="19" customFormat="1" x14ac:dyDescent="0.2">
      <c r="A164" s="19" t="s">
        <v>37</v>
      </c>
      <c r="B164" s="19" t="s">
        <v>302</v>
      </c>
      <c r="C164" s="19">
        <v>20</v>
      </c>
      <c r="F164" s="19" t="s">
        <v>252</v>
      </c>
      <c r="G164" s="19" t="s">
        <v>253</v>
      </c>
      <c r="H164" s="19" t="s">
        <v>58</v>
      </c>
      <c r="I164" s="19" t="s">
        <v>39</v>
      </c>
      <c r="J164" s="19" t="str">
        <f t="shared" si="57"/>
        <v>RACKPDU-RACK-R4-Z1-R2-07-A</v>
      </c>
      <c r="K164" s="19" t="str">
        <f t="shared" si="58"/>
        <v>RACKPDU-RACK-R4-Z1-R2-07-B</v>
      </c>
      <c r="L164" s="19">
        <v>20</v>
      </c>
      <c r="M164" s="19">
        <f>VLOOKUP($H164,'Cooling-Rack'!$A$2:$G$265,5,FALSE)</f>
        <v>14</v>
      </c>
      <c r="N164" s="19">
        <f>VLOOKUP($H164,'Cooling-Rack'!$A$2:$G$265,7,FALSE)</f>
        <v>6.0000000000000009</v>
      </c>
      <c r="O164" s="19">
        <f t="shared" si="84"/>
        <v>25</v>
      </c>
      <c r="P164" s="107">
        <v>0.7</v>
      </c>
      <c r="Q164" s="107">
        <v>0.30000000000000004</v>
      </c>
      <c r="R164" s="21" t="s">
        <v>64</v>
      </c>
      <c r="S164" s="21" t="s">
        <v>66</v>
      </c>
      <c r="T164" s="21" t="s">
        <v>73</v>
      </c>
      <c r="U164" s="19" t="s">
        <v>72</v>
      </c>
      <c r="V164" s="19" t="s">
        <v>293</v>
      </c>
      <c r="W164" s="19" t="s">
        <v>294</v>
      </c>
      <c r="X164" s="19" t="s">
        <v>80</v>
      </c>
      <c r="Y164" s="19" t="s">
        <v>76</v>
      </c>
      <c r="Z164" s="19" t="s">
        <v>77</v>
      </c>
      <c r="AA164" s="19" t="s">
        <v>74</v>
      </c>
      <c r="AB164" s="19" t="s">
        <v>75</v>
      </c>
      <c r="AC164" s="19" t="s">
        <v>78</v>
      </c>
      <c r="AD164" s="19" t="s">
        <v>79</v>
      </c>
      <c r="AE164" s="19" t="s">
        <v>386</v>
      </c>
      <c r="AF164" s="19" t="s">
        <v>389</v>
      </c>
      <c r="AG164" s="19" t="s">
        <v>392</v>
      </c>
      <c r="AH164" s="19" t="s">
        <v>395</v>
      </c>
      <c r="AL164" s="19">
        <v>0</v>
      </c>
      <c r="AM164" s="19">
        <f t="shared" si="59"/>
        <v>0</v>
      </c>
      <c r="AN164" s="19">
        <f t="shared" si="60"/>
        <v>0</v>
      </c>
      <c r="AO164" s="19">
        <v>0</v>
      </c>
      <c r="AP164" s="19">
        <f t="shared" si="61"/>
        <v>0</v>
      </c>
      <c r="AQ164" s="19">
        <f t="shared" si="62"/>
        <v>0</v>
      </c>
      <c r="AS164" s="19">
        <f t="shared" si="82"/>
        <v>0</v>
      </c>
      <c r="AT164" s="19">
        <f t="shared" si="83"/>
        <v>0</v>
      </c>
      <c r="BA164" s="19">
        <f t="shared" si="63"/>
        <v>20</v>
      </c>
      <c r="BB164" s="19">
        <f t="shared" si="64"/>
        <v>20</v>
      </c>
      <c r="BC164" s="19">
        <f t="shared" si="65"/>
        <v>20</v>
      </c>
      <c r="BD164" s="19">
        <f t="shared" si="66"/>
        <v>20</v>
      </c>
      <c r="BE164" s="19">
        <f t="shared" si="67"/>
        <v>20</v>
      </c>
      <c r="BF164" s="19">
        <f t="shared" si="68"/>
        <v>20</v>
      </c>
      <c r="BG164" s="107">
        <f t="shared" si="69"/>
        <v>1</v>
      </c>
      <c r="BH164" s="107">
        <f t="shared" si="70"/>
        <v>1</v>
      </c>
      <c r="BI164" s="107">
        <f t="shared" si="71"/>
        <v>1</v>
      </c>
      <c r="BJ164" s="107">
        <f t="shared" si="72"/>
        <v>1</v>
      </c>
      <c r="BK164" s="107">
        <f t="shared" si="73"/>
        <v>1</v>
      </c>
      <c r="BL164" s="107">
        <f t="shared" si="74"/>
        <v>1</v>
      </c>
      <c r="BM164" s="107"/>
      <c r="BO164" s="19" t="s">
        <v>1013</v>
      </c>
      <c r="BP164" s="128">
        <f t="shared" si="75"/>
        <v>15.555555555555555</v>
      </c>
      <c r="BQ164" s="19">
        <f t="shared" si="76"/>
        <v>0</v>
      </c>
      <c r="BR164" s="19">
        <f t="shared" si="77"/>
        <v>0</v>
      </c>
      <c r="BS164" s="19">
        <f t="shared" si="78"/>
        <v>0</v>
      </c>
      <c r="BT164" s="19">
        <f t="shared" si="79"/>
        <v>0</v>
      </c>
      <c r="BU164" s="19">
        <f t="shared" si="80"/>
        <v>0</v>
      </c>
      <c r="BV164" s="19">
        <f t="shared" si="81"/>
        <v>0</v>
      </c>
    </row>
    <row r="165" spans="1:74" s="19" customFormat="1" x14ac:dyDescent="0.2">
      <c r="A165" s="19" t="s">
        <v>37</v>
      </c>
      <c r="B165" s="19" t="s">
        <v>302</v>
      </c>
      <c r="C165" s="19">
        <v>20</v>
      </c>
      <c r="F165" s="19" t="s">
        <v>252</v>
      </c>
      <c r="G165" s="19" t="s">
        <v>253</v>
      </c>
      <c r="H165" s="19" t="s">
        <v>59</v>
      </c>
      <c r="I165" s="19" t="s">
        <v>39</v>
      </c>
      <c r="J165" s="19" t="str">
        <f t="shared" si="57"/>
        <v>RACKPDU-RACK-R4-Z1-R2-08-A</v>
      </c>
      <c r="K165" s="19" t="str">
        <f t="shared" si="58"/>
        <v>RACKPDU-RACK-R4-Z1-R2-08-B</v>
      </c>
      <c r="L165" s="19">
        <v>20</v>
      </c>
      <c r="M165" s="19">
        <f>VLOOKUP($H165,'Cooling-Rack'!$A$2:$G$265,5,FALSE)</f>
        <v>14</v>
      </c>
      <c r="N165" s="19">
        <f>VLOOKUP($H165,'Cooling-Rack'!$A$2:$G$265,7,FALSE)</f>
        <v>6.0000000000000009</v>
      </c>
      <c r="O165" s="19">
        <f t="shared" si="84"/>
        <v>25</v>
      </c>
      <c r="P165" s="107">
        <v>0.7</v>
      </c>
      <c r="Q165" s="107">
        <v>0.30000000000000004</v>
      </c>
      <c r="R165" s="23" t="s">
        <v>65</v>
      </c>
      <c r="S165" s="23" t="s">
        <v>67</v>
      </c>
      <c r="T165" s="21" t="s">
        <v>73</v>
      </c>
      <c r="U165" s="19" t="s">
        <v>72</v>
      </c>
      <c r="V165" s="19" t="s">
        <v>293</v>
      </c>
      <c r="W165" s="19" t="s">
        <v>294</v>
      </c>
      <c r="X165" s="19" t="s">
        <v>80</v>
      </c>
      <c r="Y165" s="19" t="s">
        <v>76</v>
      </c>
      <c r="Z165" s="19" t="s">
        <v>77</v>
      </c>
      <c r="AA165" s="19" t="s">
        <v>74</v>
      </c>
      <c r="AB165" s="19" t="s">
        <v>75</v>
      </c>
      <c r="AC165" s="19" t="s">
        <v>78</v>
      </c>
      <c r="AD165" s="19" t="s">
        <v>79</v>
      </c>
      <c r="AE165" s="19" t="s">
        <v>386</v>
      </c>
      <c r="AF165" s="19" t="s">
        <v>389</v>
      </c>
      <c r="AG165" s="19" t="s">
        <v>392</v>
      </c>
      <c r="AH165" s="19" t="s">
        <v>395</v>
      </c>
      <c r="AL165" s="19">
        <v>0</v>
      </c>
      <c r="AM165" s="19">
        <f t="shared" si="59"/>
        <v>0</v>
      </c>
      <c r="AN165" s="19">
        <f t="shared" si="60"/>
        <v>0</v>
      </c>
      <c r="AO165" s="19">
        <v>0</v>
      </c>
      <c r="AP165" s="19">
        <f t="shared" si="61"/>
        <v>0</v>
      </c>
      <c r="AQ165" s="19">
        <f t="shared" si="62"/>
        <v>0</v>
      </c>
      <c r="AS165" s="19">
        <f t="shared" si="82"/>
        <v>0</v>
      </c>
      <c r="AT165" s="19">
        <f t="shared" si="83"/>
        <v>0</v>
      </c>
      <c r="BA165" s="19">
        <f t="shared" si="63"/>
        <v>20</v>
      </c>
      <c r="BB165" s="19">
        <f t="shared" si="64"/>
        <v>20</v>
      </c>
      <c r="BC165" s="19">
        <f t="shared" si="65"/>
        <v>20</v>
      </c>
      <c r="BD165" s="19">
        <f t="shared" si="66"/>
        <v>20</v>
      </c>
      <c r="BE165" s="19">
        <f t="shared" si="67"/>
        <v>20</v>
      </c>
      <c r="BF165" s="19">
        <f t="shared" si="68"/>
        <v>20</v>
      </c>
      <c r="BG165" s="107">
        <f t="shared" si="69"/>
        <v>1</v>
      </c>
      <c r="BH165" s="107">
        <f t="shared" si="70"/>
        <v>1</v>
      </c>
      <c r="BI165" s="107">
        <f t="shared" si="71"/>
        <v>1</v>
      </c>
      <c r="BJ165" s="107">
        <f t="shared" si="72"/>
        <v>1</v>
      </c>
      <c r="BK165" s="107">
        <f t="shared" si="73"/>
        <v>1</v>
      </c>
      <c r="BL165" s="107">
        <f t="shared" si="74"/>
        <v>1</v>
      </c>
      <c r="BM165" s="107"/>
      <c r="BO165" s="19" t="s">
        <v>1014</v>
      </c>
      <c r="BP165" s="128">
        <f t="shared" si="75"/>
        <v>15.555555555555555</v>
      </c>
      <c r="BQ165" s="19">
        <f t="shared" si="76"/>
        <v>0</v>
      </c>
      <c r="BR165" s="19">
        <f t="shared" si="77"/>
        <v>0</v>
      </c>
      <c r="BS165" s="19">
        <f t="shared" si="78"/>
        <v>0</v>
      </c>
      <c r="BT165" s="19">
        <f t="shared" si="79"/>
        <v>0</v>
      </c>
      <c r="BU165" s="19">
        <f t="shared" si="80"/>
        <v>0</v>
      </c>
      <c r="BV165" s="19">
        <f t="shared" si="81"/>
        <v>0</v>
      </c>
    </row>
    <row r="166" spans="1:74" s="19" customFormat="1" x14ac:dyDescent="0.2">
      <c r="A166" s="19" t="s">
        <v>37</v>
      </c>
      <c r="B166" s="19" t="s">
        <v>302</v>
      </c>
      <c r="C166" s="19">
        <v>20</v>
      </c>
      <c r="F166" s="19" t="s">
        <v>252</v>
      </c>
      <c r="G166" s="19" t="s">
        <v>253</v>
      </c>
      <c r="H166" s="19" t="s">
        <v>60</v>
      </c>
      <c r="I166" s="19" t="s">
        <v>39</v>
      </c>
      <c r="J166" s="19" t="str">
        <f t="shared" si="57"/>
        <v>RACKPDU-RACK-R4-Z1-R2-09-A</v>
      </c>
      <c r="K166" s="19" t="str">
        <f t="shared" si="58"/>
        <v>RACKPDU-RACK-R4-Z1-R2-09-B</v>
      </c>
      <c r="L166" s="19">
        <v>20</v>
      </c>
      <c r="M166" s="19">
        <f>VLOOKUP($H166,'Cooling-Rack'!$A$2:$G$265,5,FALSE)</f>
        <v>14</v>
      </c>
      <c r="N166" s="19">
        <f>VLOOKUP($H166,'Cooling-Rack'!$A$2:$G$265,7,FALSE)</f>
        <v>6.0000000000000009</v>
      </c>
      <c r="O166" s="19">
        <f t="shared" si="84"/>
        <v>25</v>
      </c>
      <c r="P166" s="107">
        <v>0.7</v>
      </c>
      <c r="Q166" s="107">
        <v>0.30000000000000004</v>
      </c>
      <c r="R166" s="21" t="s">
        <v>64</v>
      </c>
      <c r="S166" s="21" t="s">
        <v>66</v>
      </c>
      <c r="T166" s="21" t="s">
        <v>73</v>
      </c>
      <c r="U166" s="19" t="s">
        <v>72</v>
      </c>
      <c r="V166" s="19" t="s">
        <v>293</v>
      </c>
      <c r="W166" s="19" t="s">
        <v>294</v>
      </c>
      <c r="X166" s="19" t="s">
        <v>80</v>
      </c>
      <c r="Y166" s="19" t="s">
        <v>76</v>
      </c>
      <c r="Z166" s="19" t="s">
        <v>77</v>
      </c>
      <c r="AA166" s="19" t="s">
        <v>74</v>
      </c>
      <c r="AB166" s="19" t="s">
        <v>75</v>
      </c>
      <c r="AC166" s="19" t="s">
        <v>78</v>
      </c>
      <c r="AD166" s="19" t="s">
        <v>79</v>
      </c>
      <c r="AE166" s="19" t="s">
        <v>386</v>
      </c>
      <c r="AF166" s="19" t="s">
        <v>389</v>
      </c>
      <c r="AG166" s="19" t="s">
        <v>392</v>
      </c>
      <c r="AH166" s="19" t="s">
        <v>395</v>
      </c>
      <c r="AL166" s="19">
        <v>0</v>
      </c>
      <c r="AM166" s="19">
        <f t="shared" si="59"/>
        <v>0</v>
      </c>
      <c r="AN166" s="19">
        <f t="shared" si="60"/>
        <v>0</v>
      </c>
      <c r="AO166" s="19">
        <v>0</v>
      </c>
      <c r="AP166" s="19">
        <f t="shared" si="61"/>
        <v>0</v>
      </c>
      <c r="AQ166" s="19">
        <f t="shared" si="62"/>
        <v>0</v>
      </c>
      <c r="AS166" s="19">
        <f t="shared" si="82"/>
        <v>0</v>
      </c>
      <c r="AT166" s="19">
        <f t="shared" si="83"/>
        <v>0</v>
      </c>
      <c r="BA166" s="19">
        <f t="shared" si="63"/>
        <v>20</v>
      </c>
      <c r="BB166" s="19">
        <f t="shared" si="64"/>
        <v>20</v>
      </c>
      <c r="BC166" s="19">
        <f t="shared" si="65"/>
        <v>20</v>
      </c>
      <c r="BD166" s="19">
        <f t="shared" si="66"/>
        <v>20</v>
      </c>
      <c r="BE166" s="19">
        <f t="shared" si="67"/>
        <v>20</v>
      </c>
      <c r="BF166" s="19">
        <f t="shared" si="68"/>
        <v>20</v>
      </c>
      <c r="BG166" s="107">
        <f t="shared" si="69"/>
        <v>1</v>
      </c>
      <c r="BH166" s="107">
        <f t="shared" si="70"/>
        <v>1</v>
      </c>
      <c r="BI166" s="107">
        <f t="shared" si="71"/>
        <v>1</v>
      </c>
      <c r="BJ166" s="107">
        <f t="shared" si="72"/>
        <v>1</v>
      </c>
      <c r="BK166" s="107">
        <f t="shared" si="73"/>
        <v>1</v>
      </c>
      <c r="BL166" s="107">
        <f t="shared" si="74"/>
        <v>1</v>
      </c>
      <c r="BM166" s="107"/>
      <c r="BO166" s="19" t="s">
        <v>1015</v>
      </c>
      <c r="BP166" s="128">
        <f t="shared" si="75"/>
        <v>15.555555555555555</v>
      </c>
      <c r="BQ166" s="19">
        <f t="shared" si="76"/>
        <v>0</v>
      </c>
      <c r="BR166" s="19">
        <f t="shared" si="77"/>
        <v>0</v>
      </c>
      <c r="BS166" s="19">
        <f t="shared" si="78"/>
        <v>0</v>
      </c>
      <c r="BT166" s="19">
        <f t="shared" si="79"/>
        <v>0</v>
      </c>
      <c r="BU166" s="19">
        <f t="shared" si="80"/>
        <v>0</v>
      </c>
      <c r="BV166" s="19">
        <f t="shared" si="81"/>
        <v>0</v>
      </c>
    </row>
    <row r="167" spans="1:74" s="19" customFormat="1" x14ac:dyDescent="0.2">
      <c r="A167" s="19" t="s">
        <v>37</v>
      </c>
      <c r="B167" s="19" t="s">
        <v>302</v>
      </c>
      <c r="C167" s="19">
        <v>20</v>
      </c>
      <c r="F167" s="19" t="s">
        <v>252</v>
      </c>
      <c r="G167" s="19" t="s">
        <v>253</v>
      </c>
      <c r="H167" s="19" t="s">
        <v>61</v>
      </c>
      <c r="I167" s="19" t="s">
        <v>39</v>
      </c>
      <c r="J167" s="19" t="str">
        <f t="shared" si="57"/>
        <v>RACKPDU-RACK-R4-Z1-R2-10-A</v>
      </c>
      <c r="K167" s="19" t="str">
        <f t="shared" si="58"/>
        <v>RACKPDU-RACK-R4-Z1-R2-10-B</v>
      </c>
      <c r="L167" s="19">
        <v>20</v>
      </c>
      <c r="M167" s="19">
        <f>VLOOKUP($H167,'Cooling-Rack'!$A$2:$G$265,5,FALSE)</f>
        <v>14</v>
      </c>
      <c r="N167" s="19">
        <f>VLOOKUP($H167,'Cooling-Rack'!$A$2:$G$265,7,FALSE)</f>
        <v>6.0000000000000009</v>
      </c>
      <c r="O167" s="19">
        <f t="shared" si="84"/>
        <v>25</v>
      </c>
      <c r="P167" s="107">
        <v>0.7</v>
      </c>
      <c r="Q167" s="107">
        <v>0.30000000000000004</v>
      </c>
      <c r="R167" s="23" t="s">
        <v>65</v>
      </c>
      <c r="S167" s="23" t="s">
        <v>67</v>
      </c>
      <c r="T167" s="21" t="s">
        <v>73</v>
      </c>
      <c r="U167" s="19" t="s">
        <v>72</v>
      </c>
      <c r="V167" s="19" t="s">
        <v>293</v>
      </c>
      <c r="W167" s="19" t="s">
        <v>294</v>
      </c>
      <c r="X167" s="19" t="s">
        <v>80</v>
      </c>
      <c r="Y167" s="19" t="s">
        <v>76</v>
      </c>
      <c r="Z167" s="19" t="s">
        <v>77</v>
      </c>
      <c r="AA167" s="19" t="s">
        <v>74</v>
      </c>
      <c r="AB167" s="19" t="s">
        <v>75</v>
      </c>
      <c r="AC167" s="19" t="s">
        <v>78</v>
      </c>
      <c r="AD167" s="19" t="s">
        <v>79</v>
      </c>
      <c r="AE167" s="19" t="s">
        <v>386</v>
      </c>
      <c r="AF167" s="19" t="s">
        <v>389</v>
      </c>
      <c r="AG167" s="19" t="s">
        <v>392</v>
      </c>
      <c r="AH167" s="19" t="s">
        <v>395</v>
      </c>
      <c r="AL167" s="19">
        <v>0</v>
      </c>
      <c r="AM167" s="19">
        <f t="shared" si="59"/>
        <v>0</v>
      </c>
      <c r="AN167" s="19">
        <f t="shared" si="60"/>
        <v>0</v>
      </c>
      <c r="AO167" s="19">
        <v>0</v>
      </c>
      <c r="AP167" s="19">
        <f t="shared" si="61"/>
        <v>0</v>
      </c>
      <c r="AQ167" s="19">
        <f t="shared" si="62"/>
        <v>0</v>
      </c>
      <c r="AS167" s="19">
        <f t="shared" si="82"/>
        <v>0</v>
      </c>
      <c r="AT167" s="19">
        <f t="shared" si="83"/>
        <v>0</v>
      </c>
      <c r="BA167" s="19">
        <f t="shared" si="63"/>
        <v>20</v>
      </c>
      <c r="BB167" s="19">
        <f t="shared" si="64"/>
        <v>20</v>
      </c>
      <c r="BC167" s="19">
        <f t="shared" si="65"/>
        <v>20</v>
      </c>
      <c r="BD167" s="19">
        <f t="shared" si="66"/>
        <v>20</v>
      </c>
      <c r="BE167" s="19">
        <f t="shared" si="67"/>
        <v>20</v>
      </c>
      <c r="BF167" s="19">
        <f t="shared" si="68"/>
        <v>20</v>
      </c>
      <c r="BG167" s="107">
        <f t="shared" si="69"/>
        <v>1</v>
      </c>
      <c r="BH167" s="107">
        <f t="shared" si="70"/>
        <v>1</v>
      </c>
      <c r="BI167" s="107">
        <f t="shared" si="71"/>
        <v>1</v>
      </c>
      <c r="BJ167" s="107">
        <f t="shared" si="72"/>
        <v>1</v>
      </c>
      <c r="BK167" s="107">
        <f t="shared" si="73"/>
        <v>1</v>
      </c>
      <c r="BL167" s="107">
        <f t="shared" si="74"/>
        <v>1</v>
      </c>
      <c r="BM167" s="107"/>
      <c r="BO167" s="19" t="s">
        <v>1016</v>
      </c>
      <c r="BP167" s="128">
        <f t="shared" si="75"/>
        <v>15.555555555555555</v>
      </c>
      <c r="BQ167" s="19">
        <f t="shared" si="76"/>
        <v>0</v>
      </c>
      <c r="BR167" s="19">
        <f t="shared" si="77"/>
        <v>0</v>
      </c>
      <c r="BS167" s="19">
        <f t="shared" si="78"/>
        <v>0</v>
      </c>
      <c r="BT167" s="19">
        <f t="shared" si="79"/>
        <v>0</v>
      </c>
      <c r="BU167" s="19">
        <f t="shared" si="80"/>
        <v>0</v>
      </c>
      <c r="BV167" s="19">
        <f t="shared" si="81"/>
        <v>0</v>
      </c>
    </row>
    <row r="168" spans="1:74" s="19" customFormat="1" x14ac:dyDescent="0.2">
      <c r="A168" s="19" t="s">
        <v>37</v>
      </c>
      <c r="B168" s="19" t="s">
        <v>302</v>
      </c>
      <c r="C168" s="19">
        <v>20</v>
      </c>
      <c r="F168" s="19" t="s">
        <v>252</v>
      </c>
      <c r="G168" s="19" t="s">
        <v>253</v>
      </c>
      <c r="H168" s="19" t="s">
        <v>62</v>
      </c>
      <c r="I168" s="19" t="s">
        <v>39</v>
      </c>
      <c r="J168" s="19" t="str">
        <f t="shared" si="57"/>
        <v>RACKPDU-RACK-R4-Z1-R2-11-A</v>
      </c>
      <c r="K168" s="19" t="str">
        <f t="shared" si="58"/>
        <v>RACKPDU-RACK-R4-Z1-R2-11-B</v>
      </c>
      <c r="L168" s="19">
        <v>20</v>
      </c>
      <c r="M168" s="19">
        <f>VLOOKUP($H168,'Cooling-Rack'!$A$2:$G$265,5,FALSE)</f>
        <v>14</v>
      </c>
      <c r="N168" s="19">
        <f>VLOOKUP($H168,'Cooling-Rack'!$A$2:$G$265,7,FALSE)</f>
        <v>6.0000000000000009</v>
      </c>
      <c r="O168" s="19">
        <f t="shared" si="84"/>
        <v>25</v>
      </c>
      <c r="P168" s="107">
        <v>0.7</v>
      </c>
      <c r="Q168" s="107">
        <v>0.30000000000000004</v>
      </c>
      <c r="R168" s="21" t="s">
        <v>64</v>
      </c>
      <c r="S168" s="21" t="s">
        <v>66</v>
      </c>
      <c r="T168" s="21" t="s">
        <v>73</v>
      </c>
      <c r="U168" s="19" t="s">
        <v>72</v>
      </c>
      <c r="V168" s="19" t="s">
        <v>293</v>
      </c>
      <c r="W168" s="19" t="s">
        <v>294</v>
      </c>
      <c r="X168" s="19" t="s">
        <v>80</v>
      </c>
      <c r="Y168" s="19" t="s">
        <v>76</v>
      </c>
      <c r="Z168" s="19" t="s">
        <v>77</v>
      </c>
      <c r="AA168" s="19" t="s">
        <v>74</v>
      </c>
      <c r="AB168" s="19" t="s">
        <v>75</v>
      </c>
      <c r="AC168" s="19" t="s">
        <v>78</v>
      </c>
      <c r="AD168" s="19" t="s">
        <v>79</v>
      </c>
      <c r="AE168" s="19" t="s">
        <v>386</v>
      </c>
      <c r="AF168" s="19" t="s">
        <v>389</v>
      </c>
      <c r="AG168" s="19" t="s">
        <v>392</v>
      </c>
      <c r="AH168" s="19" t="s">
        <v>395</v>
      </c>
      <c r="AL168" s="19">
        <v>0</v>
      </c>
      <c r="AM168" s="19">
        <f t="shared" si="59"/>
        <v>0</v>
      </c>
      <c r="AN168" s="19">
        <f t="shared" si="60"/>
        <v>0</v>
      </c>
      <c r="AO168" s="19">
        <v>0</v>
      </c>
      <c r="AP168" s="19">
        <f t="shared" si="61"/>
        <v>0</v>
      </c>
      <c r="AQ168" s="19">
        <f t="shared" si="62"/>
        <v>0</v>
      </c>
      <c r="AS168" s="19">
        <f t="shared" si="82"/>
        <v>0</v>
      </c>
      <c r="AT168" s="19">
        <f t="shared" si="83"/>
        <v>0</v>
      </c>
      <c r="BA168" s="19">
        <f t="shared" si="63"/>
        <v>20</v>
      </c>
      <c r="BB168" s="19">
        <f t="shared" si="64"/>
        <v>20</v>
      </c>
      <c r="BC168" s="19">
        <f t="shared" si="65"/>
        <v>20</v>
      </c>
      <c r="BD168" s="19">
        <f t="shared" si="66"/>
        <v>20</v>
      </c>
      <c r="BE168" s="19">
        <f t="shared" si="67"/>
        <v>20</v>
      </c>
      <c r="BF168" s="19">
        <f t="shared" si="68"/>
        <v>20</v>
      </c>
      <c r="BG168" s="107">
        <f t="shared" si="69"/>
        <v>1</v>
      </c>
      <c r="BH168" s="107">
        <f t="shared" si="70"/>
        <v>1</v>
      </c>
      <c r="BI168" s="107">
        <f t="shared" si="71"/>
        <v>1</v>
      </c>
      <c r="BJ168" s="107">
        <f t="shared" si="72"/>
        <v>1</v>
      </c>
      <c r="BK168" s="107">
        <f t="shared" si="73"/>
        <v>1</v>
      </c>
      <c r="BL168" s="107">
        <f t="shared" si="74"/>
        <v>1</v>
      </c>
      <c r="BM168" s="107"/>
      <c r="BO168" s="19" t="s">
        <v>1017</v>
      </c>
      <c r="BP168" s="128">
        <f t="shared" si="75"/>
        <v>15.555555555555555</v>
      </c>
      <c r="BQ168" s="19">
        <f t="shared" si="76"/>
        <v>0</v>
      </c>
      <c r="BR168" s="19">
        <f t="shared" si="77"/>
        <v>0</v>
      </c>
      <c r="BS168" s="19">
        <f t="shared" si="78"/>
        <v>0</v>
      </c>
      <c r="BT168" s="19">
        <f t="shared" si="79"/>
        <v>0</v>
      </c>
      <c r="BU168" s="19">
        <f t="shared" si="80"/>
        <v>0</v>
      </c>
      <c r="BV168" s="19">
        <f t="shared" si="81"/>
        <v>0</v>
      </c>
    </row>
    <row r="169" spans="1:74" s="19" customFormat="1" x14ac:dyDescent="0.2">
      <c r="A169" s="19" t="s">
        <v>37</v>
      </c>
      <c r="B169" s="19" t="s">
        <v>302</v>
      </c>
      <c r="C169" s="19">
        <v>20</v>
      </c>
      <c r="F169" s="19" t="s">
        <v>252</v>
      </c>
      <c r="G169" s="19" t="s">
        <v>253</v>
      </c>
      <c r="H169" s="19" t="s">
        <v>63</v>
      </c>
      <c r="I169" s="19" t="s">
        <v>39</v>
      </c>
      <c r="J169" s="19" t="str">
        <f t="shared" si="57"/>
        <v>RACKPDU-RACK-R4-Z1-R2-12-A</v>
      </c>
      <c r="K169" s="19" t="str">
        <f>"RACKPDU-"&amp;H169&amp;"-B"</f>
        <v>RACKPDU-RACK-R4-Z1-R2-12-B</v>
      </c>
      <c r="L169" s="19">
        <v>20</v>
      </c>
      <c r="M169" s="19">
        <f>VLOOKUP($H169,'Cooling-Rack'!$A$2:$G$265,5,FALSE)</f>
        <v>14</v>
      </c>
      <c r="N169" s="19">
        <f>VLOOKUP($H169,'Cooling-Rack'!$A$2:$G$265,7,FALSE)</f>
        <v>6.0000000000000009</v>
      </c>
      <c r="O169" s="19">
        <f t="shared" si="84"/>
        <v>25</v>
      </c>
      <c r="P169" s="107">
        <v>0.7</v>
      </c>
      <c r="Q169" s="107">
        <v>0.30000000000000004</v>
      </c>
      <c r="R169" s="23" t="s">
        <v>65</v>
      </c>
      <c r="S169" s="23" t="s">
        <v>67</v>
      </c>
      <c r="T169" s="21" t="s">
        <v>73</v>
      </c>
      <c r="U169" s="19" t="s">
        <v>72</v>
      </c>
      <c r="V169" s="19" t="s">
        <v>293</v>
      </c>
      <c r="W169" s="19" t="s">
        <v>294</v>
      </c>
      <c r="X169" s="19" t="s">
        <v>80</v>
      </c>
      <c r="Y169" s="19" t="s">
        <v>76</v>
      </c>
      <c r="Z169" s="19" t="s">
        <v>77</v>
      </c>
      <c r="AA169" s="19" t="s">
        <v>74</v>
      </c>
      <c r="AB169" s="19" t="s">
        <v>75</v>
      </c>
      <c r="AC169" s="19" t="s">
        <v>78</v>
      </c>
      <c r="AD169" s="19" t="s">
        <v>79</v>
      </c>
      <c r="AE169" s="19" t="s">
        <v>386</v>
      </c>
      <c r="AF169" s="19" t="s">
        <v>389</v>
      </c>
      <c r="AG169" s="19" t="s">
        <v>392</v>
      </c>
      <c r="AH169" s="19" t="s">
        <v>395</v>
      </c>
      <c r="AL169" s="19">
        <v>0</v>
      </c>
      <c r="AM169" s="19">
        <f t="shared" si="59"/>
        <v>0</v>
      </c>
      <c r="AN169" s="19">
        <f t="shared" si="60"/>
        <v>0</v>
      </c>
      <c r="AO169" s="19">
        <v>0</v>
      </c>
      <c r="AP169" s="19">
        <f t="shared" si="61"/>
        <v>0</v>
      </c>
      <c r="AQ169" s="19">
        <f t="shared" si="62"/>
        <v>0</v>
      </c>
      <c r="AS169" s="19">
        <f t="shared" si="82"/>
        <v>0</v>
      </c>
      <c r="AT169" s="19">
        <f t="shared" si="83"/>
        <v>0</v>
      </c>
      <c r="BA169" s="19">
        <f t="shared" si="63"/>
        <v>20</v>
      </c>
      <c r="BB169" s="19">
        <f t="shared" si="64"/>
        <v>20</v>
      </c>
      <c r="BC169" s="19">
        <f t="shared" si="65"/>
        <v>20</v>
      </c>
      <c r="BD169" s="19">
        <f t="shared" si="66"/>
        <v>20</v>
      </c>
      <c r="BE169" s="19">
        <f t="shared" si="67"/>
        <v>20</v>
      </c>
      <c r="BF169" s="19">
        <f t="shared" si="68"/>
        <v>20</v>
      </c>
      <c r="BG169" s="107">
        <f t="shared" si="69"/>
        <v>1</v>
      </c>
      <c r="BH169" s="107">
        <f t="shared" si="70"/>
        <v>1</v>
      </c>
      <c r="BI169" s="107">
        <f t="shared" si="71"/>
        <v>1</v>
      </c>
      <c r="BJ169" s="107">
        <f t="shared" si="72"/>
        <v>1</v>
      </c>
      <c r="BK169" s="107">
        <f t="shared" si="73"/>
        <v>1</v>
      </c>
      <c r="BL169" s="107">
        <f t="shared" si="74"/>
        <v>1</v>
      </c>
      <c r="BM169" s="107"/>
      <c r="BO169" s="19" t="s">
        <v>1018</v>
      </c>
      <c r="BP169" s="128">
        <f t="shared" si="75"/>
        <v>15.555555555555555</v>
      </c>
      <c r="BQ169" s="19">
        <f t="shared" si="76"/>
        <v>0</v>
      </c>
      <c r="BR169" s="19">
        <f t="shared" si="77"/>
        <v>0</v>
      </c>
      <c r="BS169" s="19">
        <f t="shared" si="78"/>
        <v>0</v>
      </c>
      <c r="BT169" s="19">
        <f t="shared" si="79"/>
        <v>0</v>
      </c>
      <c r="BU169" s="19">
        <f t="shared" si="80"/>
        <v>0</v>
      </c>
      <c r="BV169" s="19">
        <f t="shared" si="81"/>
        <v>0</v>
      </c>
    </row>
    <row r="170" spans="1:74" x14ac:dyDescent="0.2">
      <c r="A170" t="s">
        <v>321</v>
      </c>
      <c r="B170" t="s">
        <v>379</v>
      </c>
      <c r="C170">
        <v>60</v>
      </c>
      <c r="F170" t="s">
        <v>317</v>
      </c>
      <c r="G170" t="s">
        <v>319</v>
      </c>
      <c r="H170" s="42" t="s">
        <v>323</v>
      </c>
      <c r="I170" s="42" t="s">
        <v>303</v>
      </c>
      <c r="J170" t="str">
        <f>"RACKPDU-"&amp;$H170&amp;"-A"</f>
        <v>RACKPDU-RACK-R5-Z1W-R1-01-A</v>
      </c>
      <c r="K170" t="str">
        <f>"RACKPDU-"&amp;$H170&amp;"-B"</f>
        <v>RACKPDU-RACK-R5-Z1W-R1-01-B</v>
      </c>
      <c r="L170">
        <v>60</v>
      </c>
      <c r="M170">
        <f>VLOOKUP($H170,'Cooling-Rack'!$A$2:$G$265,5,FALSE)</f>
        <v>51</v>
      </c>
      <c r="N170">
        <f>VLOOKUP($H170,'Cooling-Rack'!$A$2:$G$265,7,FALSE)</f>
        <v>9.0000000000000018</v>
      </c>
      <c r="O170">
        <v>72</v>
      </c>
      <c r="P170" s="100">
        <v>0.85</v>
      </c>
      <c r="Q170" s="100">
        <v>0.15000000000000002</v>
      </c>
      <c r="R170" s="44" t="s">
        <v>305</v>
      </c>
      <c r="S170" s="44" t="s">
        <v>306</v>
      </c>
      <c r="T170" s="44" t="s">
        <v>313</v>
      </c>
      <c r="U170" s="44" t="s">
        <v>314</v>
      </c>
      <c r="V170" t="s">
        <v>293</v>
      </c>
      <c r="W170" t="s">
        <v>294</v>
      </c>
      <c r="X170" s="19" t="s">
        <v>80</v>
      </c>
      <c r="Y170" s="19" t="s">
        <v>76</v>
      </c>
      <c r="Z170" s="19" t="s">
        <v>77</v>
      </c>
      <c r="AA170" s="19" t="s">
        <v>74</v>
      </c>
      <c r="AB170" s="19" t="s">
        <v>75</v>
      </c>
      <c r="AC170" s="19" t="s">
        <v>78</v>
      </c>
      <c r="AD170" s="19" t="s">
        <v>79</v>
      </c>
      <c r="AE170" t="s">
        <v>387</v>
      </c>
      <c r="AF170" t="s">
        <v>390</v>
      </c>
      <c r="AG170" t="s">
        <v>393</v>
      </c>
      <c r="AH170" t="s">
        <v>395</v>
      </c>
      <c r="AL170">
        <v>0</v>
      </c>
      <c r="AM170">
        <f t="shared" si="59"/>
        <v>0</v>
      </c>
      <c r="AN170">
        <f t="shared" si="60"/>
        <v>0</v>
      </c>
      <c r="AO170">
        <v>0</v>
      </c>
      <c r="AP170">
        <f t="shared" si="61"/>
        <v>0</v>
      </c>
      <c r="AQ170">
        <f t="shared" si="62"/>
        <v>0</v>
      </c>
      <c r="AS170">
        <f t="shared" si="82"/>
        <v>0</v>
      </c>
      <c r="AT170">
        <f t="shared" si="83"/>
        <v>0</v>
      </c>
      <c r="BA170">
        <f t="shared" si="63"/>
        <v>60</v>
      </c>
      <c r="BB170">
        <f t="shared" si="64"/>
        <v>60</v>
      </c>
      <c r="BC170">
        <f t="shared" si="65"/>
        <v>60</v>
      </c>
      <c r="BD170">
        <f t="shared" si="66"/>
        <v>60</v>
      </c>
      <c r="BE170">
        <f t="shared" si="67"/>
        <v>60</v>
      </c>
      <c r="BF170">
        <f t="shared" si="68"/>
        <v>60</v>
      </c>
      <c r="BG170" s="100">
        <f t="shared" si="69"/>
        <v>1</v>
      </c>
      <c r="BH170" s="100">
        <f t="shared" si="70"/>
        <v>1</v>
      </c>
      <c r="BI170" s="100">
        <f t="shared" si="71"/>
        <v>1</v>
      </c>
      <c r="BJ170" s="100">
        <f t="shared" si="72"/>
        <v>1</v>
      </c>
      <c r="BK170" s="100">
        <f t="shared" si="73"/>
        <v>1</v>
      </c>
      <c r="BL170" s="100">
        <f t="shared" si="74"/>
        <v>1</v>
      </c>
      <c r="BM170" s="100"/>
      <c r="BO170" t="s">
        <v>1019</v>
      </c>
      <c r="BP170" s="27">
        <f t="shared" si="75"/>
        <v>56.666666666666664</v>
      </c>
      <c r="BQ170">
        <f t="shared" si="76"/>
        <v>0</v>
      </c>
      <c r="BR170">
        <f t="shared" si="77"/>
        <v>0</v>
      </c>
      <c r="BS170">
        <f t="shared" si="78"/>
        <v>0</v>
      </c>
      <c r="BT170">
        <f t="shared" si="79"/>
        <v>0</v>
      </c>
      <c r="BU170">
        <f t="shared" si="80"/>
        <v>0</v>
      </c>
      <c r="BV170">
        <f t="shared" si="81"/>
        <v>0</v>
      </c>
    </row>
    <row r="171" spans="1:74" x14ac:dyDescent="0.2">
      <c r="A171" t="s">
        <v>321</v>
      </c>
      <c r="B171" t="s">
        <v>379</v>
      </c>
      <c r="C171">
        <v>60</v>
      </c>
      <c r="F171" t="s">
        <v>317</v>
      </c>
      <c r="G171" t="s">
        <v>319</v>
      </c>
      <c r="H171" s="42" t="s">
        <v>324</v>
      </c>
      <c r="I171" s="42" t="s">
        <v>303</v>
      </c>
      <c r="J171" t="str">
        <f t="shared" ref="J171:J217" si="85">"RACKPDU-"&amp;$H171&amp;"-A"</f>
        <v>RACKPDU-RACK-R5-Z1W-R1-02-A</v>
      </c>
      <c r="K171" t="str">
        <f t="shared" ref="K171:K217" si="86">"RACKPDU-"&amp;$H171&amp;"-B"</f>
        <v>RACKPDU-RACK-R5-Z1W-R1-02-B</v>
      </c>
      <c r="L171">
        <v>60</v>
      </c>
      <c r="M171">
        <f>VLOOKUP($H171,'Cooling-Rack'!$A$2:$G$265,5,FALSE)</f>
        <v>51</v>
      </c>
      <c r="N171">
        <f>VLOOKUP($H171,'Cooling-Rack'!$A$2:$G$265,7,FALSE)</f>
        <v>9.0000000000000018</v>
      </c>
      <c r="O171">
        <v>72</v>
      </c>
      <c r="P171" s="100">
        <v>0.85</v>
      </c>
      <c r="Q171" s="100">
        <v>0.15000000000000002</v>
      </c>
      <c r="R171" s="44" t="s">
        <v>305</v>
      </c>
      <c r="S171" s="44" t="s">
        <v>306</v>
      </c>
      <c r="T171" s="44" t="s">
        <v>313</v>
      </c>
      <c r="U171" s="44" t="s">
        <v>314</v>
      </c>
      <c r="V171" t="s">
        <v>293</v>
      </c>
      <c r="W171" t="s">
        <v>294</v>
      </c>
      <c r="X171" s="19" t="s">
        <v>80</v>
      </c>
      <c r="Y171" s="19" t="s">
        <v>76</v>
      </c>
      <c r="Z171" s="19" t="s">
        <v>77</v>
      </c>
      <c r="AA171" s="19" t="s">
        <v>74</v>
      </c>
      <c r="AB171" s="19" t="s">
        <v>75</v>
      </c>
      <c r="AC171" s="19" t="s">
        <v>78</v>
      </c>
      <c r="AD171" s="19" t="s">
        <v>79</v>
      </c>
      <c r="AE171" t="s">
        <v>387</v>
      </c>
      <c r="AF171" t="s">
        <v>390</v>
      </c>
      <c r="AG171" t="s">
        <v>393</v>
      </c>
      <c r="AH171" t="s">
        <v>395</v>
      </c>
      <c r="AL171">
        <v>0</v>
      </c>
      <c r="AM171">
        <f t="shared" si="59"/>
        <v>0</v>
      </c>
      <c r="AN171">
        <f t="shared" si="60"/>
        <v>0</v>
      </c>
      <c r="AO171">
        <v>0</v>
      </c>
      <c r="AP171">
        <f t="shared" si="61"/>
        <v>0</v>
      </c>
      <c r="AQ171">
        <f t="shared" si="62"/>
        <v>0</v>
      </c>
      <c r="AS171">
        <f t="shared" si="82"/>
        <v>0</v>
      </c>
      <c r="AT171">
        <f t="shared" si="83"/>
        <v>0</v>
      </c>
      <c r="BA171">
        <f t="shared" si="63"/>
        <v>60</v>
      </c>
      <c r="BB171">
        <f t="shared" si="64"/>
        <v>60</v>
      </c>
      <c r="BC171">
        <f t="shared" si="65"/>
        <v>60</v>
      </c>
      <c r="BD171">
        <f t="shared" si="66"/>
        <v>60</v>
      </c>
      <c r="BE171">
        <f t="shared" si="67"/>
        <v>60</v>
      </c>
      <c r="BF171">
        <f t="shared" si="68"/>
        <v>60</v>
      </c>
      <c r="BG171" s="100">
        <f t="shared" si="69"/>
        <v>1</v>
      </c>
      <c r="BH171" s="100">
        <f t="shared" si="70"/>
        <v>1</v>
      </c>
      <c r="BI171" s="100">
        <f t="shared" si="71"/>
        <v>1</v>
      </c>
      <c r="BJ171" s="100">
        <f t="shared" si="72"/>
        <v>1</v>
      </c>
      <c r="BK171" s="100">
        <f t="shared" si="73"/>
        <v>1</v>
      </c>
      <c r="BL171" s="100">
        <f t="shared" si="74"/>
        <v>1</v>
      </c>
      <c r="BM171" s="100"/>
      <c r="BO171" t="s">
        <v>1020</v>
      </c>
      <c r="BP171" s="27">
        <f t="shared" si="75"/>
        <v>56.666666666666664</v>
      </c>
      <c r="BQ171">
        <f t="shared" si="76"/>
        <v>0</v>
      </c>
      <c r="BR171">
        <f t="shared" si="77"/>
        <v>0</v>
      </c>
      <c r="BS171">
        <f t="shared" si="78"/>
        <v>0</v>
      </c>
      <c r="BT171">
        <f t="shared" si="79"/>
        <v>0</v>
      </c>
      <c r="BU171">
        <f t="shared" si="80"/>
        <v>0</v>
      </c>
      <c r="BV171">
        <f t="shared" si="81"/>
        <v>0</v>
      </c>
    </row>
    <row r="172" spans="1:74" x14ac:dyDescent="0.2">
      <c r="A172" t="s">
        <v>321</v>
      </c>
      <c r="B172" t="s">
        <v>379</v>
      </c>
      <c r="C172">
        <v>60</v>
      </c>
      <c r="F172" t="s">
        <v>317</v>
      </c>
      <c r="G172" t="s">
        <v>319</v>
      </c>
      <c r="H172" s="42" t="s">
        <v>325</v>
      </c>
      <c r="I172" s="42" t="s">
        <v>303</v>
      </c>
      <c r="J172" t="str">
        <f t="shared" si="85"/>
        <v>RACKPDU-RACK-R5-Z1W-R1-03-A</v>
      </c>
      <c r="K172" t="str">
        <f t="shared" si="86"/>
        <v>RACKPDU-RACK-R5-Z1W-R1-03-B</v>
      </c>
      <c r="L172">
        <v>60</v>
      </c>
      <c r="M172">
        <f>VLOOKUP($H172,'Cooling-Rack'!$A$2:$G$265,5,FALSE)</f>
        <v>51</v>
      </c>
      <c r="N172">
        <f>VLOOKUP($H172,'Cooling-Rack'!$A$2:$G$265,7,FALSE)</f>
        <v>9.0000000000000018</v>
      </c>
      <c r="O172">
        <v>72</v>
      </c>
      <c r="P172" s="100">
        <v>0.85</v>
      </c>
      <c r="Q172" s="100">
        <v>0.15000000000000002</v>
      </c>
      <c r="R172" s="44" t="s">
        <v>305</v>
      </c>
      <c r="S172" s="44" t="s">
        <v>306</v>
      </c>
      <c r="T172" s="44" t="s">
        <v>313</v>
      </c>
      <c r="U172" s="44" t="s">
        <v>314</v>
      </c>
      <c r="V172" t="s">
        <v>293</v>
      </c>
      <c r="W172" t="s">
        <v>294</v>
      </c>
      <c r="X172" s="19" t="s">
        <v>80</v>
      </c>
      <c r="Y172" s="19" t="s">
        <v>76</v>
      </c>
      <c r="Z172" s="19" t="s">
        <v>77</v>
      </c>
      <c r="AA172" s="19" t="s">
        <v>74</v>
      </c>
      <c r="AB172" s="19" t="s">
        <v>75</v>
      </c>
      <c r="AC172" s="19" t="s">
        <v>78</v>
      </c>
      <c r="AD172" s="19" t="s">
        <v>79</v>
      </c>
      <c r="AE172" t="s">
        <v>387</v>
      </c>
      <c r="AF172" t="s">
        <v>390</v>
      </c>
      <c r="AG172" t="s">
        <v>393</v>
      </c>
      <c r="AH172" t="s">
        <v>395</v>
      </c>
      <c r="AL172">
        <v>0</v>
      </c>
      <c r="AM172">
        <f t="shared" si="59"/>
        <v>0</v>
      </c>
      <c r="AN172">
        <f t="shared" si="60"/>
        <v>0</v>
      </c>
      <c r="AO172">
        <v>0</v>
      </c>
      <c r="AP172">
        <f t="shared" si="61"/>
        <v>0</v>
      </c>
      <c r="AQ172">
        <f t="shared" si="62"/>
        <v>0</v>
      </c>
      <c r="AS172">
        <f t="shared" si="82"/>
        <v>0</v>
      </c>
      <c r="AT172">
        <f t="shared" si="83"/>
        <v>0</v>
      </c>
      <c r="BA172">
        <f t="shared" si="63"/>
        <v>60</v>
      </c>
      <c r="BB172">
        <f t="shared" si="64"/>
        <v>60</v>
      </c>
      <c r="BC172">
        <f t="shared" si="65"/>
        <v>60</v>
      </c>
      <c r="BD172">
        <f t="shared" si="66"/>
        <v>60</v>
      </c>
      <c r="BE172">
        <f t="shared" si="67"/>
        <v>60</v>
      </c>
      <c r="BF172">
        <f t="shared" si="68"/>
        <v>60</v>
      </c>
      <c r="BG172" s="100">
        <f t="shared" si="69"/>
        <v>1</v>
      </c>
      <c r="BH172" s="100">
        <f t="shared" si="70"/>
        <v>1</v>
      </c>
      <c r="BI172" s="100">
        <f t="shared" si="71"/>
        <v>1</v>
      </c>
      <c r="BJ172" s="100">
        <f t="shared" si="72"/>
        <v>1</v>
      </c>
      <c r="BK172" s="100">
        <f t="shared" si="73"/>
        <v>1</v>
      </c>
      <c r="BL172" s="100">
        <f t="shared" si="74"/>
        <v>1</v>
      </c>
      <c r="BM172" s="100"/>
      <c r="BO172" t="s">
        <v>1021</v>
      </c>
      <c r="BP172" s="27">
        <f t="shared" si="75"/>
        <v>56.666666666666664</v>
      </c>
      <c r="BQ172">
        <f t="shared" si="76"/>
        <v>0</v>
      </c>
      <c r="BR172">
        <f t="shared" si="77"/>
        <v>0</v>
      </c>
      <c r="BS172">
        <f t="shared" si="78"/>
        <v>0</v>
      </c>
      <c r="BT172">
        <f t="shared" si="79"/>
        <v>0</v>
      </c>
      <c r="BU172">
        <f t="shared" si="80"/>
        <v>0</v>
      </c>
      <c r="BV172">
        <f t="shared" si="81"/>
        <v>0</v>
      </c>
    </row>
    <row r="173" spans="1:74" x14ac:dyDescent="0.2">
      <c r="A173" t="s">
        <v>321</v>
      </c>
      <c r="B173" t="s">
        <v>379</v>
      </c>
      <c r="C173">
        <v>60</v>
      </c>
      <c r="F173" t="s">
        <v>317</v>
      </c>
      <c r="G173" t="s">
        <v>319</v>
      </c>
      <c r="H173" s="42" t="s">
        <v>326</v>
      </c>
      <c r="I173" s="42" t="s">
        <v>303</v>
      </c>
      <c r="J173" t="str">
        <f t="shared" si="85"/>
        <v>RACKPDU-RACK-R5-Z1W-R1-04-A</v>
      </c>
      <c r="K173" t="str">
        <f t="shared" si="86"/>
        <v>RACKPDU-RACK-R5-Z1W-R1-04-B</v>
      </c>
      <c r="L173">
        <v>60</v>
      </c>
      <c r="M173">
        <f>VLOOKUP($H173,'Cooling-Rack'!$A$2:$G$265,5,FALSE)</f>
        <v>51</v>
      </c>
      <c r="N173">
        <f>VLOOKUP($H173,'Cooling-Rack'!$A$2:$G$265,7,FALSE)</f>
        <v>9.0000000000000018</v>
      </c>
      <c r="O173">
        <v>72</v>
      </c>
      <c r="P173" s="100">
        <v>0.85</v>
      </c>
      <c r="Q173" s="100">
        <v>0.15000000000000002</v>
      </c>
      <c r="R173" s="44" t="s">
        <v>305</v>
      </c>
      <c r="S173" s="44" t="s">
        <v>306</v>
      </c>
      <c r="T173" s="44" t="s">
        <v>313</v>
      </c>
      <c r="U173" s="44" t="s">
        <v>314</v>
      </c>
      <c r="V173" t="s">
        <v>293</v>
      </c>
      <c r="W173" t="s">
        <v>294</v>
      </c>
      <c r="X173" s="19" t="s">
        <v>80</v>
      </c>
      <c r="Y173" s="19" t="s">
        <v>76</v>
      </c>
      <c r="Z173" s="19" t="s">
        <v>77</v>
      </c>
      <c r="AA173" s="19" t="s">
        <v>74</v>
      </c>
      <c r="AB173" s="19" t="s">
        <v>75</v>
      </c>
      <c r="AC173" s="19" t="s">
        <v>78</v>
      </c>
      <c r="AD173" s="19" t="s">
        <v>79</v>
      </c>
      <c r="AE173" t="s">
        <v>387</v>
      </c>
      <c r="AF173" t="s">
        <v>390</v>
      </c>
      <c r="AG173" t="s">
        <v>393</v>
      </c>
      <c r="AH173" t="s">
        <v>395</v>
      </c>
      <c r="AL173">
        <v>0</v>
      </c>
      <c r="AM173">
        <f t="shared" si="59"/>
        <v>0</v>
      </c>
      <c r="AN173">
        <f t="shared" si="60"/>
        <v>0</v>
      </c>
      <c r="AO173">
        <v>0</v>
      </c>
      <c r="AP173">
        <f t="shared" si="61"/>
        <v>0</v>
      </c>
      <c r="AQ173">
        <f t="shared" si="62"/>
        <v>0</v>
      </c>
      <c r="AS173">
        <f t="shared" si="82"/>
        <v>0</v>
      </c>
      <c r="AT173">
        <f t="shared" si="83"/>
        <v>0</v>
      </c>
      <c r="BA173">
        <f t="shared" si="63"/>
        <v>60</v>
      </c>
      <c r="BB173">
        <f t="shared" si="64"/>
        <v>60</v>
      </c>
      <c r="BC173">
        <f t="shared" si="65"/>
        <v>60</v>
      </c>
      <c r="BD173">
        <f t="shared" si="66"/>
        <v>60</v>
      </c>
      <c r="BE173">
        <f t="shared" si="67"/>
        <v>60</v>
      </c>
      <c r="BF173">
        <f t="shared" si="68"/>
        <v>60</v>
      </c>
      <c r="BG173" s="100">
        <f t="shared" si="69"/>
        <v>1</v>
      </c>
      <c r="BH173" s="100">
        <f t="shared" si="70"/>
        <v>1</v>
      </c>
      <c r="BI173" s="100">
        <f t="shared" si="71"/>
        <v>1</v>
      </c>
      <c r="BJ173" s="100">
        <f t="shared" si="72"/>
        <v>1</v>
      </c>
      <c r="BK173" s="100">
        <f t="shared" si="73"/>
        <v>1</v>
      </c>
      <c r="BL173" s="100">
        <f t="shared" si="74"/>
        <v>1</v>
      </c>
      <c r="BM173" s="100"/>
      <c r="BO173" t="s">
        <v>1022</v>
      </c>
      <c r="BP173" s="27">
        <f t="shared" si="75"/>
        <v>56.666666666666664</v>
      </c>
      <c r="BQ173">
        <f t="shared" si="76"/>
        <v>0</v>
      </c>
      <c r="BR173">
        <f t="shared" si="77"/>
        <v>0</v>
      </c>
      <c r="BS173">
        <f t="shared" si="78"/>
        <v>0</v>
      </c>
      <c r="BT173">
        <f t="shared" si="79"/>
        <v>0</v>
      </c>
      <c r="BU173">
        <f t="shared" si="80"/>
        <v>0</v>
      </c>
      <c r="BV173">
        <f t="shared" si="81"/>
        <v>0</v>
      </c>
    </row>
    <row r="174" spans="1:74" x14ac:dyDescent="0.2">
      <c r="A174" t="s">
        <v>321</v>
      </c>
      <c r="B174" t="s">
        <v>379</v>
      </c>
      <c r="C174">
        <v>60</v>
      </c>
      <c r="F174" t="s">
        <v>317</v>
      </c>
      <c r="G174" t="s">
        <v>319</v>
      </c>
      <c r="H174" s="42" t="s">
        <v>327</v>
      </c>
      <c r="I174" s="42" t="s">
        <v>303</v>
      </c>
      <c r="J174" t="str">
        <f t="shared" si="85"/>
        <v>RACKPDU-RACK-R5-Z1W-R1-05-A</v>
      </c>
      <c r="K174" t="str">
        <f t="shared" si="86"/>
        <v>RACKPDU-RACK-R5-Z1W-R1-05-B</v>
      </c>
      <c r="L174">
        <v>60</v>
      </c>
      <c r="M174">
        <f>VLOOKUP($H174,'Cooling-Rack'!$A$2:$G$265,5,FALSE)</f>
        <v>51</v>
      </c>
      <c r="N174">
        <f>VLOOKUP($H174,'Cooling-Rack'!$A$2:$G$265,7,FALSE)</f>
        <v>9.0000000000000018</v>
      </c>
      <c r="O174">
        <v>72</v>
      </c>
      <c r="P174" s="100">
        <v>0.85</v>
      </c>
      <c r="Q174" s="100">
        <v>0.15000000000000002</v>
      </c>
      <c r="R174" s="44" t="s">
        <v>305</v>
      </c>
      <c r="S174" s="44" t="s">
        <v>306</v>
      </c>
      <c r="T174" s="44" t="s">
        <v>313</v>
      </c>
      <c r="U174" s="44" t="s">
        <v>314</v>
      </c>
      <c r="V174" t="s">
        <v>293</v>
      </c>
      <c r="W174" t="s">
        <v>294</v>
      </c>
      <c r="X174" s="19" t="s">
        <v>80</v>
      </c>
      <c r="Y174" s="19" t="s">
        <v>76</v>
      </c>
      <c r="Z174" s="19" t="s">
        <v>77</v>
      </c>
      <c r="AA174" s="19" t="s">
        <v>74</v>
      </c>
      <c r="AB174" s="19" t="s">
        <v>75</v>
      </c>
      <c r="AC174" s="19" t="s">
        <v>78</v>
      </c>
      <c r="AD174" s="19" t="s">
        <v>79</v>
      </c>
      <c r="AE174" t="s">
        <v>387</v>
      </c>
      <c r="AF174" t="s">
        <v>390</v>
      </c>
      <c r="AG174" t="s">
        <v>393</v>
      </c>
      <c r="AH174" t="s">
        <v>395</v>
      </c>
      <c r="AL174">
        <v>0</v>
      </c>
      <c r="AM174">
        <f t="shared" si="59"/>
        <v>0</v>
      </c>
      <c r="AN174">
        <f t="shared" si="60"/>
        <v>0</v>
      </c>
      <c r="AO174">
        <v>0</v>
      </c>
      <c r="AP174">
        <f t="shared" si="61"/>
        <v>0</v>
      </c>
      <c r="AQ174">
        <f t="shared" si="62"/>
        <v>0</v>
      </c>
      <c r="AS174">
        <f t="shared" si="82"/>
        <v>0</v>
      </c>
      <c r="AT174">
        <f t="shared" si="83"/>
        <v>0</v>
      </c>
      <c r="BA174">
        <f t="shared" si="63"/>
        <v>60</v>
      </c>
      <c r="BB174">
        <f t="shared" si="64"/>
        <v>60</v>
      </c>
      <c r="BC174">
        <f t="shared" si="65"/>
        <v>60</v>
      </c>
      <c r="BD174">
        <f t="shared" si="66"/>
        <v>60</v>
      </c>
      <c r="BE174">
        <f t="shared" si="67"/>
        <v>60</v>
      </c>
      <c r="BF174">
        <f t="shared" si="68"/>
        <v>60</v>
      </c>
      <c r="BG174" s="100">
        <f t="shared" si="69"/>
        <v>1</v>
      </c>
      <c r="BH174" s="100">
        <f t="shared" si="70"/>
        <v>1</v>
      </c>
      <c r="BI174" s="100">
        <f t="shared" si="71"/>
        <v>1</v>
      </c>
      <c r="BJ174" s="100">
        <f t="shared" si="72"/>
        <v>1</v>
      </c>
      <c r="BK174" s="100">
        <f t="shared" si="73"/>
        <v>1</v>
      </c>
      <c r="BL174" s="100">
        <f t="shared" si="74"/>
        <v>1</v>
      </c>
      <c r="BM174" s="100"/>
      <c r="BO174" t="s">
        <v>1023</v>
      </c>
      <c r="BP174" s="27">
        <f t="shared" si="75"/>
        <v>56.666666666666664</v>
      </c>
      <c r="BQ174">
        <f t="shared" si="76"/>
        <v>0</v>
      </c>
      <c r="BR174">
        <f t="shared" si="77"/>
        <v>0</v>
      </c>
      <c r="BS174">
        <f t="shared" si="78"/>
        <v>0</v>
      </c>
      <c r="BT174">
        <f t="shared" si="79"/>
        <v>0</v>
      </c>
      <c r="BU174">
        <f t="shared" si="80"/>
        <v>0</v>
      </c>
      <c r="BV174">
        <f t="shared" si="81"/>
        <v>0</v>
      </c>
    </row>
    <row r="175" spans="1:74" x14ac:dyDescent="0.2">
      <c r="A175" t="s">
        <v>321</v>
      </c>
      <c r="B175" t="s">
        <v>379</v>
      </c>
      <c r="C175">
        <v>60</v>
      </c>
      <c r="F175" t="s">
        <v>317</v>
      </c>
      <c r="G175" t="s">
        <v>319</v>
      </c>
      <c r="H175" s="42" t="s">
        <v>328</v>
      </c>
      <c r="I175" s="42" t="s">
        <v>303</v>
      </c>
      <c r="J175" t="str">
        <f t="shared" si="85"/>
        <v>RACKPDU-RACK-R5-Z1W-R1-06-A</v>
      </c>
      <c r="K175" t="str">
        <f t="shared" si="86"/>
        <v>RACKPDU-RACK-R5-Z1W-R1-06-B</v>
      </c>
      <c r="L175">
        <v>60</v>
      </c>
      <c r="M175">
        <f>VLOOKUP($H175,'Cooling-Rack'!$A$2:$G$265,5,FALSE)</f>
        <v>51</v>
      </c>
      <c r="N175">
        <f>VLOOKUP($H175,'Cooling-Rack'!$A$2:$G$265,7,FALSE)</f>
        <v>9.0000000000000018</v>
      </c>
      <c r="O175">
        <v>72</v>
      </c>
      <c r="P175" s="100">
        <v>0.85</v>
      </c>
      <c r="Q175" s="100">
        <v>0.15000000000000002</v>
      </c>
      <c r="R175" s="44" t="s">
        <v>305</v>
      </c>
      <c r="S175" s="44" t="s">
        <v>306</v>
      </c>
      <c r="T175" s="44" t="s">
        <v>313</v>
      </c>
      <c r="U175" s="44" t="s">
        <v>314</v>
      </c>
      <c r="V175" t="s">
        <v>293</v>
      </c>
      <c r="W175" t="s">
        <v>294</v>
      </c>
      <c r="X175" s="19" t="s">
        <v>80</v>
      </c>
      <c r="Y175" s="19" t="s">
        <v>76</v>
      </c>
      <c r="Z175" s="19" t="s">
        <v>77</v>
      </c>
      <c r="AA175" s="19" t="s">
        <v>74</v>
      </c>
      <c r="AB175" s="19" t="s">
        <v>75</v>
      </c>
      <c r="AC175" s="19" t="s">
        <v>78</v>
      </c>
      <c r="AD175" s="19" t="s">
        <v>79</v>
      </c>
      <c r="AE175" t="s">
        <v>387</v>
      </c>
      <c r="AF175" t="s">
        <v>390</v>
      </c>
      <c r="AG175" t="s">
        <v>393</v>
      </c>
      <c r="AH175" t="s">
        <v>395</v>
      </c>
      <c r="AL175">
        <v>0</v>
      </c>
      <c r="AM175">
        <f t="shared" si="59"/>
        <v>0</v>
      </c>
      <c r="AN175">
        <f t="shared" si="60"/>
        <v>0</v>
      </c>
      <c r="AO175">
        <v>0</v>
      </c>
      <c r="AP175">
        <f t="shared" si="61"/>
        <v>0</v>
      </c>
      <c r="AQ175">
        <f t="shared" si="62"/>
        <v>0</v>
      </c>
      <c r="AS175">
        <f t="shared" si="82"/>
        <v>0</v>
      </c>
      <c r="AT175">
        <f t="shared" si="83"/>
        <v>0</v>
      </c>
      <c r="BA175">
        <f t="shared" si="63"/>
        <v>60</v>
      </c>
      <c r="BB175">
        <f t="shared" si="64"/>
        <v>60</v>
      </c>
      <c r="BC175">
        <f t="shared" si="65"/>
        <v>60</v>
      </c>
      <c r="BD175">
        <f t="shared" si="66"/>
        <v>60</v>
      </c>
      <c r="BE175">
        <f t="shared" si="67"/>
        <v>60</v>
      </c>
      <c r="BF175">
        <f t="shared" si="68"/>
        <v>60</v>
      </c>
      <c r="BG175" s="100">
        <f t="shared" si="69"/>
        <v>1</v>
      </c>
      <c r="BH175" s="100">
        <f t="shared" si="70"/>
        <v>1</v>
      </c>
      <c r="BI175" s="100">
        <f t="shared" si="71"/>
        <v>1</v>
      </c>
      <c r="BJ175" s="100">
        <f t="shared" si="72"/>
        <v>1</v>
      </c>
      <c r="BK175" s="100">
        <f t="shared" si="73"/>
        <v>1</v>
      </c>
      <c r="BL175" s="100">
        <f t="shared" si="74"/>
        <v>1</v>
      </c>
      <c r="BM175" s="100"/>
      <c r="BO175" t="s">
        <v>1024</v>
      </c>
      <c r="BP175" s="27">
        <f t="shared" si="75"/>
        <v>56.666666666666664</v>
      </c>
      <c r="BQ175">
        <f t="shared" si="76"/>
        <v>0</v>
      </c>
      <c r="BR175">
        <f t="shared" si="77"/>
        <v>0</v>
      </c>
      <c r="BS175">
        <f t="shared" si="78"/>
        <v>0</v>
      </c>
      <c r="BT175">
        <f t="shared" si="79"/>
        <v>0</v>
      </c>
      <c r="BU175">
        <f t="shared" si="80"/>
        <v>0</v>
      </c>
      <c r="BV175">
        <f t="shared" si="81"/>
        <v>0</v>
      </c>
    </row>
    <row r="176" spans="1:74" x14ac:dyDescent="0.2">
      <c r="A176" t="s">
        <v>321</v>
      </c>
      <c r="B176" t="s">
        <v>379</v>
      </c>
      <c r="C176">
        <v>60</v>
      </c>
      <c r="F176" t="s">
        <v>317</v>
      </c>
      <c r="G176" t="s">
        <v>319</v>
      </c>
      <c r="H176" s="42" t="s">
        <v>329</v>
      </c>
      <c r="I176" s="42" t="s">
        <v>303</v>
      </c>
      <c r="J176" t="str">
        <f t="shared" si="85"/>
        <v>RACKPDU-RACK-R5-Z1W-R1-07-A</v>
      </c>
      <c r="K176" t="str">
        <f t="shared" si="86"/>
        <v>RACKPDU-RACK-R5-Z1W-R1-07-B</v>
      </c>
      <c r="L176">
        <v>60</v>
      </c>
      <c r="M176">
        <f>VLOOKUP($H176,'Cooling-Rack'!$A$2:$G$265,5,FALSE)</f>
        <v>51</v>
      </c>
      <c r="N176">
        <f>VLOOKUP($H176,'Cooling-Rack'!$A$2:$G$265,7,FALSE)</f>
        <v>9.0000000000000018</v>
      </c>
      <c r="O176">
        <v>72</v>
      </c>
      <c r="P176" s="100">
        <v>0.85</v>
      </c>
      <c r="Q176" s="100">
        <v>0.15000000000000002</v>
      </c>
      <c r="R176" s="44" t="s">
        <v>305</v>
      </c>
      <c r="S176" s="44" t="s">
        <v>306</v>
      </c>
      <c r="T176" s="44" t="s">
        <v>313</v>
      </c>
      <c r="U176" s="44" t="s">
        <v>314</v>
      </c>
      <c r="V176" t="s">
        <v>293</v>
      </c>
      <c r="W176" t="s">
        <v>294</v>
      </c>
      <c r="X176" s="19" t="s">
        <v>80</v>
      </c>
      <c r="Y176" s="19" t="s">
        <v>76</v>
      </c>
      <c r="Z176" s="19" t="s">
        <v>77</v>
      </c>
      <c r="AA176" s="19" t="s">
        <v>74</v>
      </c>
      <c r="AB176" s="19" t="s">
        <v>75</v>
      </c>
      <c r="AC176" s="19" t="s">
        <v>78</v>
      </c>
      <c r="AD176" s="19" t="s">
        <v>79</v>
      </c>
      <c r="AE176" t="s">
        <v>387</v>
      </c>
      <c r="AF176" t="s">
        <v>390</v>
      </c>
      <c r="AG176" t="s">
        <v>393</v>
      </c>
      <c r="AH176" t="s">
        <v>395</v>
      </c>
      <c r="AL176">
        <v>0</v>
      </c>
      <c r="AM176">
        <f t="shared" si="59"/>
        <v>0</v>
      </c>
      <c r="AN176">
        <f t="shared" si="60"/>
        <v>0</v>
      </c>
      <c r="AO176">
        <v>0</v>
      </c>
      <c r="AP176">
        <f t="shared" si="61"/>
        <v>0</v>
      </c>
      <c r="AQ176">
        <f t="shared" si="62"/>
        <v>0</v>
      </c>
      <c r="AS176">
        <f t="shared" si="82"/>
        <v>0</v>
      </c>
      <c r="AT176">
        <f t="shared" si="83"/>
        <v>0</v>
      </c>
      <c r="BA176">
        <f t="shared" si="63"/>
        <v>60</v>
      </c>
      <c r="BB176">
        <f t="shared" si="64"/>
        <v>60</v>
      </c>
      <c r="BC176">
        <f t="shared" si="65"/>
        <v>60</v>
      </c>
      <c r="BD176">
        <f t="shared" si="66"/>
        <v>60</v>
      </c>
      <c r="BE176">
        <f t="shared" si="67"/>
        <v>60</v>
      </c>
      <c r="BF176">
        <f t="shared" si="68"/>
        <v>60</v>
      </c>
      <c r="BG176" s="100">
        <f t="shared" si="69"/>
        <v>1</v>
      </c>
      <c r="BH176" s="100">
        <f t="shared" si="70"/>
        <v>1</v>
      </c>
      <c r="BI176" s="100">
        <f t="shared" si="71"/>
        <v>1</v>
      </c>
      <c r="BJ176" s="100">
        <f t="shared" si="72"/>
        <v>1</v>
      </c>
      <c r="BK176" s="100">
        <f t="shared" si="73"/>
        <v>1</v>
      </c>
      <c r="BL176" s="100">
        <f t="shared" si="74"/>
        <v>1</v>
      </c>
      <c r="BM176" s="100"/>
      <c r="BO176" t="s">
        <v>1025</v>
      </c>
      <c r="BP176" s="27">
        <f t="shared" si="75"/>
        <v>56.666666666666664</v>
      </c>
      <c r="BQ176">
        <f t="shared" si="76"/>
        <v>0</v>
      </c>
      <c r="BR176">
        <f t="shared" si="77"/>
        <v>0</v>
      </c>
      <c r="BS176">
        <f t="shared" si="78"/>
        <v>0</v>
      </c>
      <c r="BT176">
        <f t="shared" si="79"/>
        <v>0</v>
      </c>
      <c r="BU176">
        <f t="shared" si="80"/>
        <v>0</v>
      </c>
      <c r="BV176">
        <f t="shared" si="81"/>
        <v>0</v>
      </c>
    </row>
    <row r="177" spans="1:74" x14ac:dyDescent="0.2">
      <c r="A177" t="s">
        <v>321</v>
      </c>
      <c r="B177" t="s">
        <v>379</v>
      </c>
      <c r="C177">
        <v>60</v>
      </c>
      <c r="F177" t="s">
        <v>317</v>
      </c>
      <c r="G177" t="s">
        <v>319</v>
      </c>
      <c r="H177" s="42" t="s">
        <v>330</v>
      </c>
      <c r="I177" s="42" t="s">
        <v>303</v>
      </c>
      <c r="J177" t="str">
        <f t="shared" si="85"/>
        <v>RACKPDU-RACK-R5-Z1W-R1-08-A</v>
      </c>
      <c r="K177" t="str">
        <f t="shared" si="86"/>
        <v>RACKPDU-RACK-R5-Z1W-R1-08-B</v>
      </c>
      <c r="L177">
        <v>60</v>
      </c>
      <c r="M177">
        <f>VLOOKUP($H177,'Cooling-Rack'!$A$2:$G$265,5,FALSE)</f>
        <v>51</v>
      </c>
      <c r="N177">
        <f>VLOOKUP($H177,'Cooling-Rack'!$A$2:$G$265,7,FALSE)</f>
        <v>9.0000000000000018</v>
      </c>
      <c r="O177">
        <v>72</v>
      </c>
      <c r="P177" s="100">
        <v>0.85</v>
      </c>
      <c r="Q177" s="100">
        <v>0.15000000000000002</v>
      </c>
      <c r="R177" s="44" t="s">
        <v>305</v>
      </c>
      <c r="S177" s="44" t="s">
        <v>306</v>
      </c>
      <c r="T177" s="44" t="s">
        <v>313</v>
      </c>
      <c r="U177" s="44" t="s">
        <v>314</v>
      </c>
      <c r="V177" t="s">
        <v>293</v>
      </c>
      <c r="W177" t="s">
        <v>294</v>
      </c>
      <c r="X177" s="19" t="s">
        <v>80</v>
      </c>
      <c r="Y177" s="19" t="s">
        <v>76</v>
      </c>
      <c r="Z177" s="19" t="s">
        <v>77</v>
      </c>
      <c r="AA177" s="19" t="s">
        <v>74</v>
      </c>
      <c r="AB177" s="19" t="s">
        <v>75</v>
      </c>
      <c r="AC177" s="19" t="s">
        <v>78</v>
      </c>
      <c r="AD177" s="19" t="s">
        <v>79</v>
      </c>
      <c r="AE177" t="s">
        <v>387</v>
      </c>
      <c r="AF177" t="s">
        <v>390</v>
      </c>
      <c r="AG177" t="s">
        <v>393</v>
      </c>
      <c r="AH177" t="s">
        <v>395</v>
      </c>
      <c r="AL177">
        <v>0</v>
      </c>
      <c r="AM177">
        <f t="shared" si="59"/>
        <v>0</v>
      </c>
      <c r="AN177">
        <f t="shared" si="60"/>
        <v>0</v>
      </c>
      <c r="AO177">
        <v>0</v>
      </c>
      <c r="AP177">
        <f t="shared" si="61"/>
        <v>0</v>
      </c>
      <c r="AQ177">
        <f t="shared" si="62"/>
        <v>0</v>
      </c>
      <c r="AS177">
        <f t="shared" si="82"/>
        <v>0</v>
      </c>
      <c r="AT177">
        <f t="shared" si="83"/>
        <v>0</v>
      </c>
      <c r="BA177">
        <f t="shared" si="63"/>
        <v>60</v>
      </c>
      <c r="BB177">
        <f t="shared" si="64"/>
        <v>60</v>
      </c>
      <c r="BC177">
        <f t="shared" si="65"/>
        <v>60</v>
      </c>
      <c r="BD177">
        <f t="shared" si="66"/>
        <v>60</v>
      </c>
      <c r="BE177">
        <f t="shared" si="67"/>
        <v>60</v>
      </c>
      <c r="BF177">
        <f t="shared" si="68"/>
        <v>60</v>
      </c>
      <c r="BG177" s="100">
        <f t="shared" si="69"/>
        <v>1</v>
      </c>
      <c r="BH177" s="100">
        <f t="shared" si="70"/>
        <v>1</v>
      </c>
      <c r="BI177" s="100">
        <f t="shared" si="71"/>
        <v>1</v>
      </c>
      <c r="BJ177" s="100">
        <f t="shared" si="72"/>
        <v>1</v>
      </c>
      <c r="BK177" s="100">
        <f t="shared" si="73"/>
        <v>1</v>
      </c>
      <c r="BL177" s="100">
        <f t="shared" si="74"/>
        <v>1</v>
      </c>
      <c r="BM177" s="100"/>
      <c r="BO177" t="s">
        <v>1026</v>
      </c>
      <c r="BP177" s="27">
        <f t="shared" si="75"/>
        <v>56.666666666666664</v>
      </c>
      <c r="BQ177">
        <f t="shared" si="76"/>
        <v>0</v>
      </c>
      <c r="BR177">
        <f t="shared" si="77"/>
        <v>0</v>
      </c>
      <c r="BS177">
        <f t="shared" si="78"/>
        <v>0</v>
      </c>
      <c r="BT177">
        <f t="shared" si="79"/>
        <v>0</v>
      </c>
      <c r="BU177">
        <f t="shared" si="80"/>
        <v>0</v>
      </c>
      <c r="BV177">
        <f t="shared" si="81"/>
        <v>0</v>
      </c>
    </row>
    <row r="178" spans="1:74" x14ac:dyDescent="0.2">
      <c r="A178" t="s">
        <v>321</v>
      </c>
      <c r="B178" t="s">
        <v>379</v>
      </c>
      <c r="C178">
        <v>60</v>
      </c>
      <c r="F178" t="s">
        <v>317</v>
      </c>
      <c r="G178" t="s">
        <v>319</v>
      </c>
      <c r="H178" s="42" t="s">
        <v>331</v>
      </c>
      <c r="I178" s="42" t="s">
        <v>303</v>
      </c>
      <c r="J178" t="str">
        <f t="shared" si="85"/>
        <v>RACKPDU-RACK-R5-Z1W-R1-09-A</v>
      </c>
      <c r="K178" t="str">
        <f t="shared" si="86"/>
        <v>RACKPDU-RACK-R5-Z1W-R1-09-B</v>
      </c>
      <c r="L178">
        <v>60</v>
      </c>
      <c r="M178">
        <f>VLOOKUP($H178,'Cooling-Rack'!$A$2:$G$265,5,FALSE)</f>
        <v>51</v>
      </c>
      <c r="N178">
        <f>VLOOKUP($H178,'Cooling-Rack'!$A$2:$G$265,7,FALSE)</f>
        <v>9.0000000000000018</v>
      </c>
      <c r="O178">
        <v>72</v>
      </c>
      <c r="P178" s="100">
        <v>0.85</v>
      </c>
      <c r="Q178" s="100">
        <v>0.15000000000000002</v>
      </c>
      <c r="R178" s="44" t="s">
        <v>305</v>
      </c>
      <c r="S178" s="44" t="s">
        <v>306</v>
      </c>
      <c r="T178" s="44" t="s">
        <v>313</v>
      </c>
      <c r="U178" s="44" t="s">
        <v>314</v>
      </c>
      <c r="V178" t="s">
        <v>293</v>
      </c>
      <c r="W178" t="s">
        <v>294</v>
      </c>
      <c r="X178" s="19" t="s">
        <v>80</v>
      </c>
      <c r="Y178" s="19" t="s">
        <v>76</v>
      </c>
      <c r="Z178" s="19" t="s">
        <v>77</v>
      </c>
      <c r="AA178" s="19" t="s">
        <v>74</v>
      </c>
      <c r="AB178" s="19" t="s">
        <v>75</v>
      </c>
      <c r="AC178" s="19" t="s">
        <v>78</v>
      </c>
      <c r="AD178" s="19" t="s">
        <v>79</v>
      </c>
      <c r="AE178" t="s">
        <v>387</v>
      </c>
      <c r="AF178" t="s">
        <v>390</v>
      </c>
      <c r="AG178" t="s">
        <v>393</v>
      </c>
      <c r="AH178" t="s">
        <v>395</v>
      </c>
      <c r="AL178">
        <v>0</v>
      </c>
      <c r="AM178">
        <f t="shared" si="59"/>
        <v>0</v>
      </c>
      <c r="AN178">
        <f t="shared" si="60"/>
        <v>0</v>
      </c>
      <c r="AO178">
        <v>0</v>
      </c>
      <c r="AP178">
        <f t="shared" si="61"/>
        <v>0</v>
      </c>
      <c r="AQ178">
        <f t="shared" si="62"/>
        <v>0</v>
      </c>
      <c r="AS178">
        <f t="shared" si="82"/>
        <v>0</v>
      </c>
      <c r="AT178">
        <f t="shared" si="83"/>
        <v>0</v>
      </c>
      <c r="BA178">
        <f t="shared" si="63"/>
        <v>60</v>
      </c>
      <c r="BB178">
        <f t="shared" si="64"/>
        <v>60</v>
      </c>
      <c r="BC178">
        <f t="shared" si="65"/>
        <v>60</v>
      </c>
      <c r="BD178">
        <f t="shared" si="66"/>
        <v>60</v>
      </c>
      <c r="BE178">
        <f t="shared" si="67"/>
        <v>60</v>
      </c>
      <c r="BF178">
        <f t="shared" si="68"/>
        <v>60</v>
      </c>
      <c r="BG178" s="100">
        <f t="shared" si="69"/>
        <v>1</v>
      </c>
      <c r="BH178" s="100">
        <f t="shared" si="70"/>
        <v>1</v>
      </c>
      <c r="BI178" s="100">
        <f t="shared" si="71"/>
        <v>1</v>
      </c>
      <c r="BJ178" s="100">
        <f t="shared" si="72"/>
        <v>1</v>
      </c>
      <c r="BK178" s="100">
        <f t="shared" si="73"/>
        <v>1</v>
      </c>
      <c r="BL178" s="100">
        <f t="shared" si="74"/>
        <v>1</v>
      </c>
      <c r="BM178" s="100"/>
      <c r="BO178" t="s">
        <v>1027</v>
      </c>
      <c r="BP178" s="27">
        <f t="shared" si="75"/>
        <v>56.666666666666664</v>
      </c>
      <c r="BQ178">
        <f t="shared" si="76"/>
        <v>0</v>
      </c>
      <c r="BR178">
        <f t="shared" si="77"/>
        <v>0</v>
      </c>
      <c r="BS178">
        <f t="shared" si="78"/>
        <v>0</v>
      </c>
      <c r="BT178">
        <f t="shared" si="79"/>
        <v>0</v>
      </c>
      <c r="BU178">
        <f t="shared" si="80"/>
        <v>0</v>
      </c>
      <c r="BV178">
        <f t="shared" si="81"/>
        <v>0</v>
      </c>
    </row>
    <row r="179" spans="1:74" x14ac:dyDescent="0.2">
      <c r="A179" t="s">
        <v>321</v>
      </c>
      <c r="B179" t="s">
        <v>379</v>
      </c>
      <c r="C179">
        <v>60</v>
      </c>
      <c r="F179" t="s">
        <v>317</v>
      </c>
      <c r="G179" t="s">
        <v>319</v>
      </c>
      <c r="H179" s="42" t="s">
        <v>332</v>
      </c>
      <c r="I179" s="42" t="s">
        <v>303</v>
      </c>
      <c r="J179" t="str">
        <f t="shared" si="85"/>
        <v>RACKPDU-RACK-R5-Z1W-R1-10-A</v>
      </c>
      <c r="K179" t="str">
        <f t="shared" si="86"/>
        <v>RACKPDU-RACK-R5-Z1W-R1-10-B</v>
      </c>
      <c r="L179">
        <v>60</v>
      </c>
      <c r="M179">
        <f>VLOOKUP($H179,'Cooling-Rack'!$A$2:$G$265,5,FALSE)</f>
        <v>51</v>
      </c>
      <c r="N179">
        <f>VLOOKUP($H179,'Cooling-Rack'!$A$2:$G$265,7,FALSE)</f>
        <v>9.0000000000000018</v>
      </c>
      <c r="O179">
        <v>72</v>
      </c>
      <c r="P179" s="100">
        <v>0.85</v>
      </c>
      <c r="Q179" s="100">
        <v>0.15000000000000002</v>
      </c>
      <c r="R179" s="44" t="s">
        <v>305</v>
      </c>
      <c r="S179" s="44" t="s">
        <v>306</v>
      </c>
      <c r="T179" s="44" t="s">
        <v>313</v>
      </c>
      <c r="U179" s="44" t="s">
        <v>314</v>
      </c>
      <c r="V179" t="s">
        <v>293</v>
      </c>
      <c r="W179" t="s">
        <v>294</v>
      </c>
      <c r="X179" s="19" t="s">
        <v>80</v>
      </c>
      <c r="Y179" s="19" t="s">
        <v>76</v>
      </c>
      <c r="Z179" s="19" t="s">
        <v>77</v>
      </c>
      <c r="AA179" s="19" t="s">
        <v>74</v>
      </c>
      <c r="AB179" s="19" t="s">
        <v>75</v>
      </c>
      <c r="AC179" s="19" t="s">
        <v>78</v>
      </c>
      <c r="AD179" s="19" t="s">
        <v>79</v>
      </c>
      <c r="AE179" t="s">
        <v>387</v>
      </c>
      <c r="AF179" t="s">
        <v>390</v>
      </c>
      <c r="AG179" t="s">
        <v>393</v>
      </c>
      <c r="AH179" t="s">
        <v>395</v>
      </c>
      <c r="AL179">
        <v>0</v>
      </c>
      <c r="AM179">
        <f t="shared" si="59"/>
        <v>0</v>
      </c>
      <c r="AN179">
        <f t="shared" si="60"/>
        <v>0</v>
      </c>
      <c r="AO179">
        <v>0</v>
      </c>
      <c r="AP179">
        <f t="shared" si="61"/>
        <v>0</v>
      </c>
      <c r="AQ179">
        <f t="shared" si="62"/>
        <v>0</v>
      </c>
      <c r="AS179">
        <f t="shared" si="82"/>
        <v>0</v>
      </c>
      <c r="AT179">
        <f t="shared" si="83"/>
        <v>0</v>
      </c>
      <c r="BA179">
        <f t="shared" si="63"/>
        <v>60</v>
      </c>
      <c r="BB179">
        <f t="shared" si="64"/>
        <v>60</v>
      </c>
      <c r="BC179">
        <f t="shared" si="65"/>
        <v>60</v>
      </c>
      <c r="BD179">
        <f t="shared" si="66"/>
        <v>60</v>
      </c>
      <c r="BE179">
        <f t="shared" si="67"/>
        <v>60</v>
      </c>
      <c r="BF179">
        <f t="shared" si="68"/>
        <v>60</v>
      </c>
      <c r="BG179" s="100">
        <f t="shared" si="69"/>
        <v>1</v>
      </c>
      <c r="BH179" s="100">
        <f t="shared" si="70"/>
        <v>1</v>
      </c>
      <c r="BI179" s="100">
        <f t="shared" si="71"/>
        <v>1</v>
      </c>
      <c r="BJ179" s="100">
        <f t="shared" si="72"/>
        <v>1</v>
      </c>
      <c r="BK179" s="100">
        <f t="shared" si="73"/>
        <v>1</v>
      </c>
      <c r="BL179" s="100">
        <f t="shared" si="74"/>
        <v>1</v>
      </c>
      <c r="BM179" s="100"/>
      <c r="BO179" t="s">
        <v>1028</v>
      </c>
      <c r="BP179" s="27">
        <f t="shared" si="75"/>
        <v>56.666666666666664</v>
      </c>
      <c r="BQ179">
        <f t="shared" si="76"/>
        <v>0</v>
      </c>
      <c r="BR179">
        <f t="shared" si="77"/>
        <v>0</v>
      </c>
      <c r="BS179">
        <f t="shared" si="78"/>
        <v>0</v>
      </c>
      <c r="BT179">
        <f t="shared" si="79"/>
        <v>0</v>
      </c>
      <c r="BU179">
        <f t="shared" si="80"/>
        <v>0</v>
      </c>
      <c r="BV179">
        <f t="shared" si="81"/>
        <v>0</v>
      </c>
    </row>
    <row r="180" spans="1:74" x14ac:dyDescent="0.2">
      <c r="A180" t="s">
        <v>321</v>
      </c>
      <c r="B180" t="s">
        <v>379</v>
      </c>
      <c r="C180">
        <v>60</v>
      </c>
      <c r="F180" t="s">
        <v>317</v>
      </c>
      <c r="G180" t="s">
        <v>319</v>
      </c>
      <c r="H180" s="42" t="s">
        <v>333</v>
      </c>
      <c r="I180" s="42" t="s">
        <v>303</v>
      </c>
      <c r="J180" t="str">
        <f t="shared" si="85"/>
        <v>RACKPDU-RACK-R5-Z1W-R1-11-A</v>
      </c>
      <c r="K180" t="str">
        <f t="shared" si="86"/>
        <v>RACKPDU-RACK-R5-Z1W-R1-11-B</v>
      </c>
      <c r="L180">
        <v>60</v>
      </c>
      <c r="M180">
        <f>VLOOKUP($H180,'Cooling-Rack'!$A$2:$G$265,5,FALSE)</f>
        <v>51</v>
      </c>
      <c r="N180">
        <f>VLOOKUP($H180,'Cooling-Rack'!$A$2:$G$265,7,FALSE)</f>
        <v>9.0000000000000018</v>
      </c>
      <c r="O180">
        <v>72</v>
      </c>
      <c r="P180" s="100">
        <v>0.85</v>
      </c>
      <c r="Q180" s="100">
        <v>0.15000000000000002</v>
      </c>
      <c r="R180" s="44" t="s">
        <v>305</v>
      </c>
      <c r="S180" s="44" t="s">
        <v>306</v>
      </c>
      <c r="T180" s="44" t="s">
        <v>313</v>
      </c>
      <c r="U180" s="44" t="s">
        <v>314</v>
      </c>
      <c r="V180" t="s">
        <v>293</v>
      </c>
      <c r="W180" t="s">
        <v>294</v>
      </c>
      <c r="X180" s="19" t="s">
        <v>80</v>
      </c>
      <c r="Y180" s="19" t="s">
        <v>76</v>
      </c>
      <c r="Z180" s="19" t="s">
        <v>77</v>
      </c>
      <c r="AA180" s="19" t="s">
        <v>74</v>
      </c>
      <c r="AB180" s="19" t="s">
        <v>75</v>
      </c>
      <c r="AC180" s="19" t="s">
        <v>78</v>
      </c>
      <c r="AD180" s="19" t="s">
        <v>79</v>
      </c>
      <c r="AE180" t="s">
        <v>387</v>
      </c>
      <c r="AF180" t="s">
        <v>390</v>
      </c>
      <c r="AG180" t="s">
        <v>393</v>
      </c>
      <c r="AH180" t="s">
        <v>395</v>
      </c>
      <c r="AL180">
        <v>0</v>
      </c>
      <c r="AM180">
        <f t="shared" si="59"/>
        <v>0</v>
      </c>
      <c r="AN180">
        <f t="shared" si="60"/>
        <v>0</v>
      </c>
      <c r="AO180">
        <v>0</v>
      </c>
      <c r="AP180">
        <f t="shared" si="61"/>
        <v>0</v>
      </c>
      <c r="AQ180">
        <f t="shared" si="62"/>
        <v>0</v>
      </c>
      <c r="AS180">
        <f t="shared" si="82"/>
        <v>0</v>
      </c>
      <c r="AT180">
        <f t="shared" si="83"/>
        <v>0</v>
      </c>
      <c r="BA180">
        <f t="shared" si="63"/>
        <v>60</v>
      </c>
      <c r="BB180">
        <f t="shared" si="64"/>
        <v>60</v>
      </c>
      <c r="BC180">
        <f t="shared" si="65"/>
        <v>60</v>
      </c>
      <c r="BD180">
        <f t="shared" si="66"/>
        <v>60</v>
      </c>
      <c r="BE180">
        <f t="shared" si="67"/>
        <v>60</v>
      </c>
      <c r="BF180">
        <f t="shared" si="68"/>
        <v>60</v>
      </c>
      <c r="BG180" s="100">
        <f t="shared" si="69"/>
        <v>1</v>
      </c>
      <c r="BH180" s="100">
        <f t="shared" si="70"/>
        <v>1</v>
      </c>
      <c r="BI180" s="100">
        <f t="shared" si="71"/>
        <v>1</v>
      </c>
      <c r="BJ180" s="100">
        <f t="shared" si="72"/>
        <v>1</v>
      </c>
      <c r="BK180" s="100">
        <f t="shared" si="73"/>
        <v>1</v>
      </c>
      <c r="BL180" s="100">
        <f t="shared" si="74"/>
        <v>1</v>
      </c>
      <c r="BM180" s="100"/>
      <c r="BO180" t="s">
        <v>1029</v>
      </c>
      <c r="BP180" s="27">
        <f t="shared" si="75"/>
        <v>56.666666666666664</v>
      </c>
      <c r="BQ180">
        <f t="shared" si="76"/>
        <v>0</v>
      </c>
      <c r="BR180">
        <f t="shared" si="77"/>
        <v>0</v>
      </c>
      <c r="BS180">
        <f t="shared" si="78"/>
        <v>0</v>
      </c>
      <c r="BT180">
        <f t="shared" si="79"/>
        <v>0</v>
      </c>
      <c r="BU180">
        <f t="shared" si="80"/>
        <v>0</v>
      </c>
      <c r="BV180">
        <f t="shared" si="81"/>
        <v>0</v>
      </c>
    </row>
    <row r="181" spans="1:74" x14ac:dyDescent="0.2">
      <c r="A181" t="s">
        <v>321</v>
      </c>
      <c r="B181" t="s">
        <v>379</v>
      </c>
      <c r="C181">
        <v>60</v>
      </c>
      <c r="F181" t="s">
        <v>317</v>
      </c>
      <c r="G181" t="s">
        <v>319</v>
      </c>
      <c r="H181" s="42" t="s">
        <v>334</v>
      </c>
      <c r="I181" s="42" t="s">
        <v>303</v>
      </c>
      <c r="J181" t="str">
        <f t="shared" si="85"/>
        <v>RACKPDU-RACK-R5-Z1W-R1-12-A</v>
      </c>
      <c r="K181" t="str">
        <f t="shared" si="86"/>
        <v>RACKPDU-RACK-R5-Z1W-R1-12-B</v>
      </c>
      <c r="L181">
        <v>60</v>
      </c>
      <c r="M181">
        <f>VLOOKUP($H181,'Cooling-Rack'!$A$2:$G$265,5,FALSE)</f>
        <v>51</v>
      </c>
      <c r="N181">
        <f>VLOOKUP($H181,'Cooling-Rack'!$A$2:$G$265,7,FALSE)</f>
        <v>9.0000000000000018</v>
      </c>
      <c r="O181">
        <v>72</v>
      </c>
      <c r="P181" s="100">
        <v>0.85</v>
      </c>
      <c r="Q181" s="100">
        <v>0.15000000000000002</v>
      </c>
      <c r="R181" s="44" t="s">
        <v>305</v>
      </c>
      <c r="S181" s="44" t="s">
        <v>306</v>
      </c>
      <c r="T181" s="44" t="s">
        <v>313</v>
      </c>
      <c r="U181" s="44" t="s">
        <v>314</v>
      </c>
      <c r="V181" t="s">
        <v>293</v>
      </c>
      <c r="W181" t="s">
        <v>294</v>
      </c>
      <c r="X181" s="19" t="s">
        <v>80</v>
      </c>
      <c r="Y181" s="19" t="s">
        <v>76</v>
      </c>
      <c r="Z181" s="19" t="s">
        <v>77</v>
      </c>
      <c r="AA181" s="19" t="s">
        <v>74</v>
      </c>
      <c r="AB181" s="19" t="s">
        <v>75</v>
      </c>
      <c r="AC181" s="19" t="s">
        <v>78</v>
      </c>
      <c r="AD181" s="19" t="s">
        <v>79</v>
      </c>
      <c r="AE181" t="s">
        <v>387</v>
      </c>
      <c r="AF181" t="s">
        <v>390</v>
      </c>
      <c r="AG181" t="s">
        <v>393</v>
      </c>
      <c r="AH181" t="s">
        <v>395</v>
      </c>
      <c r="AL181">
        <v>0</v>
      </c>
      <c r="AM181">
        <f t="shared" si="59"/>
        <v>0</v>
      </c>
      <c r="AN181">
        <f t="shared" si="60"/>
        <v>0</v>
      </c>
      <c r="AO181">
        <v>0</v>
      </c>
      <c r="AP181">
        <f t="shared" si="61"/>
        <v>0</v>
      </c>
      <c r="AQ181">
        <f t="shared" si="62"/>
        <v>0</v>
      </c>
      <c r="AS181">
        <f t="shared" si="82"/>
        <v>0</v>
      </c>
      <c r="AT181">
        <f t="shared" si="83"/>
        <v>0</v>
      </c>
      <c r="BA181">
        <f t="shared" si="63"/>
        <v>60</v>
      </c>
      <c r="BB181">
        <f t="shared" si="64"/>
        <v>60</v>
      </c>
      <c r="BC181">
        <f t="shared" si="65"/>
        <v>60</v>
      </c>
      <c r="BD181">
        <f t="shared" si="66"/>
        <v>60</v>
      </c>
      <c r="BE181">
        <f t="shared" si="67"/>
        <v>60</v>
      </c>
      <c r="BF181">
        <f t="shared" si="68"/>
        <v>60</v>
      </c>
      <c r="BG181" s="100">
        <f t="shared" si="69"/>
        <v>1</v>
      </c>
      <c r="BH181" s="100">
        <f t="shared" si="70"/>
        <v>1</v>
      </c>
      <c r="BI181" s="100">
        <f t="shared" si="71"/>
        <v>1</v>
      </c>
      <c r="BJ181" s="100">
        <f t="shared" si="72"/>
        <v>1</v>
      </c>
      <c r="BK181" s="100">
        <f t="shared" si="73"/>
        <v>1</v>
      </c>
      <c r="BL181" s="100">
        <f t="shared" si="74"/>
        <v>1</v>
      </c>
      <c r="BM181" s="100"/>
      <c r="BO181" t="s">
        <v>1030</v>
      </c>
      <c r="BP181" s="27">
        <f t="shared" si="75"/>
        <v>56.666666666666664</v>
      </c>
      <c r="BQ181">
        <f t="shared" si="76"/>
        <v>0</v>
      </c>
      <c r="BR181">
        <f t="shared" si="77"/>
        <v>0</v>
      </c>
      <c r="BS181">
        <f t="shared" si="78"/>
        <v>0</v>
      </c>
      <c r="BT181">
        <f t="shared" si="79"/>
        <v>0</v>
      </c>
      <c r="BU181">
        <f t="shared" si="80"/>
        <v>0</v>
      </c>
      <c r="BV181">
        <f t="shared" si="81"/>
        <v>0</v>
      </c>
    </row>
    <row r="182" spans="1:74" x14ac:dyDescent="0.2">
      <c r="A182" t="s">
        <v>321</v>
      </c>
      <c r="B182" t="s">
        <v>380</v>
      </c>
      <c r="C182">
        <v>60</v>
      </c>
      <c r="F182" t="s">
        <v>317</v>
      </c>
      <c r="G182" t="s">
        <v>319</v>
      </c>
      <c r="H182" s="42" t="s">
        <v>335</v>
      </c>
      <c r="I182" s="42" t="s">
        <v>303</v>
      </c>
      <c r="J182" t="str">
        <f t="shared" si="85"/>
        <v>RACKPDU-RACK-R5-Z1W-R2-01-A</v>
      </c>
      <c r="K182" t="str">
        <f t="shared" si="86"/>
        <v>RACKPDU-RACK-R5-Z1W-R2-01-B</v>
      </c>
      <c r="L182">
        <v>60</v>
      </c>
      <c r="M182">
        <f>VLOOKUP($H182,'Cooling-Rack'!$A$2:$G$265,5,FALSE)</f>
        <v>51</v>
      </c>
      <c r="N182">
        <f>VLOOKUP($H182,'Cooling-Rack'!$A$2:$G$265,7,FALSE)</f>
        <v>9.0000000000000018</v>
      </c>
      <c r="O182">
        <v>72</v>
      </c>
      <c r="P182" s="100">
        <v>0.85</v>
      </c>
      <c r="Q182" s="100">
        <v>0.15000000000000002</v>
      </c>
      <c r="R182" s="44" t="s">
        <v>307</v>
      </c>
      <c r="S182" s="44" t="s">
        <v>308</v>
      </c>
      <c r="T182" s="44" t="s">
        <v>313</v>
      </c>
      <c r="U182" s="44" t="s">
        <v>314</v>
      </c>
      <c r="V182" t="s">
        <v>293</v>
      </c>
      <c r="W182" t="s">
        <v>294</v>
      </c>
      <c r="X182" s="19" t="s">
        <v>80</v>
      </c>
      <c r="Y182" s="19" t="s">
        <v>76</v>
      </c>
      <c r="Z182" s="19" t="s">
        <v>77</v>
      </c>
      <c r="AA182" s="19" t="s">
        <v>74</v>
      </c>
      <c r="AB182" s="19" t="s">
        <v>75</v>
      </c>
      <c r="AC182" s="19" t="s">
        <v>78</v>
      </c>
      <c r="AD182" s="19" t="s">
        <v>79</v>
      </c>
      <c r="AE182" t="s">
        <v>387</v>
      </c>
      <c r="AF182" t="s">
        <v>390</v>
      </c>
      <c r="AG182" t="s">
        <v>393</v>
      </c>
      <c r="AH182" t="s">
        <v>395</v>
      </c>
      <c r="AL182">
        <v>0</v>
      </c>
      <c r="AM182">
        <f t="shared" si="59"/>
        <v>0</v>
      </c>
      <c r="AN182">
        <f t="shared" si="60"/>
        <v>0</v>
      </c>
      <c r="AO182">
        <v>0</v>
      </c>
      <c r="AP182">
        <f t="shared" si="61"/>
        <v>0</v>
      </c>
      <c r="AQ182">
        <f t="shared" si="62"/>
        <v>0</v>
      </c>
      <c r="AS182">
        <f t="shared" si="82"/>
        <v>0</v>
      </c>
      <c r="AT182">
        <f t="shared" si="83"/>
        <v>0</v>
      </c>
      <c r="BA182">
        <f t="shared" si="63"/>
        <v>60</v>
      </c>
      <c r="BB182">
        <f t="shared" si="64"/>
        <v>60</v>
      </c>
      <c r="BC182">
        <f t="shared" si="65"/>
        <v>60</v>
      </c>
      <c r="BD182">
        <f t="shared" si="66"/>
        <v>60</v>
      </c>
      <c r="BE182">
        <f t="shared" si="67"/>
        <v>60</v>
      </c>
      <c r="BF182">
        <f t="shared" si="68"/>
        <v>60</v>
      </c>
      <c r="BG182" s="100">
        <f t="shared" si="69"/>
        <v>1</v>
      </c>
      <c r="BH182" s="100">
        <f t="shared" si="70"/>
        <v>1</v>
      </c>
      <c r="BI182" s="100">
        <f t="shared" si="71"/>
        <v>1</v>
      </c>
      <c r="BJ182" s="100">
        <f t="shared" si="72"/>
        <v>1</v>
      </c>
      <c r="BK182" s="100">
        <f t="shared" si="73"/>
        <v>1</v>
      </c>
      <c r="BL182" s="100">
        <f t="shared" si="74"/>
        <v>1</v>
      </c>
      <c r="BM182" s="100"/>
      <c r="BO182" t="s">
        <v>1031</v>
      </c>
      <c r="BP182" s="27">
        <f t="shared" si="75"/>
        <v>56.666666666666664</v>
      </c>
      <c r="BQ182">
        <f t="shared" si="76"/>
        <v>0</v>
      </c>
      <c r="BR182">
        <f t="shared" si="77"/>
        <v>0</v>
      </c>
      <c r="BS182">
        <f t="shared" si="78"/>
        <v>0</v>
      </c>
      <c r="BT182">
        <f t="shared" si="79"/>
        <v>0</v>
      </c>
      <c r="BU182">
        <f t="shared" si="80"/>
        <v>0</v>
      </c>
      <c r="BV182">
        <f t="shared" si="81"/>
        <v>0</v>
      </c>
    </row>
    <row r="183" spans="1:74" x14ac:dyDescent="0.2">
      <c r="A183" t="s">
        <v>321</v>
      </c>
      <c r="B183" t="s">
        <v>380</v>
      </c>
      <c r="C183">
        <v>60</v>
      </c>
      <c r="F183" t="s">
        <v>317</v>
      </c>
      <c r="G183" t="s">
        <v>319</v>
      </c>
      <c r="H183" s="42" t="s">
        <v>336</v>
      </c>
      <c r="I183" s="42" t="s">
        <v>303</v>
      </c>
      <c r="J183" t="str">
        <f t="shared" si="85"/>
        <v>RACKPDU-RACK-R5-Z1W-R2-02-A</v>
      </c>
      <c r="K183" t="str">
        <f t="shared" si="86"/>
        <v>RACKPDU-RACK-R5-Z1W-R2-02-B</v>
      </c>
      <c r="L183">
        <v>60</v>
      </c>
      <c r="M183">
        <f>VLOOKUP($H183,'Cooling-Rack'!$A$2:$G$265,5,FALSE)</f>
        <v>51</v>
      </c>
      <c r="N183">
        <f>VLOOKUP($H183,'Cooling-Rack'!$A$2:$G$265,7,FALSE)</f>
        <v>9.0000000000000018</v>
      </c>
      <c r="O183">
        <v>72</v>
      </c>
      <c r="P183" s="100">
        <v>0.85</v>
      </c>
      <c r="Q183" s="100">
        <v>0.15000000000000002</v>
      </c>
      <c r="R183" s="44" t="s">
        <v>307</v>
      </c>
      <c r="S183" s="44" t="s">
        <v>308</v>
      </c>
      <c r="T183" s="44" t="s">
        <v>313</v>
      </c>
      <c r="U183" s="44" t="s">
        <v>314</v>
      </c>
      <c r="V183" t="s">
        <v>293</v>
      </c>
      <c r="W183" t="s">
        <v>294</v>
      </c>
      <c r="X183" s="19" t="s">
        <v>80</v>
      </c>
      <c r="Y183" s="19" t="s">
        <v>76</v>
      </c>
      <c r="Z183" s="19" t="s">
        <v>77</v>
      </c>
      <c r="AA183" s="19" t="s">
        <v>74</v>
      </c>
      <c r="AB183" s="19" t="s">
        <v>75</v>
      </c>
      <c r="AC183" s="19" t="s">
        <v>78</v>
      </c>
      <c r="AD183" s="19" t="s">
        <v>79</v>
      </c>
      <c r="AE183" t="s">
        <v>387</v>
      </c>
      <c r="AF183" t="s">
        <v>390</v>
      </c>
      <c r="AG183" t="s">
        <v>393</v>
      </c>
      <c r="AH183" t="s">
        <v>395</v>
      </c>
      <c r="AL183">
        <v>0</v>
      </c>
      <c r="AM183">
        <f t="shared" si="59"/>
        <v>0</v>
      </c>
      <c r="AN183">
        <f t="shared" si="60"/>
        <v>0</v>
      </c>
      <c r="AO183">
        <v>0</v>
      </c>
      <c r="AP183">
        <f t="shared" si="61"/>
        <v>0</v>
      </c>
      <c r="AQ183">
        <f t="shared" si="62"/>
        <v>0</v>
      </c>
      <c r="AS183">
        <f t="shared" si="82"/>
        <v>0</v>
      </c>
      <c r="AT183">
        <f t="shared" si="83"/>
        <v>0</v>
      </c>
      <c r="BA183">
        <f t="shared" si="63"/>
        <v>60</v>
      </c>
      <c r="BB183">
        <f t="shared" si="64"/>
        <v>60</v>
      </c>
      <c r="BC183">
        <f t="shared" si="65"/>
        <v>60</v>
      </c>
      <c r="BD183">
        <f t="shared" si="66"/>
        <v>60</v>
      </c>
      <c r="BE183">
        <f t="shared" si="67"/>
        <v>60</v>
      </c>
      <c r="BF183">
        <f t="shared" si="68"/>
        <v>60</v>
      </c>
      <c r="BG183" s="100">
        <f t="shared" si="69"/>
        <v>1</v>
      </c>
      <c r="BH183" s="100">
        <f t="shared" si="70"/>
        <v>1</v>
      </c>
      <c r="BI183" s="100">
        <f t="shared" si="71"/>
        <v>1</v>
      </c>
      <c r="BJ183" s="100">
        <f t="shared" si="72"/>
        <v>1</v>
      </c>
      <c r="BK183" s="100">
        <f t="shared" si="73"/>
        <v>1</v>
      </c>
      <c r="BL183" s="100">
        <f t="shared" si="74"/>
        <v>1</v>
      </c>
      <c r="BM183" s="100"/>
      <c r="BO183" t="s">
        <v>1032</v>
      </c>
      <c r="BP183" s="27">
        <f t="shared" si="75"/>
        <v>56.666666666666664</v>
      </c>
      <c r="BQ183">
        <f t="shared" si="76"/>
        <v>0</v>
      </c>
      <c r="BR183">
        <f t="shared" si="77"/>
        <v>0</v>
      </c>
      <c r="BS183">
        <f t="shared" si="78"/>
        <v>0</v>
      </c>
      <c r="BT183">
        <f t="shared" si="79"/>
        <v>0</v>
      </c>
      <c r="BU183">
        <f t="shared" si="80"/>
        <v>0</v>
      </c>
      <c r="BV183">
        <f t="shared" si="81"/>
        <v>0</v>
      </c>
    </row>
    <row r="184" spans="1:74" x14ac:dyDescent="0.2">
      <c r="A184" t="s">
        <v>321</v>
      </c>
      <c r="B184" t="s">
        <v>380</v>
      </c>
      <c r="C184">
        <v>60</v>
      </c>
      <c r="F184" t="s">
        <v>317</v>
      </c>
      <c r="G184" t="s">
        <v>319</v>
      </c>
      <c r="H184" s="42" t="s">
        <v>337</v>
      </c>
      <c r="I184" s="42" t="s">
        <v>303</v>
      </c>
      <c r="J184" t="str">
        <f t="shared" si="85"/>
        <v>RACKPDU-RACK-R5-Z1W-R2-03-A</v>
      </c>
      <c r="K184" t="str">
        <f t="shared" si="86"/>
        <v>RACKPDU-RACK-R5-Z1W-R2-03-B</v>
      </c>
      <c r="L184">
        <v>60</v>
      </c>
      <c r="M184">
        <f>VLOOKUP($H184,'Cooling-Rack'!$A$2:$G$265,5,FALSE)</f>
        <v>51</v>
      </c>
      <c r="N184">
        <f>VLOOKUP($H184,'Cooling-Rack'!$A$2:$G$265,7,FALSE)</f>
        <v>9.0000000000000018</v>
      </c>
      <c r="O184">
        <v>72</v>
      </c>
      <c r="P184" s="100">
        <v>0.85</v>
      </c>
      <c r="Q184" s="100">
        <v>0.15000000000000002</v>
      </c>
      <c r="R184" s="44" t="s">
        <v>307</v>
      </c>
      <c r="S184" s="44" t="s">
        <v>308</v>
      </c>
      <c r="T184" s="44" t="s">
        <v>313</v>
      </c>
      <c r="U184" s="44" t="s">
        <v>314</v>
      </c>
      <c r="V184" t="s">
        <v>293</v>
      </c>
      <c r="W184" t="s">
        <v>294</v>
      </c>
      <c r="X184" s="19" t="s">
        <v>80</v>
      </c>
      <c r="Y184" s="19" t="s">
        <v>76</v>
      </c>
      <c r="Z184" s="19" t="s">
        <v>77</v>
      </c>
      <c r="AA184" s="19" t="s">
        <v>74</v>
      </c>
      <c r="AB184" s="19" t="s">
        <v>75</v>
      </c>
      <c r="AC184" s="19" t="s">
        <v>78</v>
      </c>
      <c r="AD184" s="19" t="s">
        <v>79</v>
      </c>
      <c r="AE184" t="s">
        <v>387</v>
      </c>
      <c r="AF184" t="s">
        <v>390</v>
      </c>
      <c r="AG184" t="s">
        <v>393</v>
      </c>
      <c r="AH184" t="s">
        <v>395</v>
      </c>
      <c r="AL184">
        <v>0</v>
      </c>
      <c r="AM184">
        <f t="shared" si="59"/>
        <v>0</v>
      </c>
      <c r="AN184">
        <f t="shared" si="60"/>
        <v>0</v>
      </c>
      <c r="AO184">
        <v>0</v>
      </c>
      <c r="AP184">
        <f t="shared" si="61"/>
        <v>0</v>
      </c>
      <c r="AQ184">
        <f t="shared" si="62"/>
        <v>0</v>
      </c>
      <c r="AS184">
        <f t="shared" si="82"/>
        <v>0</v>
      </c>
      <c r="AT184">
        <f t="shared" si="83"/>
        <v>0</v>
      </c>
      <c r="BA184">
        <f t="shared" si="63"/>
        <v>60</v>
      </c>
      <c r="BB184">
        <f t="shared" si="64"/>
        <v>60</v>
      </c>
      <c r="BC184">
        <f t="shared" si="65"/>
        <v>60</v>
      </c>
      <c r="BD184">
        <f t="shared" si="66"/>
        <v>60</v>
      </c>
      <c r="BE184">
        <f t="shared" si="67"/>
        <v>60</v>
      </c>
      <c r="BF184">
        <f t="shared" si="68"/>
        <v>60</v>
      </c>
      <c r="BG184" s="100">
        <f t="shared" si="69"/>
        <v>1</v>
      </c>
      <c r="BH184" s="100">
        <f t="shared" si="70"/>
        <v>1</v>
      </c>
      <c r="BI184" s="100">
        <f t="shared" si="71"/>
        <v>1</v>
      </c>
      <c r="BJ184" s="100">
        <f t="shared" si="72"/>
        <v>1</v>
      </c>
      <c r="BK184" s="100">
        <f t="shared" si="73"/>
        <v>1</v>
      </c>
      <c r="BL184" s="100">
        <f t="shared" si="74"/>
        <v>1</v>
      </c>
      <c r="BM184" s="100"/>
      <c r="BO184" t="s">
        <v>1033</v>
      </c>
      <c r="BP184" s="27">
        <f t="shared" si="75"/>
        <v>56.666666666666664</v>
      </c>
      <c r="BQ184">
        <f t="shared" si="76"/>
        <v>0</v>
      </c>
      <c r="BR184">
        <f t="shared" si="77"/>
        <v>0</v>
      </c>
      <c r="BS184">
        <f t="shared" si="78"/>
        <v>0</v>
      </c>
      <c r="BT184">
        <f t="shared" si="79"/>
        <v>0</v>
      </c>
      <c r="BU184">
        <f t="shared" si="80"/>
        <v>0</v>
      </c>
      <c r="BV184">
        <f t="shared" si="81"/>
        <v>0</v>
      </c>
    </row>
    <row r="185" spans="1:74" x14ac:dyDescent="0.2">
      <c r="A185" t="s">
        <v>321</v>
      </c>
      <c r="B185" t="s">
        <v>380</v>
      </c>
      <c r="C185">
        <v>60</v>
      </c>
      <c r="F185" t="s">
        <v>317</v>
      </c>
      <c r="G185" t="s">
        <v>319</v>
      </c>
      <c r="H185" s="42" t="s">
        <v>338</v>
      </c>
      <c r="I185" s="42" t="s">
        <v>303</v>
      </c>
      <c r="J185" t="str">
        <f t="shared" si="85"/>
        <v>RACKPDU-RACK-R5-Z1W-R2-04-A</v>
      </c>
      <c r="K185" t="str">
        <f t="shared" si="86"/>
        <v>RACKPDU-RACK-R5-Z1W-R2-04-B</v>
      </c>
      <c r="L185">
        <v>60</v>
      </c>
      <c r="M185">
        <f>VLOOKUP($H185,'Cooling-Rack'!$A$2:$G$265,5,FALSE)</f>
        <v>51</v>
      </c>
      <c r="N185">
        <f>VLOOKUP($H185,'Cooling-Rack'!$A$2:$G$265,7,FALSE)</f>
        <v>9.0000000000000018</v>
      </c>
      <c r="O185">
        <v>72</v>
      </c>
      <c r="P185" s="100">
        <v>0.85</v>
      </c>
      <c r="Q185" s="100">
        <v>0.15000000000000002</v>
      </c>
      <c r="R185" s="44" t="s">
        <v>307</v>
      </c>
      <c r="S185" s="44" t="s">
        <v>308</v>
      </c>
      <c r="T185" s="44" t="s">
        <v>313</v>
      </c>
      <c r="U185" s="44" t="s">
        <v>314</v>
      </c>
      <c r="V185" t="s">
        <v>293</v>
      </c>
      <c r="W185" t="s">
        <v>294</v>
      </c>
      <c r="X185" s="19" t="s">
        <v>80</v>
      </c>
      <c r="Y185" s="19" t="s">
        <v>76</v>
      </c>
      <c r="Z185" s="19" t="s">
        <v>77</v>
      </c>
      <c r="AA185" s="19" t="s">
        <v>74</v>
      </c>
      <c r="AB185" s="19" t="s">
        <v>75</v>
      </c>
      <c r="AC185" s="19" t="s">
        <v>78</v>
      </c>
      <c r="AD185" s="19" t="s">
        <v>79</v>
      </c>
      <c r="AE185" t="s">
        <v>387</v>
      </c>
      <c r="AF185" t="s">
        <v>390</v>
      </c>
      <c r="AG185" t="s">
        <v>393</v>
      </c>
      <c r="AH185" t="s">
        <v>395</v>
      </c>
      <c r="AL185">
        <v>0</v>
      </c>
      <c r="AM185">
        <f t="shared" si="59"/>
        <v>0</v>
      </c>
      <c r="AN185">
        <f t="shared" si="60"/>
        <v>0</v>
      </c>
      <c r="AO185">
        <v>0</v>
      </c>
      <c r="AP185">
        <f t="shared" si="61"/>
        <v>0</v>
      </c>
      <c r="AQ185">
        <f t="shared" si="62"/>
        <v>0</v>
      </c>
      <c r="AS185">
        <f t="shared" si="82"/>
        <v>0</v>
      </c>
      <c r="AT185">
        <f t="shared" si="83"/>
        <v>0</v>
      </c>
      <c r="BA185">
        <f t="shared" si="63"/>
        <v>60</v>
      </c>
      <c r="BB185">
        <f t="shared" si="64"/>
        <v>60</v>
      </c>
      <c r="BC185">
        <f t="shared" si="65"/>
        <v>60</v>
      </c>
      <c r="BD185">
        <f t="shared" si="66"/>
        <v>60</v>
      </c>
      <c r="BE185">
        <f t="shared" si="67"/>
        <v>60</v>
      </c>
      <c r="BF185">
        <f t="shared" si="68"/>
        <v>60</v>
      </c>
      <c r="BG185" s="100">
        <f t="shared" si="69"/>
        <v>1</v>
      </c>
      <c r="BH185" s="100">
        <f t="shared" si="70"/>
        <v>1</v>
      </c>
      <c r="BI185" s="100">
        <f t="shared" si="71"/>
        <v>1</v>
      </c>
      <c r="BJ185" s="100">
        <f t="shared" si="72"/>
        <v>1</v>
      </c>
      <c r="BK185" s="100">
        <f t="shared" si="73"/>
        <v>1</v>
      </c>
      <c r="BL185" s="100">
        <f t="shared" si="74"/>
        <v>1</v>
      </c>
      <c r="BM185" s="100"/>
      <c r="BO185" t="s">
        <v>1034</v>
      </c>
      <c r="BP185" s="27">
        <f t="shared" si="75"/>
        <v>56.666666666666664</v>
      </c>
      <c r="BQ185">
        <f t="shared" si="76"/>
        <v>0</v>
      </c>
      <c r="BR185">
        <f t="shared" si="77"/>
        <v>0</v>
      </c>
      <c r="BS185">
        <f t="shared" si="78"/>
        <v>0</v>
      </c>
      <c r="BT185">
        <f t="shared" si="79"/>
        <v>0</v>
      </c>
      <c r="BU185">
        <f t="shared" si="80"/>
        <v>0</v>
      </c>
      <c r="BV185">
        <f t="shared" si="81"/>
        <v>0</v>
      </c>
    </row>
    <row r="186" spans="1:74" x14ac:dyDescent="0.2">
      <c r="A186" t="s">
        <v>321</v>
      </c>
      <c r="B186" t="s">
        <v>380</v>
      </c>
      <c r="C186">
        <v>60</v>
      </c>
      <c r="F186" t="s">
        <v>317</v>
      </c>
      <c r="G186" t="s">
        <v>319</v>
      </c>
      <c r="H186" s="42" t="s">
        <v>339</v>
      </c>
      <c r="I186" s="42" t="s">
        <v>303</v>
      </c>
      <c r="J186" t="str">
        <f t="shared" si="85"/>
        <v>RACKPDU-RACK-R5-Z1W-R2-05-A</v>
      </c>
      <c r="K186" t="str">
        <f t="shared" si="86"/>
        <v>RACKPDU-RACK-R5-Z1W-R2-05-B</v>
      </c>
      <c r="L186">
        <v>60</v>
      </c>
      <c r="M186">
        <f>VLOOKUP($H186,'Cooling-Rack'!$A$2:$G$265,5,FALSE)</f>
        <v>51</v>
      </c>
      <c r="N186">
        <f>VLOOKUP($H186,'Cooling-Rack'!$A$2:$G$265,7,FALSE)</f>
        <v>9.0000000000000018</v>
      </c>
      <c r="O186">
        <v>72</v>
      </c>
      <c r="P186" s="100">
        <v>0.85</v>
      </c>
      <c r="Q186" s="100">
        <v>0.15000000000000002</v>
      </c>
      <c r="R186" s="44" t="s">
        <v>307</v>
      </c>
      <c r="S186" s="44" t="s">
        <v>308</v>
      </c>
      <c r="T186" s="44" t="s">
        <v>313</v>
      </c>
      <c r="U186" s="44" t="s">
        <v>314</v>
      </c>
      <c r="V186" t="s">
        <v>293</v>
      </c>
      <c r="W186" t="s">
        <v>294</v>
      </c>
      <c r="X186" s="19" t="s">
        <v>80</v>
      </c>
      <c r="Y186" s="19" t="s">
        <v>76</v>
      </c>
      <c r="Z186" s="19" t="s">
        <v>77</v>
      </c>
      <c r="AA186" s="19" t="s">
        <v>74</v>
      </c>
      <c r="AB186" s="19" t="s">
        <v>75</v>
      </c>
      <c r="AC186" s="19" t="s">
        <v>78</v>
      </c>
      <c r="AD186" s="19" t="s">
        <v>79</v>
      </c>
      <c r="AE186" t="s">
        <v>387</v>
      </c>
      <c r="AF186" t="s">
        <v>390</v>
      </c>
      <c r="AG186" t="s">
        <v>393</v>
      </c>
      <c r="AH186" t="s">
        <v>395</v>
      </c>
      <c r="AL186">
        <v>0</v>
      </c>
      <c r="AM186">
        <f t="shared" si="59"/>
        <v>0</v>
      </c>
      <c r="AN186">
        <f t="shared" si="60"/>
        <v>0</v>
      </c>
      <c r="AO186">
        <v>0</v>
      </c>
      <c r="AP186">
        <f t="shared" si="61"/>
        <v>0</v>
      </c>
      <c r="AQ186">
        <f t="shared" si="62"/>
        <v>0</v>
      </c>
      <c r="AS186">
        <f t="shared" si="82"/>
        <v>0</v>
      </c>
      <c r="AT186">
        <f t="shared" si="83"/>
        <v>0</v>
      </c>
      <c r="BA186">
        <f t="shared" si="63"/>
        <v>60</v>
      </c>
      <c r="BB186">
        <f t="shared" si="64"/>
        <v>60</v>
      </c>
      <c r="BC186">
        <f t="shared" si="65"/>
        <v>60</v>
      </c>
      <c r="BD186">
        <f t="shared" si="66"/>
        <v>60</v>
      </c>
      <c r="BE186">
        <f t="shared" si="67"/>
        <v>60</v>
      </c>
      <c r="BF186">
        <f t="shared" si="68"/>
        <v>60</v>
      </c>
      <c r="BG186" s="100">
        <f t="shared" si="69"/>
        <v>1</v>
      </c>
      <c r="BH186" s="100">
        <f t="shared" si="70"/>
        <v>1</v>
      </c>
      <c r="BI186" s="100">
        <f t="shared" si="71"/>
        <v>1</v>
      </c>
      <c r="BJ186" s="100">
        <f t="shared" si="72"/>
        <v>1</v>
      </c>
      <c r="BK186" s="100">
        <f t="shared" si="73"/>
        <v>1</v>
      </c>
      <c r="BL186" s="100">
        <f t="shared" si="74"/>
        <v>1</v>
      </c>
      <c r="BM186" s="100"/>
      <c r="BO186" t="s">
        <v>1035</v>
      </c>
      <c r="BP186" s="27">
        <f t="shared" si="75"/>
        <v>56.666666666666664</v>
      </c>
      <c r="BQ186">
        <f t="shared" si="76"/>
        <v>0</v>
      </c>
      <c r="BR186">
        <f t="shared" si="77"/>
        <v>0</v>
      </c>
      <c r="BS186">
        <f t="shared" si="78"/>
        <v>0</v>
      </c>
      <c r="BT186">
        <f t="shared" si="79"/>
        <v>0</v>
      </c>
      <c r="BU186">
        <f t="shared" si="80"/>
        <v>0</v>
      </c>
      <c r="BV186">
        <f t="shared" si="81"/>
        <v>0</v>
      </c>
    </row>
    <row r="187" spans="1:74" x14ac:dyDescent="0.2">
      <c r="A187" t="s">
        <v>321</v>
      </c>
      <c r="B187" t="s">
        <v>380</v>
      </c>
      <c r="C187">
        <v>60</v>
      </c>
      <c r="F187" t="s">
        <v>317</v>
      </c>
      <c r="G187" t="s">
        <v>319</v>
      </c>
      <c r="H187" s="42" t="s">
        <v>340</v>
      </c>
      <c r="I187" s="42" t="s">
        <v>303</v>
      </c>
      <c r="J187" t="str">
        <f t="shared" si="85"/>
        <v>RACKPDU-RACK-R5-Z1W-R2-06-A</v>
      </c>
      <c r="K187" t="str">
        <f t="shared" si="86"/>
        <v>RACKPDU-RACK-R5-Z1W-R2-06-B</v>
      </c>
      <c r="L187">
        <v>60</v>
      </c>
      <c r="M187">
        <f>VLOOKUP($H187,'Cooling-Rack'!$A$2:$G$265,5,FALSE)</f>
        <v>51</v>
      </c>
      <c r="N187">
        <f>VLOOKUP($H187,'Cooling-Rack'!$A$2:$G$265,7,FALSE)</f>
        <v>9.0000000000000018</v>
      </c>
      <c r="O187">
        <v>72</v>
      </c>
      <c r="P187" s="100">
        <v>0.85</v>
      </c>
      <c r="Q187" s="100">
        <v>0.15000000000000002</v>
      </c>
      <c r="R187" s="44" t="s">
        <v>307</v>
      </c>
      <c r="S187" s="44" t="s">
        <v>308</v>
      </c>
      <c r="T187" s="44" t="s">
        <v>313</v>
      </c>
      <c r="U187" s="44" t="s">
        <v>314</v>
      </c>
      <c r="V187" t="s">
        <v>293</v>
      </c>
      <c r="W187" t="s">
        <v>294</v>
      </c>
      <c r="X187" s="19" t="s">
        <v>80</v>
      </c>
      <c r="Y187" s="19" t="s">
        <v>76</v>
      </c>
      <c r="Z187" s="19" t="s">
        <v>77</v>
      </c>
      <c r="AA187" s="19" t="s">
        <v>74</v>
      </c>
      <c r="AB187" s="19" t="s">
        <v>75</v>
      </c>
      <c r="AC187" s="19" t="s">
        <v>78</v>
      </c>
      <c r="AD187" s="19" t="s">
        <v>79</v>
      </c>
      <c r="AE187" t="s">
        <v>387</v>
      </c>
      <c r="AF187" t="s">
        <v>390</v>
      </c>
      <c r="AG187" t="s">
        <v>393</v>
      </c>
      <c r="AH187" t="s">
        <v>395</v>
      </c>
      <c r="AL187">
        <v>0</v>
      </c>
      <c r="AM187">
        <f t="shared" si="59"/>
        <v>0</v>
      </c>
      <c r="AN187">
        <f t="shared" si="60"/>
        <v>0</v>
      </c>
      <c r="AO187">
        <v>0</v>
      </c>
      <c r="AP187">
        <f t="shared" si="61"/>
        <v>0</v>
      </c>
      <c r="AQ187">
        <f t="shared" si="62"/>
        <v>0</v>
      </c>
      <c r="AS187">
        <f t="shared" si="82"/>
        <v>0</v>
      </c>
      <c r="AT187">
        <f t="shared" si="83"/>
        <v>0</v>
      </c>
      <c r="BA187">
        <f t="shared" si="63"/>
        <v>60</v>
      </c>
      <c r="BB187">
        <f t="shared" si="64"/>
        <v>60</v>
      </c>
      <c r="BC187">
        <f t="shared" si="65"/>
        <v>60</v>
      </c>
      <c r="BD187">
        <f t="shared" si="66"/>
        <v>60</v>
      </c>
      <c r="BE187">
        <f t="shared" si="67"/>
        <v>60</v>
      </c>
      <c r="BF187">
        <f t="shared" si="68"/>
        <v>60</v>
      </c>
      <c r="BG187" s="100">
        <f t="shared" si="69"/>
        <v>1</v>
      </c>
      <c r="BH187" s="100">
        <f t="shared" si="70"/>
        <v>1</v>
      </c>
      <c r="BI187" s="100">
        <f t="shared" si="71"/>
        <v>1</v>
      </c>
      <c r="BJ187" s="100">
        <f t="shared" si="72"/>
        <v>1</v>
      </c>
      <c r="BK187" s="100">
        <f t="shared" si="73"/>
        <v>1</v>
      </c>
      <c r="BL187" s="100">
        <f t="shared" si="74"/>
        <v>1</v>
      </c>
      <c r="BM187" s="100"/>
      <c r="BO187" t="s">
        <v>1036</v>
      </c>
      <c r="BP187" s="27">
        <f t="shared" si="75"/>
        <v>56.666666666666664</v>
      </c>
      <c r="BQ187">
        <f t="shared" si="76"/>
        <v>0</v>
      </c>
      <c r="BR187">
        <f t="shared" si="77"/>
        <v>0</v>
      </c>
      <c r="BS187">
        <f t="shared" si="78"/>
        <v>0</v>
      </c>
      <c r="BT187">
        <f t="shared" si="79"/>
        <v>0</v>
      </c>
      <c r="BU187">
        <f t="shared" si="80"/>
        <v>0</v>
      </c>
      <c r="BV187">
        <f t="shared" si="81"/>
        <v>0</v>
      </c>
    </row>
    <row r="188" spans="1:74" x14ac:dyDescent="0.2">
      <c r="A188" t="s">
        <v>321</v>
      </c>
      <c r="B188" t="s">
        <v>380</v>
      </c>
      <c r="C188">
        <v>60</v>
      </c>
      <c r="F188" t="s">
        <v>317</v>
      </c>
      <c r="G188" t="s">
        <v>319</v>
      </c>
      <c r="H188" s="42" t="s">
        <v>341</v>
      </c>
      <c r="I188" s="42" t="s">
        <v>303</v>
      </c>
      <c r="J188" t="str">
        <f t="shared" si="85"/>
        <v>RACKPDU-RACK-R5-Z1W-R2-07-A</v>
      </c>
      <c r="K188" t="str">
        <f t="shared" si="86"/>
        <v>RACKPDU-RACK-R5-Z1W-R2-07-B</v>
      </c>
      <c r="L188">
        <v>60</v>
      </c>
      <c r="M188">
        <f>VLOOKUP($H188,'Cooling-Rack'!$A$2:$G$265,5,FALSE)</f>
        <v>51</v>
      </c>
      <c r="N188">
        <f>VLOOKUP($H188,'Cooling-Rack'!$A$2:$G$265,7,FALSE)</f>
        <v>9.0000000000000018</v>
      </c>
      <c r="O188">
        <v>72</v>
      </c>
      <c r="P188" s="100">
        <v>0.85</v>
      </c>
      <c r="Q188" s="100">
        <v>0.15000000000000002</v>
      </c>
      <c r="R188" s="44" t="s">
        <v>307</v>
      </c>
      <c r="S188" s="44" t="s">
        <v>308</v>
      </c>
      <c r="T188" s="44" t="s">
        <v>313</v>
      </c>
      <c r="U188" s="44" t="s">
        <v>314</v>
      </c>
      <c r="V188" t="s">
        <v>293</v>
      </c>
      <c r="W188" t="s">
        <v>294</v>
      </c>
      <c r="X188" s="19" t="s">
        <v>80</v>
      </c>
      <c r="Y188" s="19" t="s">
        <v>76</v>
      </c>
      <c r="Z188" s="19" t="s">
        <v>77</v>
      </c>
      <c r="AA188" s="19" t="s">
        <v>74</v>
      </c>
      <c r="AB188" s="19" t="s">
        <v>75</v>
      </c>
      <c r="AC188" s="19" t="s">
        <v>78</v>
      </c>
      <c r="AD188" s="19" t="s">
        <v>79</v>
      </c>
      <c r="AE188" t="s">
        <v>387</v>
      </c>
      <c r="AF188" t="s">
        <v>390</v>
      </c>
      <c r="AG188" t="s">
        <v>393</v>
      </c>
      <c r="AH188" t="s">
        <v>395</v>
      </c>
      <c r="AL188">
        <v>0</v>
      </c>
      <c r="AM188">
        <f t="shared" si="59"/>
        <v>0</v>
      </c>
      <c r="AN188">
        <f t="shared" si="60"/>
        <v>0</v>
      </c>
      <c r="AO188">
        <v>0</v>
      </c>
      <c r="AP188">
        <f t="shared" si="61"/>
        <v>0</v>
      </c>
      <c r="AQ188">
        <f t="shared" si="62"/>
        <v>0</v>
      </c>
      <c r="AS188">
        <f t="shared" si="82"/>
        <v>0</v>
      </c>
      <c r="AT188">
        <f t="shared" si="83"/>
        <v>0</v>
      </c>
      <c r="BA188">
        <f t="shared" si="63"/>
        <v>60</v>
      </c>
      <c r="BB188">
        <f t="shared" si="64"/>
        <v>60</v>
      </c>
      <c r="BC188">
        <f t="shared" si="65"/>
        <v>60</v>
      </c>
      <c r="BD188">
        <f t="shared" si="66"/>
        <v>60</v>
      </c>
      <c r="BE188">
        <f t="shared" si="67"/>
        <v>60</v>
      </c>
      <c r="BF188">
        <f t="shared" si="68"/>
        <v>60</v>
      </c>
      <c r="BG188" s="100">
        <f t="shared" si="69"/>
        <v>1</v>
      </c>
      <c r="BH188" s="100">
        <f t="shared" si="70"/>
        <v>1</v>
      </c>
      <c r="BI188" s="100">
        <f t="shared" si="71"/>
        <v>1</v>
      </c>
      <c r="BJ188" s="100">
        <f t="shared" si="72"/>
        <v>1</v>
      </c>
      <c r="BK188" s="100">
        <f t="shared" si="73"/>
        <v>1</v>
      </c>
      <c r="BL188" s="100">
        <f t="shared" si="74"/>
        <v>1</v>
      </c>
      <c r="BM188" s="100"/>
      <c r="BO188" t="s">
        <v>1037</v>
      </c>
      <c r="BP188" s="27">
        <f t="shared" si="75"/>
        <v>56.666666666666664</v>
      </c>
      <c r="BQ188">
        <f t="shared" si="76"/>
        <v>0</v>
      </c>
      <c r="BR188">
        <f t="shared" si="77"/>
        <v>0</v>
      </c>
      <c r="BS188">
        <f t="shared" si="78"/>
        <v>0</v>
      </c>
      <c r="BT188">
        <f t="shared" si="79"/>
        <v>0</v>
      </c>
      <c r="BU188">
        <f t="shared" si="80"/>
        <v>0</v>
      </c>
      <c r="BV188">
        <f t="shared" si="81"/>
        <v>0</v>
      </c>
    </row>
    <row r="189" spans="1:74" x14ac:dyDescent="0.2">
      <c r="A189" t="s">
        <v>321</v>
      </c>
      <c r="B189" t="s">
        <v>380</v>
      </c>
      <c r="C189">
        <v>60</v>
      </c>
      <c r="F189" t="s">
        <v>317</v>
      </c>
      <c r="G189" t="s">
        <v>319</v>
      </c>
      <c r="H189" s="42" t="s">
        <v>342</v>
      </c>
      <c r="I189" s="42" t="s">
        <v>303</v>
      </c>
      <c r="J189" t="str">
        <f t="shared" si="85"/>
        <v>RACKPDU-RACK-R5-Z1W-R2-08-A</v>
      </c>
      <c r="K189" t="str">
        <f t="shared" si="86"/>
        <v>RACKPDU-RACK-R5-Z1W-R2-08-B</v>
      </c>
      <c r="L189">
        <v>60</v>
      </c>
      <c r="M189">
        <f>VLOOKUP($H189,'Cooling-Rack'!$A$2:$G$265,5,FALSE)</f>
        <v>51</v>
      </c>
      <c r="N189">
        <f>VLOOKUP($H189,'Cooling-Rack'!$A$2:$G$265,7,FALSE)</f>
        <v>9.0000000000000018</v>
      </c>
      <c r="O189">
        <v>72</v>
      </c>
      <c r="P189" s="100">
        <v>0.85</v>
      </c>
      <c r="Q189" s="100">
        <v>0.15000000000000002</v>
      </c>
      <c r="R189" s="44" t="s">
        <v>307</v>
      </c>
      <c r="S189" s="44" t="s">
        <v>308</v>
      </c>
      <c r="T189" s="44" t="s">
        <v>313</v>
      </c>
      <c r="U189" s="44" t="s">
        <v>314</v>
      </c>
      <c r="V189" t="s">
        <v>293</v>
      </c>
      <c r="W189" t="s">
        <v>294</v>
      </c>
      <c r="X189" s="19" t="s">
        <v>80</v>
      </c>
      <c r="Y189" s="19" t="s">
        <v>76</v>
      </c>
      <c r="Z189" s="19" t="s">
        <v>77</v>
      </c>
      <c r="AA189" s="19" t="s">
        <v>74</v>
      </c>
      <c r="AB189" s="19" t="s">
        <v>75</v>
      </c>
      <c r="AC189" s="19" t="s">
        <v>78</v>
      </c>
      <c r="AD189" s="19" t="s">
        <v>79</v>
      </c>
      <c r="AE189" t="s">
        <v>387</v>
      </c>
      <c r="AF189" t="s">
        <v>390</v>
      </c>
      <c r="AG189" t="s">
        <v>393</v>
      </c>
      <c r="AH189" t="s">
        <v>395</v>
      </c>
      <c r="AL189">
        <v>0</v>
      </c>
      <c r="AM189">
        <f t="shared" si="59"/>
        <v>0</v>
      </c>
      <c r="AN189">
        <f t="shared" si="60"/>
        <v>0</v>
      </c>
      <c r="AO189">
        <v>0</v>
      </c>
      <c r="AP189">
        <f t="shared" si="61"/>
        <v>0</v>
      </c>
      <c r="AQ189">
        <f t="shared" si="62"/>
        <v>0</v>
      </c>
      <c r="AS189">
        <f t="shared" si="82"/>
        <v>0</v>
      </c>
      <c r="AT189">
        <f t="shared" si="83"/>
        <v>0</v>
      </c>
      <c r="BA189">
        <f t="shared" si="63"/>
        <v>60</v>
      </c>
      <c r="BB189">
        <f t="shared" si="64"/>
        <v>60</v>
      </c>
      <c r="BC189">
        <f t="shared" si="65"/>
        <v>60</v>
      </c>
      <c r="BD189">
        <f t="shared" si="66"/>
        <v>60</v>
      </c>
      <c r="BE189">
        <f t="shared" si="67"/>
        <v>60</v>
      </c>
      <c r="BF189">
        <f t="shared" si="68"/>
        <v>60</v>
      </c>
      <c r="BG189" s="100">
        <f t="shared" si="69"/>
        <v>1</v>
      </c>
      <c r="BH189" s="100">
        <f t="shared" si="70"/>
        <v>1</v>
      </c>
      <c r="BI189" s="100">
        <f t="shared" si="71"/>
        <v>1</v>
      </c>
      <c r="BJ189" s="100">
        <f t="shared" si="72"/>
        <v>1</v>
      </c>
      <c r="BK189" s="100">
        <f t="shared" si="73"/>
        <v>1</v>
      </c>
      <c r="BL189" s="100">
        <f t="shared" si="74"/>
        <v>1</v>
      </c>
      <c r="BM189" s="100"/>
      <c r="BO189" t="s">
        <v>1038</v>
      </c>
      <c r="BP189" s="27">
        <f t="shared" si="75"/>
        <v>56.666666666666664</v>
      </c>
      <c r="BQ189">
        <f t="shared" si="76"/>
        <v>0</v>
      </c>
      <c r="BR189">
        <f t="shared" si="77"/>
        <v>0</v>
      </c>
      <c r="BS189">
        <f t="shared" si="78"/>
        <v>0</v>
      </c>
      <c r="BT189">
        <f t="shared" si="79"/>
        <v>0</v>
      </c>
      <c r="BU189">
        <f t="shared" si="80"/>
        <v>0</v>
      </c>
      <c r="BV189">
        <f t="shared" si="81"/>
        <v>0</v>
      </c>
    </row>
    <row r="190" spans="1:74" x14ac:dyDescent="0.2">
      <c r="A190" t="s">
        <v>321</v>
      </c>
      <c r="B190" t="s">
        <v>380</v>
      </c>
      <c r="C190">
        <v>60</v>
      </c>
      <c r="F190" t="s">
        <v>317</v>
      </c>
      <c r="G190" t="s">
        <v>319</v>
      </c>
      <c r="H190" s="42" t="s">
        <v>343</v>
      </c>
      <c r="I190" s="42" t="s">
        <v>303</v>
      </c>
      <c r="J190" t="str">
        <f t="shared" si="85"/>
        <v>RACKPDU-RACK-R5-Z1W-R2-09-A</v>
      </c>
      <c r="K190" t="str">
        <f t="shared" si="86"/>
        <v>RACKPDU-RACK-R5-Z1W-R2-09-B</v>
      </c>
      <c r="L190">
        <v>60</v>
      </c>
      <c r="M190">
        <f>VLOOKUP($H190,'Cooling-Rack'!$A$2:$G$265,5,FALSE)</f>
        <v>51</v>
      </c>
      <c r="N190">
        <f>VLOOKUP($H190,'Cooling-Rack'!$A$2:$G$265,7,FALSE)</f>
        <v>9.0000000000000018</v>
      </c>
      <c r="O190">
        <v>72</v>
      </c>
      <c r="P190" s="100">
        <v>0.85</v>
      </c>
      <c r="Q190" s="100">
        <v>0.15000000000000002</v>
      </c>
      <c r="R190" s="44" t="s">
        <v>307</v>
      </c>
      <c r="S190" s="44" t="s">
        <v>308</v>
      </c>
      <c r="T190" s="44" t="s">
        <v>313</v>
      </c>
      <c r="U190" s="44" t="s">
        <v>314</v>
      </c>
      <c r="V190" t="s">
        <v>293</v>
      </c>
      <c r="W190" t="s">
        <v>294</v>
      </c>
      <c r="X190" s="19" t="s">
        <v>80</v>
      </c>
      <c r="Y190" s="19" t="s">
        <v>76</v>
      </c>
      <c r="Z190" s="19" t="s">
        <v>77</v>
      </c>
      <c r="AA190" s="19" t="s">
        <v>74</v>
      </c>
      <c r="AB190" s="19" t="s">
        <v>75</v>
      </c>
      <c r="AC190" s="19" t="s">
        <v>78</v>
      </c>
      <c r="AD190" s="19" t="s">
        <v>79</v>
      </c>
      <c r="AE190" t="s">
        <v>387</v>
      </c>
      <c r="AF190" t="s">
        <v>390</v>
      </c>
      <c r="AG190" t="s">
        <v>393</v>
      </c>
      <c r="AH190" t="s">
        <v>395</v>
      </c>
      <c r="AL190">
        <v>0</v>
      </c>
      <c r="AM190">
        <f t="shared" si="59"/>
        <v>0</v>
      </c>
      <c r="AN190">
        <f t="shared" si="60"/>
        <v>0</v>
      </c>
      <c r="AO190">
        <v>0</v>
      </c>
      <c r="AP190">
        <f t="shared" si="61"/>
        <v>0</v>
      </c>
      <c r="AQ190">
        <f t="shared" si="62"/>
        <v>0</v>
      </c>
      <c r="AS190">
        <f t="shared" si="82"/>
        <v>0</v>
      </c>
      <c r="AT190">
        <f t="shared" si="83"/>
        <v>0</v>
      </c>
      <c r="BA190">
        <f t="shared" si="63"/>
        <v>60</v>
      </c>
      <c r="BB190">
        <f t="shared" si="64"/>
        <v>60</v>
      </c>
      <c r="BC190">
        <f t="shared" si="65"/>
        <v>60</v>
      </c>
      <c r="BD190">
        <f t="shared" si="66"/>
        <v>60</v>
      </c>
      <c r="BE190">
        <f t="shared" si="67"/>
        <v>60</v>
      </c>
      <c r="BF190">
        <f t="shared" si="68"/>
        <v>60</v>
      </c>
      <c r="BG190" s="100">
        <f t="shared" si="69"/>
        <v>1</v>
      </c>
      <c r="BH190" s="100">
        <f t="shared" si="70"/>
        <v>1</v>
      </c>
      <c r="BI190" s="100">
        <f t="shared" si="71"/>
        <v>1</v>
      </c>
      <c r="BJ190" s="100">
        <f t="shared" si="72"/>
        <v>1</v>
      </c>
      <c r="BK190" s="100">
        <f t="shared" si="73"/>
        <v>1</v>
      </c>
      <c r="BL190" s="100">
        <f t="shared" si="74"/>
        <v>1</v>
      </c>
      <c r="BM190" s="100"/>
      <c r="BO190" t="s">
        <v>1039</v>
      </c>
      <c r="BP190" s="27">
        <f t="shared" si="75"/>
        <v>56.666666666666664</v>
      </c>
      <c r="BQ190">
        <f t="shared" si="76"/>
        <v>0</v>
      </c>
      <c r="BR190">
        <f t="shared" si="77"/>
        <v>0</v>
      </c>
      <c r="BS190">
        <f t="shared" si="78"/>
        <v>0</v>
      </c>
      <c r="BT190">
        <f t="shared" si="79"/>
        <v>0</v>
      </c>
      <c r="BU190">
        <f t="shared" si="80"/>
        <v>0</v>
      </c>
      <c r="BV190">
        <f t="shared" si="81"/>
        <v>0</v>
      </c>
    </row>
    <row r="191" spans="1:74" x14ac:dyDescent="0.2">
      <c r="A191" t="s">
        <v>321</v>
      </c>
      <c r="B191" t="s">
        <v>380</v>
      </c>
      <c r="C191">
        <v>60</v>
      </c>
      <c r="F191" t="s">
        <v>317</v>
      </c>
      <c r="G191" t="s">
        <v>319</v>
      </c>
      <c r="H191" s="42" t="s">
        <v>344</v>
      </c>
      <c r="I191" s="42" t="s">
        <v>303</v>
      </c>
      <c r="J191" t="str">
        <f t="shared" si="85"/>
        <v>RACKPDU-RACK-R5-Z1W-R2-10-A</v>
      </c>
      <c r="K191" t="str">
        <f t="shared" si="86"/>
        <v>RACKPDU-RACK-R5-Z1W-R2-10-B</v>
      </c>
      <c r="L191">
        <v>60</v>
      </c>
      <c r="M191">
        <f>VLOOKUP($H191,'Cooling-Rack'!$A$2:$G$265,5,FALSE)</f>
        <v>51</v>
      </c>
      <c r="N191">
        <f>VLOOKUP($H191,'Cooling-Rack'!$A$2:$G$265,7,FALSE)</f>
        <v>9.0000000000000018</v>
      </c>
      <c r="O191">
        <v>72</v>
      </c>
      <c r="P191" s="100">
        <v>0.85</v>
      </c>
      <c r="Q191" s="100">
        <v>0.15000000000000002</v>
      </c>
      <c r="R191" s="44" t="s">
        <v>307</v>
      </c>
      <c r="S191" s="44" t="s">
        <v>308</v>
      </c>
      <c r="T191" s="44" t="s">
        <v>313</v>
      </c>
      <c r="U191" s="44" t="s">
        <v>314</v>
      </c>
      <c r="V191" t="s">
        <v>293</v>
      </c>
      <c r="W191" t="s">
        <v>294</v>
      </c>
      <c r="X191" s="19" t="s">
        <v>80</v>
      </c>
      <c r="Y191" s="19" t="s">
        <v>76</v>
      </c>
      <c r="Z191" s="19" t="s">
        <v>77</v>
      </c>
      <c r="AA191" s="19" t="s">
        <v>74</v>
      </c>
      <c r="AB191" s="19" t="s">
        <v>75</v>
      </c>
      <c r="AC191" s="19" t="s">
        <v>78</v>
      </c>
      <c r="AD191" s="19" t="s">
        <v>79</v>
      </c>
      <c r="AE191" t="s">
        <v>387</v>
      </c>
      <c r="AF191" t="s">
        <v>390</v>
      </c>
      <c r="AG191" t="s">
        <v>393</v>
      </c>
      <c r="AH191" t="s">
        <v>395</v>
      </c>
      <c r="AL191">
        <v>0</v>
      </c>
      <c r="AM191">
        <f t="shared" si="59"/>
        <v>0</v>
      </c>
      <c r="AN191">
        <f t="shared" si="60"/>
        <v>0</v>
      </c>
      <c r="AO191">
        <v>0</v>
      </c>
      <c r="AP191">
        <f t="shared" si="61"/>
        <v>0</v>
      </c>
      <c r="AQ191">
        <f t="shared" si="62"/>
        <v>0</v>
      </c>
      <c r="AS191">
        <f t="shared" si="82"/>
        <v>0</v>
      </c>
      <c r="AT191">
        <f t="shared" si="83"/>
        <v>0</v>
      </c>
      <c r="BA191">
        <f t="shared" si="63"/>
        <v>60</v>
      </c>
      <c r="BB191">
        <f t="shared" si="64"/>
        <v>60</v>
      </c>
      <c r="BC191">
        <f t="shared" si="65"/>
        <v>60</v>
      </c>
      <c r="BD191">
        <f t="shared" si="66"/>
        <v>60</v>
      </c>
      <c r="BE191">
        <f t="shared" si="67"/>
        <v>60</v>
      </c>
      <c r="BF191">
        <f t="shared" si="68"/>
        <v>60</v>
      </c>
      <c r="BG191" s="100">
        <f t="shared" si="69"/>
        <v>1</v>
      </c>
      <c r="BH191" s="100">
        <f t="shared" si="70"/>
        <v>1</v>
      </c>
      <c r="BI191" s="100">
        <f t="shared" si="71"/>
        <v>1</v>
      </c>
      <c r="BJ191" s="100">
        <f t="shared" si="72"/>
        <v>1</v>
      </c>
      <c r="BK191" s="100">
        <f t="shared" si="73"/>
        <v>1</v>
      </c>
      <c r="BL191" s="100">
        <f t="shared" si="74"/>
        <v>1</v>
      </c>
      <c r="BM191" s="100"/>
      <c r="BO191" t="s">
        <v>1040</v>
      </c>
      <c r="BP191" s="27">
        <f t="shared" si="75"/>
        <v>56.666666666666664</v>
      </c>
      <c r="BQ191">
        <f t="shared" si="76"/>
        <v>0</v>
      </c>
      <c r="BR191">
        <f t="shared" si="77"/>
        <v>0</v>
      </c>
      <c r="BS191">
        <f t="shared" si="78"/>
        <v>0</v>
      </c>
      <c r="BT191">
        <f t="shared" si="79"/>
        <v>0</v>
      </c>
      <c r="BU191">
        <f t="shared" si="80"/>
        <v>0</v>
      </c>
      <c r="BV191">
        <f t="shared" si="81"/>
        <v>0</v>
      </c>
    </row>
    <row r="192" spans="1:74" x14ac:dyDescent="0.2">
      <c r="A192" t="s">
        <v>321</v>
      </c>
      <c r="B192" t="s">
        <v>380</v>
      </c>
      <c r="C192">
        <v>60</v>
      </c>
      <c r="F192" t="s">
        <v>317</v>
      </c>
      <c r="G192" t="s">
        <v>319</v>
      </c>
      <c r="H192" s="42" t="s">
        <v>345</v>
      </c>
      <c r="I192" s="42" t="s">
        <v>303</v>
      </c>
      <c r="J192" t="str">
        <f t="shared" si="85"/>
        <v>RACKPDU-RACK-R5-Z1W-R2-11-A</v>
      </c>
      <c r="K192" t="str">
        <f t="shared" si="86"/>
        <v>RACKPDU-RACK-R5-Z1W-R2-11-B</v>
      </c>
      <c r="L192">
        <v>60</v>
      </c>
      <c r="M192">
        <f>VLOOKUP($H192,'Cooling-Rack'!$A$2:$G$265,5,FALSE)</f>
        <v>51</v>
      </c>
      <c r="N192">
        <f>VLOOKUP($H192,'Cooling-Rack'!$A$2:$G$265,7,FALSE)</f>
        <v>9.0000000000000018</v>
      </c>
      <c r="O192">
        <v>72</v>
      </c>
      <c r="P192" s="100">
        <v>0.85</v>
      </c>
      <c r="Q192" s="100">
        <v>0.15000000000000002</v>
      </c>
      <c r="R192" s="44" t="s">
        <v>307</v>
      </c>
      <c r="S192" s="44" t="s">
        <v>308</v>
      </c>
      <c r="T192" s="44" t="s">
        <v>313</v>
      </c>
      <c r="U192" s="44" t="s">
        <v>314</v>
      </c>
      <c r="V192" t="s">
        <v>293</v>
      </c>
      <c r="W192" t="s">
        <v>294</v>
      </c>
      <c r="X192" s="19" t="s">
        <v>80</v>
      </c>
      <c r="Y192" s="19" t="s">
        <v>76</v>
      </c>
      <c r="Z192" s="19" t="s">
        <v>77</v>
      </c>
      <c r="AA192" s="19" t="s">
        <v>74</v>
      </c>
      <c r="AB192" s="19" t="s">
        <v>75</v>
      </c>
      <c r="AC192" s="19" t="s">
        <v>78</v>
      </c>
      <c r="AD192" s="19" t="s">
        <v>79</v>
      </c>
      <c r="AE192" t="s">
        <v>387</v>
      </c>
      <c r="AF192" t="s">
        <v>390</v>
      </c>
      <c r="AG192" t="s">
        <v>393</v>
      </c>
      <c r="AH192" t="s">
        <v>395</v>
      </c>
      <c r="AL192">
        <v>0</v>
      </c>
      <c r="AM192">
        <f t="shared" si="59"/>
        <v>0</v>
      </c>
      <c r="AN192">
        <f t="shared" si="60"/>
        <v>0</v>
      </c>
      <c r="AO192">
        <v>0</v>
      </c>
      <c r="AP192">
        <f t="shared" si="61"/>
        <v>0</v>
      </c>
      <c r="AQ192">
        <f t="shared" si="62"/>
        <v>0</v>
      </c>
      <c r="AS192">
        <f t="shared" si="82"/>
        <v>0</v>
      </c>
      <c r="AT192">
        <f t="shared" si="83"/>
        <v>0</v>
      </c>
      <c r="BA192">
        <f t="shared" si="63"/>
        <v>60</v>
      </c>
      <c r="BB192">
        <f t="shared" si="64"/>
        <v>60</v>
      </c>
      <c r="BC192">
        <f t="shared" si="65"/>
        <v>60</v>
      </c>
      <c r="BD192">
        <f t="shared" si="66"/>
        <v>60</v>
      </c>
      <c r="BE192">
        <f t="shared" si="67"/>
        <v>60</v>
      </c>
      <c r="BF192">
        <f t="shared" si="68"/>
        <v>60</v>
      </c>
      <c r="BG192" s="100">
        <f t="shared" si="69"/>
        <v>1</v>
      </c>
      <c r="BH192" s="100">
        <f t="shared" si="70"/>
        <v>1</v>
      </c>
      <c r="BI192" s="100">
        <f t="shared" si="71"/>
        <v>1</v>
      </c>
      <c r="BJ192" s="100">
        <f t="shared" si="72"/>
        <v>1</v>
      </c>
      <c r="BK192" s="100">
        <f t="shared" si="73"/>
        <v>1</v>
      </c>
      <c r="BL192" s="100">
        <f t="shared" si="74"/>
        <v>1</v>
      </c>
      <c r="BM192" s="100"/>
      <c r="BO192" t="s">
        <v>1041</v>
      </c>
      <c r="BP192" s="27">
        <f t="shared" si="75"/>
        <v>56.666666666666664</v>
      </c>
      <c r="BQ192">
        <f t="shared" si="76"/>
        <v>0</v>
      </c>
      <c r="BR192">
        <f t="shared" si="77"/>
        <v>0</v>
      </c>
      <c r="BS192">
        <f t="shared" si="78"/>
        <v>0</v>
      </c>
      <c r="BT192">
        <f t="shared" si="79"/>
        <v>0</v>
      </c>
      <c r="BU192">
        <f t="shared" si="80"/>
        <v>0</v>
      </c>
      <c r="BV192">
        <f t="shared" si="81"/>
        <v>0</v>
      </c>
    </row>
    <row r="193" spans="1:74" x14ac:dyDescent="0.2">
      <c r="A193" t="s">
        <v>321</v>
      </c>
      <c r="B193" t="s">
        <v>380</v>
      </c>
      <c r="C193">
        <v>60</v>
      </c>
      <c r="F193" t="s">
        <v>317</v>
      </c>
      <c r="G193" t="s">
        <v>319</v>
      </c>
      <c r="H193" s="42" t="s">
        <v>346</v>
      </c>
      <c r="I193" s="42" t="s">
        <v>303</v>
      </c>
      <c r="J193" t="str">
        <f t="shared" si="85"/>
        <v>RACKPDU-RACK-R5-Z1W-R2-12-A</v>
      </c>
      <c r="K193" t="str">
        <f t="shared" si="86"/>
        <v>RACKPDU-RACK-R5-Z1W-R2-12-B</v>
      </c>
      <c r="L193">
        <v>60</v>
      </c>
      <c r="M193">
        <f>VLOOKUP($H193,'Cooling-Rack'!$A$2:$G$265,5,FALSE)</f>
        <v>51</v>
      </c>
      <c r="N193">
        <f>VLOOKUP($H193,'Cooling-Rack'!$A$2:$G$265,7,FALSE)</f>
        <v>9.0000000000000018</v>
      </c>
      <c r="O193">
        <v>72</v>
      </c>
      <c r="P193" s="100">
        <v>0.85</v>
      </c>
      <c r="Q193" s="100">
        <v>0.15000000000000002</v>
      </c>
      <c r="R193" s="44" t="s">
        <v>307</v>
      </c>
      <c r="S193" s="44" t="s">
        <v>308</v>
      </c>
      <c r="T193" s="44" t="s">
        <v>313</v>
      </c>
      <c r="U193" s="44" t="s">
        <v>314</v>
      </c>
      <c r="V193" t="s">
        <v>293</v>
      </c>
      <c r="W193" t="s">
        <v>294</v>
      </c>
      <c r="X193" s="19" t="s">
        <v>80</v>
      </c>
      <c r="Y193" s="19" t="s">
        <v>76</v>
      </c>
      <c r="Z193" s="19" t="s">
        <v>77</v>
      </c>
      <c r="AA193" s="19" t="s">
        <v>74</v>
      </c>
      <c r="AB193" s="19" t="s">
        <v>75</v>
      </c>
      <c r="AC193" s="19" t="s">
        <v>78</v>
      </c>
      <c r="AD193" s="19" t="s">
        <v>79</v>
      </c>
      <c r="AE193" t="s">
        <v>387</v>
      </c>
      <c r="AF193" t="s">
        <v>390</v>
      </c>
      <c r="AG193" t="s">
        <v>393</v>
      </c>
      <c r="AH193" t="s">
        <v>395</v>
      </c>
      <c r="AL193">
        <v>0</v>
      </c>
      <c r="AM193">
        <f t="shared" si="59"/>
        <v>0</v>
      </c>
      <c r="AN193">
        <f t="shared" si="60"/>
        <v>0</v>
      </c>
      <c r="AO193">
        <v>0</v>
      </c>
      <c r="AP193">
        <f t="shared" si="61"/>
        <v>0</v>
      </c>
      <c r="AQ193">
        <f t="shared" si="62"/>
        <v>0</v>
      </c>
      <c r="AS193">
        <f t="shared" si="82"/>
        <v>0</v>
      </c>
      <c r="AT193">
        <f t="shared" si="83"/>
        <v>0</v>
      </c>
      <c r="BA193">
        <f t="shared" si="63"/>
        <v>60</v>
      </c>
      <c r="BB193">
        <f t="shared" si="64"/>
        <v>60</v>
      </c>
      <c r="BC193">
        <f t="shared" si="65"/>
        <v>60</v>
      </c>
      <c r="BD193">
        <f t="shared" si="66"/>
        <v>60</v>
      </c>
      <c r="BE193">
        <f t="shared" si="67"/>
        <v>60</v>
      </c>
      <c r="BF193">
        <f t="shared" si="68"/>
        <v>60</v>
      </c>
      <c r="BG193" s="100">
        <f t="shared" si="69"/>
        <v>1</v>
      </c>
      <c r="BH193" s="100">
        <f t="shared" si="70"/>
        <v>1</v>
      </c>
      <c r="BI193" s="100">
        <f t="shared" si="71"/>
        <v>1</v>
      </c>
      <c r="BJ193" s="100">
        <f t="shared" si="72"/>
        <v>1</v>
      </c>
      <c r="BK193" s="100">
        <f t="shared" si="73"/>
        <v>1</v>
      </c>
      <c r="BL193" s="100">
        <f t="shared" si="74"/>
        <v>1</v>
      </c>
      <c r="BM193" s="100"/>
      <c r="BO193" t="s">
        <v>1042</v>
      </c>
      <c r="BP193" s="27">
        <f t="shared" si="75"/>
        <v>56.666666666666664</v>
      </c>
      <c r="BQ193">
        <f t="shared" si="76"/>
        <v>0</v>
      </c>
      <c r="BR193">
        <f t="shared" si="77"/>
        <v>0</v>
      </c>
      <c r="BS193">
        <f t="shared" si="78"/>
        <v>0</v>
      </c>
      <c r="BT193">
        <f t="shared" si="79"/>
        <v>0</v>
      </c>
      <c r="BU193">
        <f t="shared" si="80"/>
        <v>0</v>
      </c>
      <c r="BV193">
        <f t="shared" si="81"/>
        <v>0</v>
      </c>
    </row>
    <row r="194" spans="1:74" x14ac:dyDescent="0.2">
      <c r="A194" t="s">
        <v>322</v>
      </c>
      <c r="B194" t="s">
        <v>381</v>
      </c>
      <c r="C194">
        <v>60</v>
      </c>
      <c r="F194" t="s">
        <v>318</v>
      </c>
      <c r="G194" t="s">
        <v>320</v>
      </c>
      <c r="H194" s="42" t="s">
        <v>347</v>
      </c>
      <c r="I194" s="42" t="s">
        <v>304</v>
      </c>
      <c r="J194" t="str">
        <f t="shared" si="85"/>
        <v>RACKPDU-RACK-R5-Z2E-R1-01-A</v>
      </c>
      <c r="K194" t="str">
        <f t="shared" si="86"/>
        <v>RACKPDU-RACK-R5-Z2E-R1-01-B</v>
      </c>
      <c r="L194">
        <v>60</v>
      </c>
      <c r="M194">
        <f>VLOOKUP($H194,'Cooling-Rack'!$A$2:$G$265,5,FALSE)</f>
        <v>51</v>
      </c>
      <c r="N194">
        <f>VLOOKUP($H194,'Cooling-Rack'!$A$2:$G$265,7,FALSE)</f>
        <v>9.0000000000000018</v>
      </c>
      <c r="O194">
        <v>72</v>
      </c>
      <c r="P194" s="100">
        <v>0.85</v>
      </c>
      <c r="Q194" s="100">
        <v>0.15000000000000002</v>
      </c>
      <c r="R194" s="44" t="s">
        <v>309</v>
      </c>
      <c r="S194" s="44" t="s">
        <v>310</v>
      </c>
      <c r="T194" s="44" t="s">
        <v>313</v>
      </c>
      <c r="U194" s="44" t="s">
        <v>314</v>
      </c>
      <c r="V194" t="s">
        <v>293</v>
      </c>
      <c r="W194" t="s">
        <v>294</v>
      </c>
      <c r="X194" s="19" t="s">
        <v>80</v>
      </c>
      <c r="Y194" s="19" t="s">
        <v>76</v>
      </c>
      <c r="Z194" s="19" t="s">
        <v>77</v>
      </c>
      <c r="AA194" s="19" t="s">
        <v>74</v>
      </c>
      <c r="AB194" s="19" t="s">
        <v>75</v>
      </c>
      <c r="AC194" s="19" t="s">
        <v>78</v>
      </c>
      <c r="AD194" s="19" t="s">
        <v>79</v>
      </c>
      <c r="AE194" t="s">
        <v>388</v>
      </c>
      <c r="AF194" t="s">
        <v>390</v>
      </c>
      <c r="AG194" t="s">
        <v>393</v>
      </c>
      <c r="AH194" t="s">
        <v>395</v>
      </c>
      <c r="AL194">
        <v>0</v>
      </c>
      <c r="AM194">
        <f t="shared" si="59"/>
        <v>0</v>
      </c>
      <c r="AN194">
        <f t="shared" si="60"/>
        <v>0</v>
      </c>
      <c r="AO194">
        <v>0</v>
      </c>
      <c r="AP194">
        <f t="shared" si="61"/>
        <v>0</v>
      </c>
      <c r="AQ194">
        <f t="shared" si="62"/>
        <v>0</v>
      </c>
      <c r="AS194">
        <f t="shared" si="82"/>
        <v>0</v>
      </c>
      <c r="AT194">
        <f t="shared" si="83"/>
        <v>0</v>
      </c>
      <c r="AX194">
        <v>60</v>
      </c>
      <c r="AY194">
        <f t="shared" ref="AY194:AY217" si="87">AX194/$L194*$M194</f>
        <v>51</v>
      </c>
      <c r="AZ194">
        <f t="shared" ref="AZ194" si="88">AX194/$L194*$N194</f>
        <v>9.0000000000000018</v>
      </c>
      <c r="BA194">
        <f t="shared" si="63"/>
        <v>60</v>
      </c>
      <c r="BB194">
        <f t="shared" si="64"/>
        <v>60</v>
      </c>
      <c r="BC194">
        <f t="shared" si="65"/>
        <v>60</v>
      </c>
      <c r="BD194">
        <f t="shared" si="66"/>
        <v>60</v>
      </c>
      <c r="BE194">
        <f t="shared" si="67"/>
        <v>60</v>
      </c>
      <c r="BF194">
        <f t="shared" si="68"/>
        <v>0</v>
      </c>
      <c r="BG194" s="100">
        <f t="shared" si="69"/>
        <v>1</v>
      </c>
      <c r="BH194" s="100">
        <f t="shared" si="70"/>
        <v>1</v>
      </c>
      <c r="BI194" s="100">
        <f t="shared" si="71"/>
        <v>1</v>
      </c>
      <c r="BJ194" s="100">
        <f t="shared" si="72"/>
        <v>1</v>
      </c>
      <c r="BK194" s="100">
        <f t="shared" si="73"/>
        <v>1</v>
      </c>
      <c r="BL194" s="100">
        <f t="shared" si="74"/>
        <v>0</v>
      </c>
      <c r="BM194" s="100"/>
      <c r="BO194" t="s">
        <v>1043</v>
      </c>
      <c r="BP194" s="27">
        <f t="shared" si="75"/>
        <v>56.666666666666664</v>
      </c>
      <c r="BQ194">
        <f t="shared" si="76"/>
        <v>0</v>
      </c>
      <c r="BR194">
        <f t="shared" si="77"/>
        <v>0</v>
      </c>
      <c r="BS194">
        <f t="shared" si="78"/>
        <v>0</v>
      </c>
      <c r="BT194">
        <f t="shared" si="79"/>
        <v>0</v>
      </c>
      <c r="BU194">
        <f t="shared" si="80"/>
        <v>0</v>
      </c>
      <c r="BV194">
        <f t="shared" si="81"/>
        <v>1</v>
      </c>
    </row>
    <row r="195" spans="1:74" x14ac:dyDescent="0.2">
      <c r="A195" t="s">
        <v>322</v>
      </c>
      <c r="B195" t="s">
        <v>381</v>
      </c>
      <c r="C195">
        <v>60</v>
      </c>
      <c r="F195" t="s">
        <v>318</v>
      </c>
      <c r="G195" t="s">
        <v>320</v>
      </c>
      <c r="H195" s="42" t="s">
        <v>348</v>
      </c>
      <c r="I195" s="42" t="s">
        <v>304</v>
      </c>
      <c r="J195" t="str">
        <f t="shared" si="85"/>
        <v>RACKPDU-RACK-R5-Z2E-R1-02-A</v>
      </c>
      <c r="K195" t="str">
        <f t="shared" si="86"/>
        <v>RACKPDU-RACK-R5-Z2E-R1-02-B</v>
      </c>
      <c r="L195">
        <v>60</v>
      </c>
      <c r="M195">
        <f>VLOOKUP($H195,'Cooling-Rack'!$A$2:$G$265,5,FALSE)</f>
        <v>51</v>
      </c>
      <c r="N195">
        <f>VLOOKUP($H195,'Cooling-Rack'!$A$2:$G$265,7,FALSE)</f>
        <v>9.0000000000000018</v>
      </c>
      <c r="O195">
        <v>72</v>
      </c>
      <c r="P195" s="100">
        <v>0.85</v>
      </c>
      <c r="Q195" s="100">
        <v>0.15000000000000002</v>
      </c>
      <c r="R195" s="44" t="s">
        <v>309</v>
      </c>
      <c r="S195" s="44" t="s">
        <v>310</v>
      </c>
      <c r="T195" s="44" t="s">
        <v>313</v>
      </c>
      <c r="U195" s="44" t="s">
        <v>314</v>
      </c>
      <c r="V195" t="s">
        <v>293</v>
      </c>
      <c r="W195" t="s">
        <v>294</v>
      </c>
      <c r="X195" s="19" t="s">
        <v>80</v>
      </c>
      <c r="Y195" s="19" t="s">
        <v>76</v>
      </c>
      <c r="Z195" s="19" t="s">
        <v>77</v>
      </c>
      <c r="AA195" s="19" t="s">
        <v>74</v>
      </c>
      <c r="AB195" s="19" t="s">
        <v>75</v>
      </c>
      <c r="AC195" s="19" t="s">
        <v>78</v>
      </c>
      <c r="AD195" s="19" t="s">
        <v>79</v>
      </c>
      <c r="AE195" t="s">
        <v>388</v>
      </c>
      <c r="AF195" t="s">
        <v>390</v>
      </c>
      <c r="AG195" t="s">
        <v>393</v>
      </c>
      <c r="AH195" t="s">
        <v>395</v>
      </c>
      <c r="AL195">
        <v>0</v>
      </c>
      <c r="AM195">
        <f t="shared" ref="AM195:AM258" si="89">AL195/$L195*$M195</f>
        <v>0</v>
      </c>
      <c r="AN195">
        <f t="shared" ref="AN195:AN258" si="90">AL195/$L195*$N195</f>
        <v>0</v>
      </c>
      <c r="AO195">
        <v>0</v>
      </c>
      <c r="AP195">
        <f t="shared" ref="AP195:AP258" si="91">AO195/$L195*$M195</f>
        <v>0</v>
      </c>
      <c r="AQ195">
        <f t="shared" ref="AQ195:AQ258" si="92">AO195/$L195*$N195</f>
        <v>0</v>
      </c>
      <c r="AS195">
        <f t="shared" si="82"/>
        <v>0</v>
      </c>
      <c r="AT195">
        <f t="shared" si="83"/>
        <v>0</v>
      </c>
      <c r="AX195">
        <v>60</v>
      </c>
      <c r="AY195">
        <f t="shared" si="87"/>
        <v>51</v>
      </c>
      <c r="AZ195">
        <f t="shared" ref="AZ195:AZ217" si="93">AX195/$L195*$N195</f>
        <v>9.0000000000000018</v>
      </c>
      <c r="BA195">
        <f t="shared" ref="BA195:BA217" si="94">$L195-$AI195</f>
        <v>60</v>
      </c>
      <c r="BB195">
        <f t="shared" ref="BB195:BB217" si="95">$L195-$AL195</f>
        <v>60</v>
      </c>
      <c r="BC195">
        <f t="shared" ref="BC195:BC217" si="96">$L195-$AO195</f>
        <v>60</v>
      </c>
      <c r="BD195">
        <f t="shared" ref="BD195:BD217" si="97">$L195-$AR195</f>
        <v>60</v>
      </c>
      <c r="BE195">
        <f t="shared" ref="BE195:BE217" si="98">$L195-$AU195</f>
        <v>60</v>
      </c>
      <c r="BF195">
        <f t="shared" ref="BF195:BF217" si="99">$L195-$AX195</f>
        <v>0</v>
      </c>
      <c r="BG195" s="100">
        <f t="shared" ref="BG195:BG217" si="100">BA195/$L195</f>
        <v>1</v>
      </c>
      <c r="BH195" s="100">
        <f t="shared" ref="BH195:BH217" si="101">BB195/$L195</f>
        <v>1</v>
      </c>
      <c r="BI195" s="100">
        <f t="shared" ref="BI195:BI217" si="102">BC195/$L195</f>
        <v>1</v>
      </c>
      <c r="BJ195" s="100">
        <f t="shared" ref="BJ195:BJ217" si="103">BD195/$L195</f>
        <v>1</v>
      </c>
      <c r="BK195" s="100">
        <f t="shared" ref="BK195:BK217" si="104">BE195/$L195</f>
        <v>1</v>
      </c>
      <c r="BL195" s="100">
        <f t="shared" ref="BL195:BL217" si="105">BF195/$L195</f>
        <v>0</v>
      </c>
      <c r="BM195" s="100"/>
      <c r="BO195" t="s">
        <v>1044</v>
      </c>
      <c r="BP195" s="27">
        <f t="shared" ref="BP195:BP217" si="106">M195/0.9</f>
        <v>56.666666666666664</v>
      </c>
      <c r="BQ195">
        <f t="shared" ref="BQ195:BQ258" si="107">IF($AI195&gt;0, 1, 0)</f>
        <v>0</v>
      </c>
      <c r="BR195">
        <f t="shared" ref="BR195:BR258" si="108">IF($AL195&gt;0, 1, 0)</f>
        <v>0</v>
      </c>
      <c r="BS195">
        <f t="shared" ref="BS195:BS258" si="109">IF($AO195&gt;0, 1, 0)</f>
        <v>0</v>
      </c>
      <c r="BT195">
        <f t="shared" ref="BT195:BT258" si="110">IF($AR195&gt;0, 1, 0)</f>
        <v>0</v>
      </c>
      <c r="BU195">
        <f t="shared" ref="BU195:BU258" si="111">IF($AU195&gt;0, 1, 0)</f>
        <v>0</v>
      </c>
      <c r="BV195">
        <f t="shared" ref="BV195:BV258" si="112">IF(AX195&gt;0, 1, 0)</f>
        <v>1</v>
      </c>
    </row>
    <row r="196" spans="1:74" x14ac:dyDescent="0.2">
      <c r="A196" t="s">
        <v>322</v>
      </c>
      <c r="B196" t="s">
        <v>381</v>
      </c>
      <c r="C196">
        <v>60</v>
      </c>
      <c r="F196" t="s">
        <v>318</v>
      </c>
      <c r="G196" t="s">
        <v>320</v>
      </c>
      <c r="H196" s="42" t="s">
        <v>349</v>
      </c>
      <c r="I196" s="42" t="s">
        <v>304</v>
      </c>
      <c r="J196" t="str">
        <f t="shared" si="85"/>
        <v>RACKPDU-RACK-R5-Z2E-R1-03-A</v>
      </c>
      <c r="K196" t="str">
        <f t="shared" si="86"/>
        <v>RACKPDU-RACK-R5-Z2E-R1-03-B</v>
      </c>
      <c r="L196">
        <v>60</v>
      </c>
      <c r="M196">
        <f>VLOOKUP($H196,'Cooling-Rack'!$A$2:$G$265,5,FALSE)</f>
        <v>51</v>
      </c>
      <c r="N196">
        <f>VLOOKUP($H196,'Cooling-Rack'!$A$2:$G$265,7,FALSE)</f>
        <v>9.0000000000000018</v>
      </c>
      <c r="O196">
        <v>72</v>
      </c>
      <c r="P196" s="100">
        <v>0.85</v>
      </c>
      <c r="Q196" s="100">
        <v>0.15000000000000002</v>
      </c>
      <c r="R196" s="44" t="s">
        <v>309</v>
      </c>
      <c r="S196" s="44" t="s">
        <v>310</v>
      </c>
      <c r="T196" s="44" t="s">
        <v>313</v>
      </c>
      <c r="U196" s="44" t="s">
        <v>314</v>
      </c>
      <c r="V196" t="s">
        <v>293</v>
      </c>
      <c r="W196" t="s">
        <v>294</v>
      </c>
      <c r="X196" s="19" t="s">
        <v>80</v>
      </c>
      <c r="Y196" s="19" t="s">
        <v>76</v>
      </c>
      <c r="Z196" s="19" t="s">
        <v>77</v>
      </c>
      <c r="AA196" s="19" t="s">
        <v>74</v>
      </c>
      <c r="AB196" s="19" t="s">
        <v>75</v>
      </c>
      <c r="AC196" s="19" t="s">
        <v>78</v>
      </c>
      <c r="AD196" s="19" t="s">
        <v>79</v>
      </c>
      <c r="AE196" t="s">
        <v>388</v>
      </c>
      <c r="AF196" t="s">
        <v>390</v>
      </c>
      <c r="AG196" t="s">
        <v>393</v>
      </c>
      <c r="AH196" t="s">
        <v>395</v>
      </c>
      <c r="AL196">
        <v>0</v>
      </c>
      <c r="AM196">
        <f t="shared" si="89"/>
        <v>0</v>
      </c>
      <c r="AN196">
        <f t="shared" si="90"/>
        <v>0</v>
      </c>
      <c r="AO196">
        <v>0</v>
      </c>
      <c r="AP196">
        <f t="shared" si="91"/>
        <v>0</v>
      </c>
      <c r="AQ196">
        <f t="shared" si="92"/>
        <v>0</v>
      </c>
      <c r="AS196">
        <f t="shared" si="82"/>
        <v>0</v>
      </c>
      <c r="AT196">
        <f t="shared" si="83"/>
        <v>0</v>
      </c>
      <c r="AX196">
        <v>60</v>
      </c>
      <c r="AY196">
        <f t="shared" si="87"/>
        <v>51</v>
      </c>
      <c r="AZ196">
        <f t="shared" si="93"/>
        <v>9.0000000000000018</v>
      </c>
      <c r="BA196">
        <f t="shared" si="94"/>
        <v>60</v>
      </c>
      <c r="BB196">
        <f t="shared" si="95"/>
        <v>60</v>
      </c>
      <c r="BC196">
        <f t="shared" si="96"/>
        <v>60</v>
      </c>
      <c r="BD196">
        <f t="shared" si="97"/>
        <v>60</v>
      </c>
      <c r="BE196">
        <f t="shared" si="98"/>
        <v>60</v>
      </c>
      <c r="BF196">
        <f t="shared" si="99"/>
        <v>0</v>
      </c>
      <c r="BG196" s="100">
        <f t="shared" si="100"/>
        <v>1</v>
      </c>
      <c r="BH196" s="100">
        <f t="shared" si="101"/>
        <v>1</v>
      </c>
      <c r="BI196" s="100">
        <f t="shared" si="102"/>
        <v>1</v>
      </c>
      <c r="BJ196" s="100">
        <f t="shared" si="103"/>
        <v>1</v>
      </c>
      <c r="BK196" s="100">
        <f t="shared" si="104"/>
        <v>1</v>
      </c>
      <c r="BL196" s="100">
        <f t="shared" si="105"/>
        <v>0</v>
      </c>
      <c r="BM196" s="100"/>
      <c r="BO196" t="s">
        <v>1045</v>
      </c>
      <c r="BP196" s="27">
        <f t="shared" si="106"/>
        <v>56.666666666666664</v>
      </c>
      <c r="BQ196">
        <f t="shared" si="107"/>
        <v>0</v>
      </c>
      <c r="BR196">
        <f t="shared" si="108"/>
        <v>0</v>
      </c>
      <c r="BS196">
        <f t="shared" si="109"/>
        <v>0</v>
      </c>
      <c r="BT196">
        <f t="shared" si="110"/>
        <v>0</v>
      </c>
      <c r="BU196">
        <f t="shared" si="111"/>
        <v>0</v>
      </c>
      <c r="BV196">
        <f t="shared" si="112"/>
        <v>1</v>
      </c>
    </row>
    <row r="197" spans="1:74" x14ac:dyDescent="0.2">
      <c r="A197" t="s">
        <v>322</v>
      </c>
      <c r="B197" t="s">
        <v>381</v>
      </c>
      <c r="C197">
        <v>60</v>
      </c>
      <c r="F197" t="s">
        <v>318</v>
      </c>
      <c r="G197" t="s">
        <v>320</v>
      </c>
      <c r="H197" s="42" t="s">
        <v>350</v>
      </c>
      <c r="I197" s="42" t="s">
        <v>304</v>
      </c>
      <c r="J197" t="str">
        <f t="shared" si="85"/>
        <v>RACKPDU-RACK-R5-Z2E-R1-04-A</v>
      </c>
      <c r="K197" t="str">
        <f t="shared" si="86"/>
        <v>RACKPDU-RACK-R5-Z2E-R1-04-B</v>
      </c>
      <c r="L197">
        <v>60</v>
      </c>
      <c r="M197">
        <f>VLOOKUP($H197,'Cooling-Rack'!$A$2:$G$265,5,FALSE)</f>
        <v>51</v>
      </c>
      <c r="N197">
        <f>VLOOKUP($H197,'Cooling-Rack'!$A$2:$G$265,7,FALSE)</f>
        <v>9.0000000000000018</v>
      </c>
      <c r="O197">
        <v>72</v>
      </c>
      <c r="P197" s="100">
        <v>0.85</v>
      </c>
      <c r="Q197" s="100">
        <v>0.15000000000000002</v>
      </c>
      <c r="R197" s="44" t="s">
        <v>309</v>
      </c>
      <c r="S197" s="44" t="s">
        <v>310</v>
      </c>
      <c r="T197" s="44" t="s">
        <v>313</v>
      </c>
      <c r="U197" s="44" t="s">
        <v>314</v>
      </c>
      <c r="V197" t="s">
        <v>293</v>
      </c>
      <c r="W197" t="s">
        <v>294</v>
      </c>
      <c r="X197" s="19" t="s">
        <v>80</v>
      </c>
      <c r="Y197" s="19" t="s">
        <v>76</v>
      </c>
      <c r="Z197" s="19" t="s">
        <v>77</v>
      </c>
      <c r="AA197" s="19" t="s">
        <v>74</v>
      </c>
      <c r="AB197" s="19" t="s">
        <v>75</v>
      </c>
      <c r="AC197" s="19" t="s">
        <v>78</v>
      </c>
      <c r="AD197" s="19" t="s">
        <v>79</v>
      </c>
      <c r="AE197" t="s">
        <v>388</v>
      </c>
      <c r="AF197" t="s">
        <v>390</v>
      </c>
      <c r="AG197" t="s">
        <v>393</v>
      </c>
      <c r="AH197" t="s">
        <v>395</v>
      </c>
      <c r="AL197">
        <v>0</v>
      </c>
      <c r="AM197">
        <f t="shared" si="89"/>
        <v>0</v>
      </c>
      <c r="AN197">
        <f t="shared" si="90"/>
        <v>0</v>
      </c>
      <c r="AO197">
        <v>0</v>
      </c>
      <c r="AP197">
        <f t="shared" si="91"/>
        <v>0</v>
      </c>
      <c r="AQ197">
        <f t="shared" si="92"/>
        <v>0</v>
      </c>
      <c r="AS197">
        <f t="shared" si="82"/>
        <v>0</v>
      </c>
      <c r="AT197">
        <f t="shared" si="83"/>
        <v>0</v>
      </c>
      <c r="AX197">
        <v>60</v>
      </c>
      <c r="AY197">
        <f t="shared" si="87"/>
        <v>51</v>
      </c>
      <c r="AZ197">
        <f t="shared" si="93"/>
        <v>9.0000000000000018</v>
      </c>
      <c r="BA197">
        <f t="shared" si="94"/>
        <v>60</v>
      </c>
      <c r="BB197">
        <f t="shared" si="95"/>
        <v>60</v>
      </c>
      <c r="BC197">
        <f t="shared" si="96"/>
        <v>60</v>
      </c>
      <c r="BD197">
        <f t="shared" si="97"/>
        <v>60</v>
      </c>
      <c r="BE197">
        <f t="shared" si="98"/>
        <v>60</v>
      </c>
      <c r="BF197">
        <f t="shared" si="99"/>
        <v>0</v>
      </c>
      <c r="BG197" s="100">
        <f t="shared" si="100"/>
        <v>1</v>
      </c>
      <c r="BH197" s="100">
        <f t="shared" si="101"/>
        <v>1</v>
      </c>
      <c r="BI197" s="100">
        <f t="shared" si="102"/>
        <v>1</v>
      </c>
      <c r="BJ197" s="100">
        <f t="shared" si="103"/>
        <v>1</v>
      </c>
      <c r="BK197" s="100">
        <f t="shared" si="104"/>
        <v>1</v>
      </c>
      <c r="BL197" s="100">
        <f t="shared" si="105"/>
        <v>0</v>
      </c>
      <c r="BM197" s="100"/>
      <c r="BO197" t="s">
        <v>1046</v>
      </c>
      <c r="BP197" s="27">
        <f t="shared" si="106"/>
        <v>56.666666666666664</v>
      </c>
      <c r="BQ197">
        <f t="shared" si="107"/>
        <v>0</v>
      </c>
      <c r="BR197">
        <f t="shared" si="108"/>
        <v>0</v>
      </c>
      <c r="BS197">
        <f t="shared" si="109"/>
        <v>0</v>
      </c>
      <c r="BT197">
        <f t="shared" si="110"/>
        <v>0</v>
      </c>
      <c r="BU197">
        <f t="shared" si="111"/>
        <v>0</v>
      </c>
      <c r="BV197">
        <f t="shared" si="112"/>
        <v>1</v>
      </c>
    </row>
    <row r="198" spans="1:74" x14ac:dyDescent="0.2">
      <c r="A198" t="s">
        <v>322</v>
      </c>
      <c r="B198" t="s">
        <v>381</v>
      </c>
      <c r="C198">
        <v>60</v>
      </c>
      <c r="F198" t="s">
        <v>318</v>
      </c>
      <c r="G198" t="s">
        <v>320</v>
      </c>
      <c r="H198" s="42" t="s">
        <v>351</v>
      </c>
      <c r="I198" s="42" t="s">
        <v>304</v>
      </c>
      <c r="J198" t="str">
        <f t="shared" si="85"/>
        <v>RACKPDU-RACK-R5-Z2E-R1-05-A</v>
      </c>
      <c r="K198" t="str">
        <f t="shared" si="86"/>
        <v>RACKPDU-RACK-R5-Z2E-R1-05-B</v>
      </c>
      <c r="L198">
        <v>60</v>
      </c>
      <c r="M198">
        <f>VLOOKUP($H198,'Cooling-Rack'!$A$2:$G$265,5,FALSE)</f>
        <v>51</v>
      </c>
      <c r="N198">
        <f>VLOOKUP($H198,'Cooling-Rack'!$A$2:$G$265,7,FALSE)</f>
        <v>9.0000000000000018</v>
      </c>
      <c r="O198">
        <v>72</v>
      </c>
      <c r="P198" s="100">
        <v>0.85</v>
      </c>
      <c r="Q198" s="100">
        <v>0.15000000000000002</v>
      </c>
      <c r="R198" s="44" t="s">
        <v>309</v>
      </c>
      <c r="S198" s="44" t="s">
        <v>310</v>
      </c>
      <c r="T198" s="44" t="s">
        <v>313</v>
      </c>
      <c r="U198" s="44" t="s">
        <v>314</v>
      </c>
      <c r="V198" t="s">
        <v>293</v>
      </c>
      <c r="W198" t="s">
        <v>294</v>
      </c>
      <c r="X198" s="19" t="s">
        <v>80</v>
      </c>
      <c r="Y198" s="19" t="s">
        <v>76</v>
      </c>
      <c r="Z198" s="19" t="s">
        <v>77</v>
      </c>
      <c r="AA198" s="19" t="s">
        <v>74</v>
      </c>
      <c r="AB198" s="19" t="s">
        <v>75</v>
      </c>
      <c r="AC198" s="19" t="s">
        <v>78</v>
      </c>
      <c r="AD198" s="19" t="s">
        <v>79</v>
      </c>
      <c r="AE198" t="s">
        <v>388</v>
      </c>
      <c r="AF198" t="s">
        <v>390</v>
      </c>
      <c r="AG198" t="s">
        <v>393</v>
      </c>
      <c r="AH198" t="s">
        <v>395</v>
      </c>
      <c r="AL198">
        <v>0</v>
      </c>
      <c r="AM198">
        <f t="shared" si="89"/>
        <v>0</v>
      </c>
      <c r="AN198">
        <f t="shared" si="90"/>
        <v>0</v>
      </c>
      <c r="AO198">
        <v>0</v>
      </c>
      <c r="AP198">
        <f t="shared" si="91"/>
        <v>0</v>
      </c>
      <c r="AQ198">
        <f t="shared" si="92"/>
        <v>0</v>
      </c>
      <c r="AS198">
        <f t="shared" si="82"/>
        <v>0</v>
      </c>
      <c r="AT198">
        <f t="shared" si="83"/>
        <v>0</v>
      </c>
      <c r="AX198">
        <v>60</v>
      </c>
      <c r="AY198">
        <f t="shared" si="87"/>
        <v>51</v>
      </c>
      <c r="AZ198">
        <f t="shared" si="93"/>
        <v>9.0000000000000018</v>
      </c>
      <c r="BA198">
        <f t="shared" si="94"/>
        <v>60</v>
      </c>
      <c r="BB198">
        <f t="shared" si="95"/>
        <v>60</v>
      </c>
      <c r="BC198">
        <f t="shared" si="96"/>
        <v>60</v>
      </c>
      <c r="BD198">
        <f t="shared" si="97"/>
        <v>60</v>
      </c>
      <c r="BE198">
        <f t="shared" si="98"/>
        <v>60</v>
      </c>
      <c r="BF198">
        <f t="shared" si="99"/>
        <v>0</v>
      </c>
      <c r="BG198" s="100">
        <f t="shared" si="100"/>
        <v>1</v>
      </c>
      <c r="BH198" s="100">
        <f t="shared" si="101"/>
        <v>1</v>
      </c>
      <c r="BI198" s="100">
        <f t="shared" si="102"/>
        <v>1</v>
      </c>
      <c r="BJ198" s="100">
        <f t="shared" si="103"/>
        <v>1</v>
      </c>
      <c r="BK198" s="100">
        <f t="shared" si="104"/>
        <v>1</v>
      </c>
      <c r="BL198" s="100">
        <f t="shared" si="105"/>
        <v>0</v>
      </c>
      <c r="BM198" s="100"/>
      <c r="BO198" t="s">
        <v>1047</v>
      </c>
      <c r="BP198" s="27">
        <f t="shared" si="106"/>
        <v>56.666666666666664</v>
      </c>
      <c r="BQ198">
        <f t="shared" si="107"/>
        <v>0</v>
      </c>
      <c r="BR198">
        <f t="shared" si="108"/>
        <v>0</v>
      </c>
      <c r="BS198">
        <f t="shared" si="109"/>
        <v>0</v>
      </c>
      <c r="BT198">
        <f t="shared" si="110"/>
        <v>0</v>
      </c>
      <c r="BU198">
        <f t="shared" si="111"/>
        <v>0</v>
      </c>
      <c r="BV198">
        <f t="shared" si="112"/>
        <v>1</v>
      </c>
    </row>
    <row r="199" spans="1:74" x14ac:dyDescent="0.2">
      <c r="A199" t="s">
        <v>322</v>
      </c>
      <c r="B199" t="s">
        <v>381</v>
      </c>
      <c r="C199">
        <v>60</v>
      </c>
      <c r="F199" t="s">
        <v>318</v>
      </c>
      <c r="G199" t="s">
        <v>320</v>
      </c>
      <c r="H199" s="42" t="s">
        <v>352</v>
      </c>
      <c r="I199" s="42" t="s">
        <v>304</v>
      </c>
      <c r="J199" t="str">
        <f t="shared" si="85"/>
        <v>RACKPDU-RACK-R5-Z2E-R1-06-A</v>
      </c>
      <c r="K199" t="str">
        <f t="shared" si="86"/>
        <v>RACKPDU-RACK-R5-Z2E-R1-06-B</v>
      </c>
      <c r="L199">
        <v>60</v>
      </c>
      <c r="M199">
        <f>VLOOKUP($H199,'Cooling-Rack'!$A$2:$G$265,5,FALSE)</f>
        <v>51</v>
      </c>
      <c r="N199">
        <f>VLOOKUP($H199,'Cooling-Rack'!$A$2:$G$265,7,FALSE)</f>
        <v>9.0000000000000018</v>
      </c>
      <c r="O199">
        <v>72</v>
      </c>
      <c r="P199" s="100">
        <v>0.85</v>
      </c>
      <c r="Q199" s="100">
        <v>0.15000000000000002</v>
      </c>
      <c r="R199" s="44" t="s">
        <v>309</v>
      </c>
      <c r="S199" s="44" t="s">
        <v>310</v>
      </c>
      <c r="T199" s="44" t="s">
        <v>313</v>
      </c>
      <c r="U199" s="44" t="s">
        <v>314</v>
      </c>
      <c r="V199" t="s">
        <v>293</v>
      </c>
      <c r="W199" t="s">
        <v>294</v>
      </c>
      <c r="X199" s="19" t="s">
        <v>80</v>
      </c>
      <c r="Y199" s="19" t="s">
        <v>76</v>
      </c>
      <c r="Z199" s="19" t="s">
        <v>77</v>
      </c>
      <c r="AA199" s="19" t="s">
        <v>74</v>
      </c>
      <c r="AB199" s="19" t="s">
        <v>75</v>
      </c>
      <c r="AC199" s="19" t="s">
        <v>78</v>
      </c>
      <c r="AD199" s="19" t="s">
        <v>79</v>
      </c>
      <c r="AE199" t="s">
        <v>388</v>
      </c>
      <c r="AF199" t="s">
        <v>390</v>
      </c>
      <c r="AG199" t="s">
        <v>393</v>
      </c>
      <c r="AH199" t="s">
        <v>395</v>
      </c>
      <c r="AL199">
        <v>0</v>
      </c>
      <c r="AM199">
        <f t="shared" si="89"/>
        <v>0</v>
      </c>
      <c r="AN199">
        <f t="shared" si="90"/>
        <v>0</v>
      </c>
      <c r="AO199">
        <v>0</v>
      </c>
      <c r="AP199">
        <f t="shared" si="91"/>
        <v>0</v>
      </c>
      <c r="AQ199">
        <f t="shared" si="92"/>
        <v>0</v>
      </c>
      <c r="AS199">
        <f t="shared" si="82"/>
        <v>0</v>
      </c>
      <c r="AT199">
        <f t="shared" si="83"/>
        <v>0</v>
      </c>
      <c r="AX199">
        <v>60</v>
      </c>
      <c r="AY199">
        <f t="shared" si="87"/>
        <v>51</v>
      </c>
      <c r="AZ199">
        <f t="shared" si="93"/>
        <v>9.0000000000000018</v>
      </c>
      <c r="BA199">
        <f t="shared" si="94"/>
        <v>60</v>
      </c>
      <c r="BB199">
        <f t="shared" si="95"/>
        <v>60</v>
      </c>
      <c r="BC199">
        <f t="shared" si="96"/>
        <v>60</v>
      </c>
      <c r="BD199">
        <f t="shared" si="97"/>
        <v>60</v>
      </c>
      <c r="BE199">
        <f t="shared" si="98"/>
        <v>60</v>
      </c>
      <c r="BF199">
        <f t="shared" si="99"/>
        <v>0</v>
      </c>
      <c r="BG199" s="100">
        <f t="shared" si="100"/>
        <v>1</v>
      </c>
      <c r="BH199" s="100">
        <f t="shared" si="101"/>
        <v>1</v>
      </c>
      <c r="BI199" s="100">
        <f t="shared" si="102"/>
        <v>1</v>
      </c>
      <c r="BJ199" s="100">
        <f t="shared" si="103"/>
        <v>1</v>
      </c>
      <c r="BK199" s="100">
        <f t="shared" si="104"/>
        <v>1</v>
      </c>
      <c r="BL199" s="100">
        <f t="shared" si="105"/>
        <v>0</v>
      </c>
      <c r="BM199" s="100"/>
      <c r="BO199" t="s">
        <v>1048</v>
      </c>
      <c r="BP199" s="27">
        <f t="shared" si="106"/>
        <v>56.666666666666664</v>
      </c>
      <c r="BQ199">
        <f t="shared" si="107"/>
        <v>0</v>
      </c>
      <c r="BR199">
        <f t="shared" si="108"/>
        <v>0</v>
      </c>
      <c r="BS199">
        <f t="shared" si="109"/>
        <v>0</v>
      </c>
      <c r="BT199">
        <f t="shared" si="110"/>
        <v>0</v>
      </c>
      <c r="BU199">
        <f t="shared" si="111"/>
        <v>0</v>
      </c>
      <c r="BV199">
        <f t="shared" si="112"/>
        <v>1</v>
      </c>
    </row>
    <row r="200" spans="1:74" x14ac:dyDescent="0.2">
      <c r="A200" t="s">
        <v>322</v>
      </c>
      <c r="B200" t="s">
        <v>381</v>
      </c>
      <c r="C200">
        <v>60</v>
      </c>
      <c r="F200" t="s">
        <v>318</v>
      </c>
      <c r="G200" t="s">
        <v>320</v>
      </c>
      <c r="H200" s="42" t="s">
        <v>353</v>
      </c>
      <c r="I200" s="42" t="s">
        <v>304</v>
      </c>
      <c r="J200" t="str">
        <f t="shared" si="85"/>
        <v>RACKPDU-RACK-R5-Z2E-R1-07-A</v>
      </c>
      <c r="K200" t="str">
        <f t="shared" si="86"/>
        <v>RACKPDU-RACK-R5-Z2E-R1-07-B</v>
      </c>
      <c r="L200">
        <v>60</v>
      </c>
      <c r="M200">
        <f>VLOOKUP($H200,'Cooling-Rack'!$A$2:$G$265,5,FALSE)</f>
        <v>51</v>
      </c>
      <c r="N200">
        <f>VLOOKUP($H200,'Cooling-Rack'!$A$2:$G$265,7,FALSE)</f>
        <v>9.0000000000000018</v>
      </c>
      <c r="O200">
        <v>72</v>
      </c>
      <c r="P200" s="100">
        <v>0.85</v>
      </c>
      <c r="Q200" s="100">
        <v>0.15000000000000002</v>
      </c>
      <c r="R200" s="44" t="s">
        <v>309</v>
      </c>
      <c r="S200" s="44" t="s">
        <v>310</v>
      </c>
      <c r="T200" s="44" t="s">
        <v>313</v>
      </c>
      <c r="U200" s="44" t="s">
        <v>314</v>
      </c>
      <c r="V200" t="s">
        <v>293</v>
      </c>
      <c r="W200" t="s">
        <v>294</v>
      </c>
      <c r="X200" s="19" t="s">
        <v>80</v>
      </c>
      <c r="Y200" s="19" t="s">
        <v>76</v>
      </c>
      <c r="Z200" s="19" t="s">
        <v>77</v>
      </c>
      <c r="AA200" s="19" t="s">
        <v>74</v>
      </c>
      <c r="AB200" s="19" t="s">
        <v>75</v>
      </c>
      <c r="AC200" s="19" t="s">
        <v>78</v>
      </c>
      <c r="AD200" s="19" t="s">
        <v>79</v>
      </c>
      <c r="AE200" t="s">
        <v>388</v>
      </c>
      <c r="AF200" t="s">
        <v>390</v>
      </c>
      <c r="AG200" t="s">
        <v>393</v>
      </c>
      <c r="AH200" t="s">
        <v>395</v>
      </c>
      <c r="AL200">
        <v>0</v>
      </c>
      <c r="AM200">
        <f t="shared" si="89"/>
        <v>0</v>
      </c>
      <c r="AN200">
        <f t="shared" si="90"/>
        <v>0</v>
      </c>
      <c r="AO200">
        <v>0</v>
      </c>
      <c r="AP200">
        <f t="shared" si="91"/>
        <v>0</v>
      </c>
      <c r="AQ200">
        <f t="shared" si="92"/>
        <v>0</v>
      </c>
      <c r="AS200">
        <f t="shared" si="82"/>
        <v>0</v>
      </c>
      <c r="AT200">
        <f t="shared" si="83"/>
        <v>0</v>
      </c>
      <c r="AX200">
        <v>60</v>
      </c>
      <c r="AY200">
        <f t="shared" si="87"/>
        <v>51</v>
      </c>
      <c r="AZ200">
        <f t="shared" si="93"/>
        <v>9.0000000000000018</v>
      </c>
      <c r="BA200">
        <f t="shared" si="94"/>
        <v>60</v>
      </c>
      <c r="BB200">
        <f t="shared" si="95"/>
        <v>60</v>
      </c>
      <c r="BC200">
        <f t="shared" si="96"/>
        <v>60</v>
      </c>
      <c r="BD200">
        <f t="shared" si="97"/>
        <v>60</v>
      </c>
      <c r="BE200">
        <f t="shared" si="98"/>
        <v>60</v>
      </c>
      <c r="BF200">
        <f t="shared" si="99"/>
        <v>0</v>
      </c>
      <c r="BG200" s="100">
        <f t="shared" si="100"/>
        <v>1</v>
      </c>
      <c r="BH200" s="100">
        <f t="shared" si="101"/>
        <v>1</v>
      </c>
      <c r="BI200" s="100">
        <f t="shared" si="102"/>
        <v>1</v>
      </c>
      <c r="BJ200" s="100">
        <f t="shared" si="103"/>
        <v>1</v>
      </c>
      <c r="BK200" s="100">
        <f t="shared" si="104"/>
        <v>1</v>
      </c>
      <c r="BL200" s="100">
        <f t="shared" si="105"/>
        <v>0</v>
      </c>
      <c r="BM200" s="100"/>
      <c r="BO200" t="s">
        <v>1049</v>
      </c>
      <c r="BP200" s="27">
        <f t="shared" si="106"/>
        <v>56.666666666666664</v>
      </c>
      <c r="BQ200">
        <f t="shared" si="107"/>
        <v>0</v>
      </c>
      <c r="BR200">
        <f t="shared" si="108"/>
        <v>0</v>
      </c>
      <c r="BS200">
        <f t="shared" si="109"/>
        <v>0</v>
      </c>
      <c r="BT200">
        <f t="shared" si="110"/>
        <v>0</v>
      </c>
      <c r="BU200">
        <f t="shared" si="111"/>
        <v>0</v>
      </c>
      <c r="BV200">
        <f t="shared" si="112"/>
        <v>1</v>
      </c>
    </row>
    <row r="201" spans="1:74" x14ac:dyDescent="0.2">
      <c r="A201" t="s">
        <v>322</v>
      </c>
      <c r="B201" t="s">
        <v>381</v>
      </c>
      <c r="C201">
        <v>60</v>
      </c>
      <c r="F201" t="s">
        <v>318</v>
      </c>
      <c r="G201" t="s">
        <v>320</v>
      </c>
      <c r="H201" s="42" t="s">
        <v>354</v>
      </c>
      <c r="I201" s="42" t="s">
        <v>304</v>
      </c>
      <c r="J201" t="str">
        <f t="shared" si="85"/>
        <v>RACKPDU-RACK-R5-Z2E-R1-08-A</v>
      </c>
      <c r="K201" t="str">
        <f t="shared" si="86"/>
        <v>RACKPDU-RACK-R5-Z2E-R1-08-B</v>
      </c>
      <c r="L201">
        <v>60</v>
      </c>
      <c r="M201">
        <f>VLOOKUP($H201,'Cooling-Rack'!$A$2:$G$265,5,FALSE)</f>
        <v>51</v>
      </c>
      <c r="N201">
        <f>VLOOKUP($H201,'Cooling-Rack'!$A$2:$G$265,7,FALSE)</f>
        <v>9.0000000000000018</v>
      </c>
      <c r="O201">
        <v>72</v>
      </c>
      <c r="P201" s="100">
        <v>0.85</v>
      </c>
      <c r="Q201" s="100">
        <v>0.15000000000000002</v>
      </c>
      <c r="R201" s="44" t="s">
        <v>309</v>
      </c>
      <c r="S201" s="44" t="s">
        <v>310</v>
      </c>
      <c r="T201" s="44" t="s">
        <v>313</v>
      </c>
      <c r="U201" s="44" t="s">
        <v>314</v>
      </c>
      <c r="V201" t="s">
        <v>293</v>
      </c>
      <c r="W201" t="s">
        <v>294</v>
      </c>
      <c r="X201" s="19" t="s">
        <v>80</v>
      </c>
      <c r="Y201" s="19" t="s">
        <v>76</v>
      </c>
      <c r="Z201" s="19" t="s">
        <v>77</v>
      </c>
      <c r="AA201" s="19" t="s">
        <v>74</v>
      </c>
      <c r="AB201" s="19" t="s">
        <v>75</v>
      </c>
      <c r="AC201" s="19" t="s">
        <v>78</v>
      </c>
      <c r="AD201" s="19" t="s">
        <v>79</v>
      </c>
      <c r="AE201" t="s">
        <v>388</v>
      </c>
      <c r="AF201" t="s">
        <v>390</v>
      </c>
      <c r="AG201" t="s">
        <v>393</v>
      </c>
      <c r="AH201" t="s">
        <v>395</v>
      </c>
      <c r="AL201">
        <v>0</v>
      </c>
      <c r="AM201">
        <f t="shared" si="89"/>
        <v>0</v>
      </c>
      <c r="AN201">
        <f t="shared" si="90"/>
        <v>0</v>
      </c>
      <c r="AO201">
        <v>0</v>
      </c>
      <c r="AP201">
        <f t="shared" si="91"/>
        <v>0</v>
      </c>
      <c r="AQ201">
        <f t="shared" si="92"/>
        <v>0</v>
      </c>
      <c r="AS201">
        <f t="shared" si="82"/>
        <v>0</v>
      </c>
      <c r="AT201">
        <f t="shared" si="83"/>
        <v>0</v>
      </c>
      <c r="AX201">
        <v>60</v>
      </c>
      <c r="AY201">
        <f t="shared" si="87"/>
        <v>51</v>
      </c>
      <c r="AZ201">
        <f t="shared" si="93"/>
        <v>9.0000000000000018</v>
      </c>
      <c r="BA201">
        <f t="shared" si="94"/>
        <v>60</v>
      </c>
      <c r="BB201">
        <f t="shared" si="95"/>
        <v>60</v>
      </c>
      <c r="BC201">
        <f t="shared" si="96"/>
        <v>60</v>
      </c>
      <c r="BD201">
        <f t="shared" si="97"/>
        <v>60</v>
      </c>
      <c r="BE201">
        <f t="shared" si="98"/>
        <v>60</v>
      </c>
      <c r="BF201">
        <f t="shared" si="99"/>
        <v>0</v>
      </c>
      <c r="BG201" s="100">
        <f t="shared" si="100"/>
        <v>1</v>
      </c>
      <c r="BH201" s="100">
        <f t="shared" si="101"/>
        <v>1</v>
      </c>
      <c r="BI201" s="100">
        <f t="shared" si="102"/>
        <v>1</v>
      </c>
      <c r="BJ201" s="100">
        <f t="shared" si="103"/>
        <v>1</v>
      </c>
      <c r="BK201" s="100">
        <f t="shared" si="104"/>
        <v>1</v>
      </c>
      <c r="BL201" s="100">
        <f t="shared" si="105"/>
        <v>0</v>
      </c>
      <c r="BM201" s="100"/>
      <c r="BO201" t="s">
        <v>1050</v>
      </c>
      <c r="BP201" s="27">
        <f t="shared" si="106"/>
        <v>56.666666666666664</v>
      </c>
      <c r="BQ201">
        <f t="shared" si="107"/>
        <v>0</v>
      </c>
      <c r="BR201">
        <f t="shared" si="108"/>
        <v>0</v>
      </c>
      <c r="BS201">
        <f t="shared" si="109"/>
        <v>0</v>
      </c>
      <c r="BT201">
        <f t="shared" si="110"/>
        <v>0</v>
      </c>
      <c r="BU201">
        <f t="shared" si="111"/>
        <v>0</v>
      </c>
      <c r="BV201">
        <f t="shared" si="112"/>
        <v>1</v>
      </c>
    </row>
    <row r="202" spans="1:74" x14ac:dyDescent="0.2">
      <c r="A202" t="s">
        <v>322</v>
      </c>
      <c r="B202" t="s">
        <v>381</v>
      </c>
      <c r="C202">
        <v>60</v>
      </c>
      <c r="F202" t="s">
        <v>318</v>
      </c>
      <c r="G202" t="s">
        <v>320</v>
      </c>
      <c r="H202" s="42" t="s">
        <v>355</v>
      </c>
      <c r="I202" s="42" t="s">
        <v>304</v>
      </c>
      <c r="J202" t="str">
        <f t="shared" si="85"/>
        <v>RACKPDU-RACK-R5-Z2E-R1-09-A</v>
      </c>
      <c r="K202" t="str">
        <f t="shared" si="86"/>
        <v>RACKPDU-RACK-R5-Z2E-R1-09-B</v>
      </c>
      <c r="L202">
        <v>60</v>
      </c>
      <c r="M202">
        <f>VLOOKUP($H202,'Cooling-Rack'!$A$2:$G$265,5,FALSE)</f>
        <v>51</v>
      </c>
      <c r="N202">
        <f>VLOOKUP($H202,'Cooling-Rack'!$A$2:$G$265,7,FALSE)</f>
        <v>9.0000000000000018</v>
      </c>
      <c r="O202">
        <v>72</v>
      </c>
      <c r="P202" s="100">
        <v>0.85</v>
      </c>
      <c r="Q202" s="100">
        <v>0.15000000000000002</v>
      </c>
      <c r="R202" s="44" t="s">
        <v>309</v>
      </c>
      <c r="S202" s="44" t="s">
        <v>310</v>
      </c>
      <c r="T202" s="44" t="s">
        <v>313</v>
      </c>
      <c r="U202" s="44" t="s">
        <v>314</v>
      </c>
      <c r="V202" t="s">
        <v>293</v>
      </c>
      <c r="W202" t="s">
        <v>294</v>
      </c>
      <c r="X202" s="19" t="s">
        <v>80</v>
      </c>
      <c r="Y202" s="19" t="s">
        <v>76</v>
      </c>
      <c r="Z202" s="19" t="s">
        <v>77</v>
      </c>
      <c r="AA202" s="19" t="s">
        <v>74</v>
      </c>
      <c r="AB202" s="19" t="s">
        <v>75</v>
      </c>
      <c r="AC202" s="19" t="s">
        <v>78</v>
      </c>
      <c r="AD202" s="19" t="s">
        <v>79</v>
      </c>
      <c r="AE202" t="s">
        <v>388</v>
      </c>
      <c r="AF202" t="s">
        <v>390</v>
      </c>
      <c r="AG202" t="s">
        <v>393</v>
      </c>
      <c r="AH202" t="s">
        <v>395</v>
      </c>
      <c r="AL202">
        <v>0</v>
      </c>
      <c r="AM202">
        <f t="shared" si="89"/>
        <v>0</v>
      </c>
      <c r="AN202">
        <f t="shared" si="90"/>
        <v>0</v>
      </c>
      <c r="AO202">
        <v>0</v>
      </c>
      <c r="AP202">
        <f t="shared" si="91"/>
        <v>0</v>
      </c>
      <c r="AQ202">
        <f t="shared" si="92"/>
        <v>0</v>
      </c>
      <c r="AS202">
        <f t="shared" ref="AS202:AS265" si="113">AR202/$L202*$M202</f>
        <v>0</v>
      </c>
      <c r="AT202">
        <f t="shared" si="83"/>
        <v>0</v>
      </c>
      <c r="AX202">
        <v>60</v>
      </c>
      <c r="AY202">
        <f t="shared" si="87"/>
        <v>51</v>
      </c>
      <c r="AZ202">
        <f t="shared" si="93"/>
        <v>9.0000000000000018</v>
      </c>
      <c r="BA202">
        <f t="shared" si="94"/>
        <v>60</v>
      </c>
      <c r="BB202">
        <f t="shared" si="95"/>
        <v>60</v>
      </c>
      <c r="BC202">
        <f t="shared" si="96"/>
        <v>60</v>
      </c>
      <c r="BD202">
        <f t="shared" si="97"/>
        <v>60</v>
      </c>
      <c r="BE202">
        <f t="shared" si="98"/>
        <v>60</v>
      </c>
      <c r="BF202">
        <f t="shared" si="99"/>
        <v>0</v>
      </c>
      <c r="BG202" s="100">
        <f t="shared" si="100"/>
        <v>1</v>
      </c>
      <c r="BH202" s="100">
        <f t="shared" si="101"/>
        <v>1</v>
      </c>
      <c r="BI202" s="100">
        <f t="shared" si="102"/>
        <v>1</v>
      </c>
      <c r="BJ202" s="100">
        <f t="shared" si="103"/>
        <v>1</v>
      </c>
      <c r="BK202" s="100">
        <f t="shared" si="104"/>
        <v>1</v>
      </c>
      <c r="BL202" s="100">
        <f t="shared" si="105"/>
        <v>0</v>
      </c>
      <c r="BM202" s="100"/>
      <c r="BO202" t="s">
        <v>1051</v>
      </c>
      <c r="BP202" s="27">
        <f t="shared" si="106"/>
        <v>56.666666666666664</v>
      </c>
      <c r="BQ202">
        <f t="shared" si="107"/>
        <v>0</v>
      </c>
      <c r="BR202">
        <f t="shared" si="108"/>
        <v>0</v>
      </c>
      <c r="BS202">
        <f t="shared" si="109"/>
        <v>0</v>
      </c>
      <c r="BT202">
        <f t="shared" si="110"/>
        <v>0</v>
      </c>
      <c r="BU202">
        <f t="shared" si="111"/>
        <v>0</v>
      </c>
      <c r="BV202">
        <f t="shared" si="112"/>
        <v>1</v>
      </c>
    </row>
    <row r="203" spans="1:74" x14ac:dyDescent="0.2">
      <c r="A203" t="s">
        <v>322</v>
      </c>
      <c r="B203" t="s">
        <v>381</v>
      </c>
      <c r="C203">
        <v>60</v>
      </c>
      <c r="F203" t="s">
        <v>318</v>
      </c>
      <c r="G203" t="s">
        <v>320</v>
      </c>
      <c r="H203" s="42" t="s">
        <v>356</v>
      </c>
      <c r="I203" s="42" t="s">
        <v>304</v>
      </c>
      <c r="J203" t="str">
        <f t="shared" si="85"/>
        <v>RACKPDU-RACK-R5-Z2E-R1-10-A</v>
      </c>
      <c r="K203" t="str">
        <f t="shared" si="86"/>
        <v>RACKPDU-RACK-R5-Z2E-R1-10-B</v>
      </c>
      <c r="L203">
        <v>60</v>
      </c>
      <c r="M203">
        <f>VLOOKUP($H203,'Cooling-Rack'!$A$2:$G$265,5,FALSE)</f>
        <v>51</v>
      </c>
      <c r="N203">
        <f>VLOOKUP($H203,'Cooling-Rack'!$A$2:$G$265,7,FALSE)</f>
        <v>9.0000000000000018</v>
      </c>
      <c r="O203">
        <v>72</v>
      </c>
      <c r="P203" s="100">
        <v>0.85</v>
      </c>
      <c r="Q203" s="100">
        <v>0.15000000000000002</v>
      </c>
      <c r="R203" s="44" t="s">
        <v>309</v>
      </c>
      <c r="S203" s="44" t="s">
        <v>310</v>
      </c>
      <c r="T203" s="44" t="s">
        <v>313</v>
      </c>
      <c r="U203" s="44" t="s">
        <v>314</v>
      </c>
      <c r="V203" t="s">
        <v>293</v>
      </c>
      <c r="W203" t="s">
        <v>294</v>
      </c>
      <c r="X203" s="19" t="s">
        <v>80</v>
      </c>
      <c r="Y203" s="19" t="s">
        <v>76</v>
      </c>
      <c r="Z203" s="19" t="s">
        <v>77</v>
      </c>
      <c r="AA203" s="19" t="s">
        <v>74</v>
      </c>
      <c r="AB203" s="19" t="s">
        <v>75</v>
      </c>
      <c r="AC203" s="19" t="s">
        <v>78</v>
      </c>
      <c r="AD203" s="19" t="s">
        <v>79</v>
      </c>
      <c r="AE203" t="s">
        <v>388</v>
      </c>
      <c r="AF203" t="s">
        <v>390</v>
      </c>
      <c r="AG203" t="s">
        <v>393</v>
      </c>
      <c r="AH203" t="s">
        <v>395</v>
      </c>
      <c r="AL203">
        <v>0</v>
      </c>
      <c r="AM203">
        <f t="shared" si="89"/>
        <v>0</v>
      </c>
      <c r="AN203">
        <f t="shared" si="90"/>
        <v>0</v>
      </c>
      <c r="AO203">
        <v>0</v>
      </c>
      <c r="AP203">
        <f t="shared" si="91"/>
        <v>0</v>
      </c>
      <c r="AQ203">
        <f t="shared" si="92"/>
        <v>0</v>
      </c>
      <c r="AS203">
        <f t="shared" si="113"/>
        <v>0</v>
      </c>
      <c r="AT203">
        <f t="shared" ref="AT203:AT265" si="114">AR203/$L203*$N203</f>
        <v>0</v>
      </c>
      <c r="AX203">
        <v>60</v>
      </c>
      <c r="AY203">
        <f t="shared" si="87"/>
        <v>51</v>
      </c>
      <c r="AZ203">
        <f t="shared" si="93"/>
        <v>9.0000000000000018</v>
      </c>
      <c r="BA203">
        <f t="shared" si="94"/>
        <v>60</v>
      </c>
      <c r="BB203">
        <f t="shared" si="95"/>
        <v>60</v>
      </c>
      <c r="BC203">
        <f t="shared" si="96"/>
        <v>60</v>
      </c>
      <c r="BD203">
        <f t="shared" si="97"/>
        <v>60</v>
      </c>
      <c r="BE203">
        <f t="shared" si="98"/>
        <v>60</v>
      </c>
      <c r="BF203">
        <f t="shared" si="99"/>
        <v>0</v>
      </c>
      <c r="BG203" s="100">
        <f t="shared" si="100"/>
        <v>1</v>
      </c>
      <c r="BH203" s="100">
        <f t="shared" si="101"/>
        <v>1</v>
      </c>
      <c r="BI203" s="100">
        <f t="shared" si="102"/>
        <v>1</v>
      </c>
      <c r="BJ203" s="100">
        <f t="shared" si="103"/>
        <v>1</v>
      </c>
      <c r="BK203" s="100">
        <f t="shared" si="104"/>
        <v>1</v>
      </c>
      <c r="BL203" s="100">
        <f t="shared" si="105"/>
        <v>0</v>
      </c>
      <c r="BM203" s="100"/>
      <c r="BO203" t="s">
        <v>1052</v>
      </c>
      <c r="BP203" s="27">
        <f t="shared" si="106"/>
        <v>56.666666666666664</v>
      </c>
      <c r="BQ203">
        <f t="shared" si="107"/>
        <v>0</v>
      </c>
      <c r="BR203">
        <f t="shared" si="108"/>
        <v>0</v>
      </c>
      <c r="BS203">
        <f t="shared" si="109"/>
        <v>0</v>
      </c>
      <c r="BT203">
        <f t="shared" si="110"/>
        <v>0</v>
      </c>
      <c r="BU203">
        <f t="shared" si="111"/>
        <v>0</v>
      </c>
      <c r="BV203">
        <f t="shared" si="112"/>
        <v>1</v>
      </c>
    </row>
    <row r="204" spans="1:74" x14ac:dyDescent="0.2">
      <c r="A204" t="s">
        <v>322</v>
      </c>
      <c r="B204" t="s">
        <v>381</v>
      </c>
      <c r="C204">
        <v>60</v>
      </c>
      <c r="F204" t="s">
        <v>318</v>
      </c>
      <c r="G204" t="s">
        <v>320</v>
      </c>
      <c r="H204" s="42" t="s">
        <v>357</v>
      </c>
      <c r="I204" s="42" t="s">
        <v>304</v>
      </c>
      <c r="J204" t="str">
        <f t="shared" si="85"/>
        <v>RACKPDU-RACK-R5-Z2E-R1-11-A</v>
      </c>
      <c r="K204" t="str">
        <f t="shared" si="86"/>
        <v>RACKPDU-RACK-R5-Z2E-R1-11-B</v>
      </c>
      <c r="L204">
        <v>60</v>
      </c>
      <c r="M204">
        <f>VLOOKUP($H204,'Cooling-Rack'!$A$2:$G$265,5,FALSE)</f>
        <v>51</v>
      </c>
      <c r="N204">
        <f>VLOOKUP($H204,'Cooling-Rack'!$A$2:$G$265,7,FALSE)</f>
        <v>9.0000000000000018</v>
      </c>
      <c r="O204">
        <v>72</v>
      </c>
      <c r="P204" s="100">
        <v>0.85</v>
      </c>
      <c r="Q204" s="100">
        <v>0.15000000000000002</v>
      </c>
      <c r="R204" s="44" t="s">
        <v>309</v>
      </c>
      <c r="S204" s="44" t="s">
        <v>310</v>
      </c>
      <c r="T204" s="44" t="s">
        <v>313</v>
      </c>
      <c r="U204" s="44" t="s">
        <v>314</v>
      </c>
      <c r="V204" t="s">
        <v>293</v>
      </c>
      <c r="W204" t="s">
        <v>294</v>
      </c>
      <c r="X204" s="19" t="s">
        <v>80</v>
      </c>
      <c r="Y204" s="19" t="s">
        <v>76</v>
      </c>
      <c r="Z204" s="19" t="s">
        <v>77</v>
      </c>
      <c r="AA204" s="19" t="s">
        <v>74</v>
      </c>
      <c r="AB204" s="19" t="s">
        <v>75</v>
      </c>
      <c r="AC204" s="19" t="s">
        <v>78</v>
      </c>
      <c r="AD204" s="19" t="s">
        <v>79</v>
      </c>
      <c r="AE204" t="s">
        <v>388</v>
      </c>
      <c r="AF204" t="s">
        <v>390</v>
      </c>
      <c r="AG204" t="s">
        <v>393</v>
      </c>
      <c r="AH204" t="s">
        <v>395</v>
      </c>
      <c r="AL204">
        <v>0</v>
      </c>
      <c r="AM204">
        <f t="shared" si="89"/>
        <v>0</v>
      </c>
      <c r="AN204">
        <f t="shared" si="90"/>
        <v>0</v>
      </c>
      <c r="AO204">
        <v>0</v>
      </c>
      <c r="AP204">
        <f t="shared" si="91"/>
        <v>0</v>
      </c>
      <c r="AQ204">
        <f t="shared" si="92"/>
        <v>0</v>
      </c>
      <c r="AS204">
        <f t="shared" si="113"/>
        <v>0</v>
      </c>
      <c r="AT204">
        <f t="shared" si="114"/>
        <v>0</v>
      </c>
      <c r="AX204">
        <v>60</v>
      </c>
      <c r="AY204">
        <f t="shared" si="87"/>
        <v>51</v>
      </c>
      <c r="AZ204">
        <f t="shared" si="93"/>
        <v>9.0000000000000018</v>
      </c>
      <c r="BA204">
        <f t="shared" si="94"/>
        <v>60</v>
      </c>
      <c r="BB204">
        <f t="shared" si="95"/>
        <v>60</v>
      </c>
      <c r="BC204">
        <f t="shared" si="96"/>
        <v>60</v>
      </c>
      <c r="BD204">
        <f t="shared" si="97"/>
        <v>60</v>
      </c>
      <c r="BE204">
        <f t="shared" si="98"/>
        <v>60</v>
      </c>
      <c r="BF204">
        <f t="shared" si="99"/>
        <v>0</v>
      </c>
      <c r="BG204" s="100">
        <f t="shared" si="100"/>
        <v>1</v>
      </c>
      <c r="BH204" s="100">
        <f t="shared" si="101"/>
        <v>1</v>
      </c>
      <c r="BI204" s="100">
        <f t="shared" si="102"/>
        <v>1</v>
      </c>
      <c r="BJ204" s="100">
        <f t="shared" si="103"/>
        <v>1</v>
      </c>
      <c r="BK204" s="100">
        <f t="shared" si="104"/>
        <v>1</v>
      </c>
      <c r="BL204" s="100">
        <f t="shared" si="105"/>
        <v>0</v>
      </c>
      <c r="BM204" s="100"/>
      <c r="BO204" t="s">
        <v>1053</v>
      </c>
      <c r="BP204" s="27">
        <f t="shared" si="106"/>
        <v>56.666666666666664</v>
      </c>
      <c r="BQ204">
        <f t="shared" si="107"/>
        <v>0</v>
      </c>
      <c r="BR204">
        <f t="shared" si="108"/>
        <v>0</v>
      </c>
      <c r="BS204">
        <f t="shared" si="109"/>
        <v>0</v>
      </c>
      <c r="BT204">
        <f t="shared" si="110"/>
        <v>0</v>
      </c>
      <c r="BU204">
        <f t="shared" si="111"/>
        <v>0</v>
      </c>
      <c r="BV204">
        <f t="shared" si="112"/>
        <v>1</v>
      </c>
    </row>
    <row r="205" spans="1:74" x14ac:dyDescent="0.2">
      <c r="A205" t="s">
        <v>322</v>
      </c>
      <c r="B205" t="s">
        <v>381</v>
      </c>
      <c r="C205">
        <v>60</v>
      </c>
      <c r="F205" t="s">
        <v>318</v>
      </c>
      <c r="G205" t="s">
        <v>320</v>
      </c>
      <c r="H205" s="42" t="s">
        <v>358</v>
      </c>
      <c r="I205" s="42" t="s">
        <v>304</v>
      </c>
      <c r="J205" t="str">
        <f t="shared" si="85"/>
        <v>RACKPDU-RACK-R5-Z2E-R1-12-A</v>
      </c>
      <c r="K205" t="str">
        <f t="shared" si="86"/>
        <v>RACKPDU-RACK-R5-Z2E-R1-12-B</v>
      </c>
      <c r="L205">
        <v>60</v>
      </c>
      <c r="M205">
        <f>VLOOKUP($H205,'Cooling-Rack'!$A$2:$G$265,5,FALSE)</f>
        <v>51</v>
      </c>
      <c r="N205">
        <f>VLOOKUP($H205,'Cooling-Rack'!$A$2:$G$265,7,FALSE)</f>
        <v>9.0000000000000018</v>
      </c>
      <c r="O205">
        <v>72</v>
      </c>
      <c r="P205" s="100">
        <v>0.85</v>
      </c>
      <c r="Q205" s="100">
        <v>0.15000000000000002</v>
      </c>
      <c r="R205" s="44" t="s">
        <v>309</v>
      </c>
      <c r="S205" s="44" t="s">
        <v>310</v>
      </c>
      <c r="T205" s="44" t="s">
        <v>313</v>
      </c>
      <c r="U205" s="44" t="s">
        <v>314</v>
      </c>
      <c r="V205" t="s">
        <v>293</v>
      </c>
      <c r="W205" t="s">
        <v>294</v>
      </c>
      <c r="X205" s="19" t="s">
        <v>80</v>
      </c>
      <c r="Y205" s="19" t="s">
        <v>76</v>
      </c>
      <c r="Z205" s="19" t="s">
        <v>77</v>
      </c>
      <c r="AA205" s="19" t="s">
        <v>74</v>
      </c>
      <c r="AB205" s="19" t="s">
        <v>75</v>
      </c>
      <c r="AC205" s="19" t="s">
        <v>78</v>
      </c>
      <c r="AD205" s="19" t="s">
        <v>79</v>
      </c>
      <c r="AE205" t="s">
        <v>388</v>
      </c>
      <c r="AF205" t="s">
        <v>390</v>
      </c>
      <c r="AG205" t="s">
        <v>393</v>
      </c>
      <c r="AH205" t="s">
        <v>395</v>
      </c>
      <c r="AL205">
        <v>0</v>
      </c>
      <c r="AM205">
        <f t="shared" si="89"/>
        <v>0</v>
      </c>
      <c r="AN205">
        <f t="shared" si="90"/>
        <v>0</v>
      </c>
      <c r="AO205">
        <v>0</v>
      </c>
      <c r="AP205">
        <f t="shared" si="91"/>
        <v>0</v>
      </c>
      <c r="AQ205">
        <f t="shared" si="92"/>
        <v>0</v>
      </c>
      <c r="AS205">
        <f t="shared" si="113"/>
        <v>0</v>
      </c>
      <c r="AT205">
        <f t="shared" si="114"/>
        <v>0</v>
      </c>
      <c r="AX205">
        <v>60</v>
      </c>
      <c r="AY205">
        <f t="shared" si="87"/>
        <v>51</v>
      </c>
      <c r="AZ205">
        <f t="shared" si="93"/>
        <v>9.0000000000000018</v>
      </c>
      <c r="BA205">
        <f t="shared" si="94"/>
        <v>60</v>
      </c>
      <c r="BB205">
        <f t="shared" si="95"/>
        <v>60</v>
      </c>
      <c r="BC205">
        <f t="shared" si="96"/>
        <v>60</v>
      </c>
      <c r="BD205">
        <f t="shared" si="97"/>
        <v>60</v>
      </c>
      <c r="BE205">
        <f t="shared" si="98"/>
        <v>60</v>
      </c>
      <c r="BF205">
        <f t="shared" si="99"/>
        <v>0</v>
      </c>
      <c r="BG205" s="100">
        <f t="shared" si="100"/>
        <v>1</v>
      </c>
      <c r="BH205" s="100">
        <f t="shared" si="101"/>
        <v>1</v>
      </c>
      <c r="BI205" s="100">
        <f t="shared" si="102"/>
        <v>1</v>
      </c>
      <c r="BJ205" s="100">
        <f t="shared" si="103"/>
        <v>1</v>
      </c>
      <c r="BK205" s="100">
        <f t="shared" si="104"/>
        <v>1</v>
      </c>
      <c r="BL205" s="100">
        <f t="shared" si="105"/>
        <v>0</v>
      </c>
      <c r="BM205" s="100"/>
      <c r="BO205" t="s">
        <v>1054</v>
      </c>
      <c r="BP205" s="27">
        <f t="shared" si="106"/>
        <v>56.666666666666664</v>
      </c>
      <c r="BQ205">
        <f t="shared" si="107"/>
        <v>0</v>
      </c>
      <c r="BR205">
        <f t="shared" si="108"/>
        <v>0</v>
      </c>
      <c r="BS205">
        <f t="shared" si="109"/>
        <v>0</v>
      </c>
      <c r="BT205">
        <f t="shared" si="110"/>
        <v>0</v>
      </c>
      <c r="BU205">
        <f t="shared" si="111"/>
        <v>0</v>
      </c>
      <c r="BV205">
        <f t="shared" si="112"/>
        <v>1</v>
      </c>
    </row>
    <row r="206" spans="1:74" x14ac:dyDescent="0.2">
      <c r="A206" t="s">
        <v>322</v>
      </c>
      <c r="B206" t="s">
        <v>382</v>
      </c>
      <c r="C206">
        <v>60</v>
      </c>
      <c r="F206" t="s">
        <v>318</v>
      </c>
      <c r="G206" t="s">
        <v>320</v>
      </c>
      <c r="H206" s="42" t="s">
        <v>359</v>
      </c>
      <c r="I206" s="42" t="s">
        <v>304</v>
      </c>
      <c r="J206" t="str">
        <f t="shared" si="85"/>
        <v>RACKPDU-RACK-R5-Z2E-R2-01-A</v>
      </c>
      <c r="K206" t="str">
        <f t="shared" si="86"/>
        <v>RACKPDU-RACK-R5-Z2E-R2-01-B</v>
      </c>
      <c r="L206">
        <v>60</v>
      </c>
      <c r="M206">
        <f>VLOOKUP($H206,'Cooling-Rack'!$A$2:$G$265,5,FALSE)</f>
        <v>51</v>
      </c>
      <c r="N206">
        <f>VLOOKUP($H206,'Cooling-Rack'!$A$2:$G$265,7,FALSE)</f>
        <v>9.0000000000000018</v>
      </c>
      <c r="O206">
        <v>72</v>
      </c>
      <c r="P206" s="100">
        <v>0.85</v>
      </c>
      <c r="Q206" s="100">
        <v>0.15000000000000002</v>
      </c>
      <c r="R206" s="44" t="s">
        <v>311</v>
      </c>
      <c r="S206" s="44" t="s">
        <v>312</v>
      </c>
      <c r="T206" s="44" t="s">
        <v>313</v>
      </c>
      <c r="U206" s="44" t="s">
        <v>314</v>
      </c>
      <c r="V206" t="s">
        <v>293</v>
      </c>
      <c r="W206" t="s">
        <v>294</v>
      </c>
      <c r="X206" s="19" t="s">
        <v>80</v>
      </c>
      <c r="Y206" s="19" t="s">
        <v>76</v>
      </c>
      <c r="Z206" s="19" t="s">
        <v>77</v>
      </c>
      <c r="AA206" s="19" t="s">
        <v>74</v>
      </c>
      <c r="AB206" s="19" t="s">
        <v>75</v>
      </c>
      <c r="AC206" s="19" t="s">
        <v>78</v>
      </c>
      <c r="AD206" s="19" t="s">
        <v>79</v>
      </c>
      <c r="AE206" t="s">
        <v>388</v>
      </c>
      <c r="AF206" t="s">
        <v>390</v>
      </c>
      <c r="AG206" t="s">
        <v>393</v>
      </c>
      <c r="AH206" t="s">
        <v>395</v>
      </c>
      <c r="AL206">
        <v>0</v>
      </c>
      <c r="AM206">
        <f t="shared" si="89"/>
        <v>0</v>
      </c>
      <c r="AN206">
        <f t="shared" si="90"/>
        <v>0</v>
      </c>
      <c r="AO206">
        <v>0</v>
      </c>
      <c r="AP206">
        <f t="shared" si="91"/>
        <v>0</v>
      </c>
      <c r="AQ206">
        <f t="shared" si="92"/>
        <v>0</v>
      </c>
      <c r="AS206">
        <f t="shared" si="113"/>
        <v>0</v>
      </c>
      <c r="AT206">
        <f t="shared" si="114"/>
        <v>0</v>
      </c>
      <c r="AX206">
        <v>60</v>
      </c>
      <c r="AY206">
        <f t="shared" si="87"/>
        <v>51</v>
      </c>
      <c r="AZ206">
        <f t="shared" si="93"/>
        <v>9.0000000000000018</v>
      </c>
      <c r="BA206">
        <f t="shared" si="94"/>
        <v>60</v>
      </c>
      <c r="BB206">
        <f t="shared" si="95"/>
        <v>60</v>
      </c>
      <c r="BC206">
        <f t="shared" si="96"/>
        <v>60</v>
      </c>
      <c r="BD206">
        <f t="shared" si="97"/>
        <v>60</v>
      </c>
      <c r="BE206">
        <f t="shared" si="98"/>
        <v>60</v>
      </c>
      <c r="BF206">
        <f t="shared" si="99"/>
        <v>0</v>
      </c>
      <c r="BG206" s="100">
        <f t="shared" si="100"/>
        <v>1</v>
      </c>
      <c r="BH206" s="100">
        <f t="shared" si="101"/>
        <v>1</v>
      </c>
      <c r="BI206" s="100">
        <f t="shared" si="102"/>
        <v>1</v>
      </c>
      <c r="BJ206" s="100">
        <f t="shared" si="103"/>
        <v>1</v>
      </c>
      <c r="BK206" s="100">
        <f t="shared" si="104"/>
        <v>1</v>
      </c>
      <c r="BL206" s="100">
        <f t="shared" si="105"/>
        <v>0</v>
      </c>
      <c r="BM206" s="100"/>
      <c r="BO206" t="s">
        <v>1055</v>
      </c>
      <c r="BP206" s="27">
        <f t="shared" si="106"/>
        <v>56.666666666666664</v>
      </c>
      <c r="BQ206">
        <f t="shared" si="107"/>
        <v>0</v>
      </c>
      <c r="BR206">
        <f t="shared" si="108"/>
        <v>0</v>
      </c>
      <c r="BS206">
        <f t="shared" si="109"/>
        <v>0</v>
      </c>
      <c r="BT206">
        <f t="shared" si="110"/>
        <v>0</v>
      </c>
      <c r="BU206">
        <f t="shared" si="111"/>
        <v>0</v>
      </c>
      <c r="BV206">
        <f t="shared" si="112"/>
        <v>1</v>
      </c>
    </row>
    <row r="207" spans="1:74" x14ac:dyDescent="0.2">
      <c r="A207" t="s">
        <v>322</v>
      </c>
      <c r="B207" t="s">
        <v>382</v>
      </c>
      <c r="C207">
        <v>60</v>
      </c>
      <c r="F207" t="s">
        <v>318</v>
      </c>
      <c r="G207" t="s">
        <v>320</v>
      </c>
      <c r="H207" s="42" t="s">
        <v>360</v>
      </c>
      <c r="I207" s="42" t="s">
        <v>304</v>
      </c>
      <c r="J207" t="str">
        <f t="shared" si="85"/>
        <v>RACKPDU-RACK-R5-Z2E-R2-02-A</v>
      </c>
      <c r="K207" t="str">
        <f t="shared" si="86"/>
        <v>RACKPDU-RACK-R5-Z2E-R2-02-B</v>
      </c>
      <c r="L207">
        <v>60</v>
      </c>
      <c r="M207">
        <f>VLOOKUP($H207,'Cooling-Rack'!$A$2:$G$265,5,FALSE)</f>
        <v>51</v>
      </c>
      <c r="N207">
        <f>VLOOKUP($H207,'Cooling-Rack'!$A$2:$G$265,7,FALSE)</f>
        <v>9.0000000000000018</v>
      </c>
      <c r="O207">
        <v>72</v>
      </c>
      <c r="P207" s="100">
        <v>0.85</v>
      </c>
      <c r="Q207" s="100">
        <v>0.15000000000000002</v>
      </c>
      <c r="R207" s="44" t="s">
        <v>311</v>
      </c>
      <c r="S207" s="44" t="s">
        <v>312</v>
      </c>
      <c r="T207" s="44" t="s">
        <v>313</v>
      </c>
      <c r="U207" s="44" t="s">
        <v>314</v>
      </c>
      <c r="V207" t="s">
        <v>293</v>
      </c>
      <c r="W207" t="s">
        <v>294</v>
      </c>
      <c r="X207" s="19" t="s">
        <v>80</v>
      </c>
      <c r="Y207" s="19" t="s">
        <v>76</v>
      </c>
      <c r="Z207" s="19" t="s">
        <v>77</v>
      </c>
      <c r="AA207" s="19" t="s">
        <v>74</v>
      </c>
      <c r="AB207" s="19" t="s">
        <v>75</v>
      </c>
      <c r="AC207" s="19" t="s">
        <v>78</v>
      </c>
      <c r="AD207" s="19" t="s">
        <v>79</v>
      </c>
      <c r="AE207" t="s">
        <v>388</v>
      </c>
      <c r="AF207" t="s">
        <v>390</v>
      </c>
      <c r="AG207" t="s">
        <v>393</v>
      </c>
      <c r="AH207" t="s">
        <v>395</v>
      </c>
      <c r="AL207">
        <v>0</v>
      </c>
      <c r="AM207">
        <f t="shared" si="89"/>
        <v>0</v>
      </c>
      <c r="AN207">
        <f t="shared" si="90"/>
        <v>0</v>
      </c>
      <c r="AO207">
        <v>0</v>
      </c>
      <c r="AP207">
        <f t="shared" si="91"/>
        <v>0</v>
      </c>
      <c r="AQ207">
        <f t="shared" si="92"/>
        <v>0</v>
      </c>
      <c r="AS207">
        <f t="shared" si="113"/>
        <v>0</v>
      </c>
      <c r="AT207">
        <f t="shared" si="114"/>
        <v>0</v>
      </c>
      <c r="AX207">
        <v>60</v>
      </c>
      <c r="AY207">
        <f t="shared" si="87"/>
        <v>51</v>
      </c>
      <c r="AZ207">
        <f t="shared" si="93"/>
        <v>9.0000000000000018</v>
      </c>
      <c r="BA207">
        <f t="shared" si="94"/>
        <v>60</v>
      </c>
      <c r="BB207">
        <f t="shared" si="95"/>
        <v>60</v>
      </c>
      <c r="BC207">
        <f t="shared" si="96"/>
        <v>60</v>
      </c>
      <c r="BD207">
        <f t="shared" si="97"/>
        <v>60</v>
      </c>
      <c r="BE207">
        <f t="shared" si="98"/>
        <v>60</v>
      </c>
      <c r="BF207">
        <f t="shared" si="99"/>
        <v>0</v>
      </c>
      <c r="BG207" s="100">
        <f t="shared" si="100"/>
        <v>1</v>
      </c>
      <c r="BH207" s="100">
        <f t="shared" si="101"/>
        <v>1</v>
      </c>
      <c r="BI207" s="100">
        <f t="shared" si="102"/>
        <v>1</v>
      </c>
      <c r="BJ207" s="100">
        <f t="shared" si="103"/>
        <v>1</v>
      </c>
      <c r="BK207" s="100">
        <f t="shared" si="104"/>
        <v>1</v>
      </c>
      <c r="BL207" s="100">
        <f t="shared" si="105"/>
        <v>0</v>
      </c>
      <c r="BM207" s="100"/>
      <c r="BO207" t="s">
        <v>1056</v>
      </c>
      <c r="BP207" s="27">
        <f t="shared" si="106"/>
        <v>56.666666666666664</v>
      </c>
      <c r="BQ207">
        <f t="shared" si="107"/>
        <v>0</v>
      </c>
      <c r="BR207">
        <f t="shared" si="108"/>
        <v>0</v>
      </c>
      <c r="BS207">
        <f t="shared" si="109"/>
        <v>0</v>
      </c>
      <c r="BT207">
        <f t="shared" si="110"/>
        <v>0</v>
      </c>
      <c r="BU207">
        <f t="shared" si="111"/>
        <v>0</v>
      </c>
      <c r="BV207">
        <f t="shared" si="112"/>
        <v>1</v>
      </c>
    </row>
    <row r="208" spans="1:74" x14ac:dyDescent="0.2">
      <c r="A208" t="s">
        <v>322</v>
      </c>
      <c r="B208" t="s">
        <v>382</v>
      </c>
      <c r="C208">
        <v>60</v>
      </c>
      <c r="F208" t="s">
        <v>318</v>
      </c>
      <c r="G208" t="s">
        <v>320</v>
      </c>
      <c r="H208" s="42" t="s">
        <v>361</v>
      </c>
      <c r="I208" s="42" t="s">
        <v>304</v>
      </c>
      <c r="J208" t="str">
        <f t="shared" si="85"/>
        <v>RACKPDU-RACK-R5-Z2E-R2-03-A</v>
      </c>
      <c r="K208" t="str">
        <f t="shared" si="86"/>
        <v>RACKPDU-RACK-R5-Z2E-R2-03-B</v>
      </c>
      <c r="L208">
        <v>60</v>
      </c>
      <c r="M208">
        <f>VLOOKUP($H208,'Cooling-Rack'!$A$2:$G$265,5,FALSE)</f>
        <v>51</v>
      </c>
      <c r="N208">
        <f>VLOOKUP($H208,'Cooling-Rack'!$A$2:$G$265,7,FALSE)</f>
        <v>9.0000000000000018</v>
      </c>
      <c r="O208">
        <v>72</v>
      </c>
      <c r="P208" s="100">
        <v>0.85</v>
      </c>
      <c r="Q208" s="100">
        <v>0.15000000000000002</v>
      </c>
      <c r="R208" s="44" t="s">
        <v>311</v>
      </c>
      <c r="S208" s="44" t="s">
        <v>312</v>
      </c>
      <c r="T208" s="44" t="s">
        <v>313</v>
      </c>
      <c r="U208" s="44" t="s">
        <v>314</v>
      </c>
      <c r="V208" t="s">
        <v>293</v>
      </c>
      <c r="W208" t="s">
        <v>294</v>
      </c>
      <c r="X208" s="19" t="s">
        <v>80</v>
      </c>
      <c r="Y208" s="19" t="s">
        <v>76</v>
      </c>
      <c r="Z208" s="19" t="s">
        <v>77</v>
      </c>
      <c r="AA208" s="19" t="s">
        <v>74</v>
      </c>
      <c r="AB208" s="19" t="s">
        <v>75</v>
      </c>
      <c r="AC208" s="19" t="s">
        <v>78</v>
      </c>
      <c r="AD208" s="19" t="s">
        <v>79</v>
      </c>
      <c r="AE208" t="s">
        <v>388</v>
      </c>
      <c r="AF208" t="s">
        <v>390</v>
      </c>
      <c r="AG208" t="s">
        <v>393</v>
      </c>
      <c r="AH208" t="s">
        <v>395</v>
      </c>
      <c r="AL208">
        <v>0</v>
      </c>
      <c r="AM208">
        <f t="shared" si="89"/>
        <v>0</v>
      </c>
      <c r="AN208">
        <f t="shared" si="90"/>
        <v>0</v>
      </c>
      <c r="AO208">
        <v>0</v>
      </c>
      <c r="AP208">
        <f t="shared" si="91"/>
        <v>0</v>
      </c>
      <c r="AQ208">
        <f t="shared" si="92"/>
        <v>0</v>
      </c>
      <c r="AS208">
        <f t="shared" si="113"/>
        <v>0</v>
      </c>
      <c r="AT208">
        <f t="shared" si="114"/>
        <v>0</v>
      </c>
      <c r="AX208">
        <v>60</v>
      </c>
      <c r="AY208">
        <f t="shared" si="87"/>
        <v>51</v>
      </c>
      <c r="AZ208">
        <f t="shared" si="93"/>
        <v>9.0000000000000018</v>
      </c>
      <c r="BA208">
        <f t="shared" si="94"/>
        <v>60</v>
      </c>
      <c r="BB208">
        <f t="shared" si="95"/>
        <v>60</v>
      </c>
      <c r="BC208">
        <f t="shared" si="96"/>
        <v>60</v>
      </c>
      <c r="BD208">
        <f t="shared" si="97"/>
        <v>60</v>
      </c>
      <c r="BE208">
        <f t="shared" si="98"/>
        <v>60</v>
      </c>
      <c r="BF208">
        <f t="shared" si="99"/>
        <v>0</v>
      </c>
      <c r="BG208" s="100">
        <f t="shared" si="100"/>
        <v>1</v>
      </c>
      <c r="BH208" s="100">
        <f t="shared" si="101"/>
        <v>1</v>
      </c>
      <c r="BI208" s="100">
        <f t="shared" si="102"/>
        <v>1</v>
      </c>
      <c r="BJ208" s="100">
        <f t="shared" si="103"/>
        <v>1</v>
      </c>
      <c r="BK208" s="100">
        <f t="shared" si="104"/>
        <v>1</v>
      </c>
      <c r="BL208" s="100">
        <f t="shared" si="105"/>
        <v>0</v>
      </c>
      <c r="BM208" s="100"/>
      <c r="BO208" t="s">
        <v>1057</v>
      </c>
      <c r="BP208" s="27">
        <f t="shared" si="106"/>
        <v>56.666666666666664</v>
      </c>
      <c r="BQ208">
        <f t="shared" si="107"/>
        <v>0</v>
      </c>
      <c r="BR208">
        <f t="shared" si="108"/>
        <v>0</v>
      </c>
      <c r="BS208">
        <f t="shared" si="109"/>
        <v>0</v>
      </c>
      <c r="BT208">
        <f t="shared" si="110"/>
        <v>0</v>
      </c>
      <c r="BU208">
        <f t="shared" si="111"/>
        <v>0</v>
      </c>
      <c r="BV208">
        <f t="shared" si="112"/>
        <v>1</v>
      </c>
    </row>
    <row r="209" spans="1:74" x14ac:dyDescent="0.2">
      <c r="A209" t="s">
        <v>322</v>
      </c>
      <c r="B209" t="s">
        <v>382</v>
      </c>
      <c r="C209">
        <v>60</v>
      </c>
      <c r="F209" t="s">
        <v>318</v>
      </c>
      <c r="G209" t="s">
        <v>320</v>
      </c>
      <c r="H209" s="42" t="s">
        <v>362</v>
      </c>
      <c r="I209" s="42" t="s">
        <v>304</v>
      </c>
      <c r="J209" t="str">
        <f t="shared" si="85"/>
        <v>RACKPDU-RACK-R5-Z2E-R2-04-A</v>
      </c>
      <c r="K209" t="str">
        <f t="shared" si="86"/>
        <v>RACKPDU-RACK-R5-Z2E-R2-04-B</v>
      </c>
      <c r="L209">
        <v>60</v>
      </c>
      <c r="M209">
        <f>VLOOKUP($H209,'Cooling-Rack'!$A$2:$G$265,5,FALSE)</f>
        <v>51</v>
      </c>
      <c r="N209">
        <f>VLOOKUP($H209,'Cooling-Rack'!$A$2:$G$265,7,FALSE)</f>
        <v>9.0000000000000018</v>
      </c>
      <c r="O209">
        <v>72</v>
      </c>
      <c r="P209" s="100">
        <v>0.85</v>
      </c>
      <c r="Q209" s="100">
        <v>0.15000000000000002</v>
      </c>
      <c r="R209" s="44" t="s">
        <v>311</v>
      </c>
      <c r="S209" s="44" t="s">
        <v>312</v>
      </c>
      <c r="T209" s="44" t="s">
        <v>313</v>
      </c>
      <c r="U209" s="44" t="s">
        <v>314</v>
      </c>
      <c r="V209" t="s">
        <v>293</v>
      </c>
      <c r="W209" t="s">
        <v>294</v>
      </c>
      <c r="X209" s="19" t="s">
        <v>80</v>
      </c>
      <c r="Y209" s="19" t="s">
        <v>76</v>
      </c>
      <c r="Z209" s="19" t="s">
        <v>77</v>
      </c>
      <c r="AA209" s="19" t="s">
        <v>74</v>
      </c>
      <c r="AB209" s="19" t="s">
        <v>75</v>
      </c>
      <c r="AC209" s="19" t="s">
        <v>78</v>
      </c>
      <c r="AD209" s="19" t="s">
        <v>79</v>
      </c>
      <c r="AE209" t="s">
        <v>388</v>
      </c>
      <c r="AF209" t="s">
        <v>390</v>
      </c>
      <c r="AG209" t="s">
        <v>393</v>
      </c>
      <c r="AH209" t="s">
        <v>395</v>
      </c>
      <c r="AL209">
        <v>0</v>
      </c>
      <c r="AM209">
        <f t="shared" si="89"/>
        <v>0</v>
      </c>
      <c r="AN209">
        <f t="shared" si="90"/>
        <v>0</v>
      </c>
      <c r="AO209">
        <v>0</v>
      </c>
      <c r="AP209">
        <f t="shared" si="91"/>
        <v>0</v>
      </c>
      <c r="AQ209">
        <f t="shared" si="92"/>
        <v>0</v>
      </c>
      <c r="AS209">
        <f t="shared" si="113"/>
        <v>0</v>
      </c>
      <c r="AT209">
        <f t="shared" si="114"/>
        <v>0</v>
      </c>
      <c r="AX209">
        <v>60</v>
      </c>
      <c r="AY209">
        <f t="shared" si="87"/>
        <v>51</v>
      </c>
      <c r="AZ209">
        <f t="shared" si="93"/>
        <v>9.0000000000000018</v>
      </c>
      <c r="BA209">
        <f t="shared" si="94"/>
        <v>60</v>
      </c>
      <c r="BB209">
        <f t="shared" si="95"/>
        <v>60</v>
      </c>
      <c r="BC209">
        <f t="shared" si="96"/>
        <v>60</v>
      </c>
      <c r="BD209">
        <f t="shared" si="97"/>
        <v>60</v>
      </c>
      <c r="BE209">
        <f t="shared" si="98"/>
        <v>60</v>
      </c>
      <c r="BF209">
        <f t="shared" si="99"/>
        <v>0</v>
      </c>
      <c r="BG209" s="100">
        <f t="shared" si="100"/>
        <v>1</v>
      </c>
      <c r="BH209" s="100">
        <f t="shared" si="101"/>
        <v>1</v>
      </c>
      <c r="BI209" s="100">
        <f t="shared" si="102"/>
        <v>1</v>
      </c>
      <c r="BJ209" s="100">
        <f t="shared" si="103"/>
        <v>1</v>
      </c>
      <c r="BK209" s="100">
        <f t="shared" si="104"/>
        <v>1</v>
      </c>
      <c r="BL209" s="100">
        <f t="shared" si="105"/>
        <v>0</v>
      </c>
      <c r="BM209" s="100"/>
      <c r="BO209" t="s">
        <v>1058</v>
      </c>
      <c r="BP209" s="27">
        <f t="shared" si="106"/>
        <v>56.666666666666664</v>
      </c>
      <c r="BQ209">
        <f t="shared" si="107"/>
        <v>0</v>
      </c>
      <c r="BR209">
        <f t="shared" si="108"/>
        <v>0</v>
      </c>
      <c r="BS209">
        <f t="shared" si="109"/>
        <v>0</v>
      </c>
      <c r="BT209">
        <f t="shared" si="110"/>
        <v>0</v>
      </c>
      <c r="BU209">
        <f t="shared" si="111"/>
        <v>0</v>
      </c>
      <c r="BV209">
        <f t="shared" si="112"/>
        <v>1</v>
      </c>
    </row>
    <row r="210" spans="1:74" x14ac:dyDescent="0.2">
      <c r="A210" t="s">
        <v>322</v>
      </c>
      <c r="B210" t="s">
        <v>382</v>
      </c>
      <c r="C210">
        <v>60</v>
      </c>
      <c r="F210" t="s">
        <v>318</v>
      </c>
      <c r="G210" t="s">
        <v>320</v>
      </c>
      <c r="H210" s="42" t="s">
        <v>363</v>
      </c>
      <c r="I210" s="42" t="s">
        <v>304</v>
      </c>
      <c r="J210" t="str">
        <f t="shared" si="85"/>
        <v>RACKPDU-RACK-R5-Z2E-R2-05-A</v>
      </c>
      <c r="K210" t="str">
        <f t="shared" si="86"/>
        <v>RACKPDU-RACK-R5-Z2E-R2-05-B</v>
      </c>
      <c r="L210">
        <v>60</v>
      </c>
      <c r="M210">
        <f>VLOOKUP($H210,'Cooling-Rack'!$A$2:$G$265,5,FALSE)</f>
        <v>51</v>
      </c>
      <c r="N210">
        <f>VLOOKUP($H210,'Cooling-Rack'!$A$2:$G$265,7,FALSE)</f>
        <v>9.0000000000000018</v>
      </c>
      <c r="O210">
        <v>72</v>
      </c>
      <c r="P210" s="100">
        <v>0.85</v>
      </c>
      <c r="Q210" s="100">
        <v>0.15000000000000002</v>
      </c>
      <c r="R210" s="44" t="s">
        <v>311</v>
      </c>
      <c r="S210" s="44" t="s">
        <v>312</v>
      </c>
      <c r="T210" s="44" t="s">
        <v>313</v>
      </c>
      <c r="U210" s="44" t="s">
        <v>314</v>
      </c>
      <c r="V210" t="s">
        <v>293</v>
      </c>
      <c r="W210" t="s">
        <v>294</v>
      </c>
      <c r="X210" s="19" t="s">
        <v>80</v>
      </c>
      <c r="Y210" s="19" t="s">
        <v>76</v>
      </c>
      <c r="Z210" s="19" t="s">
        <v>77</v>
      </c>
      <c r="AA210" s="19" t="s">
        <v>74</v>
      </c>
      <c r="AB210" s="19" t="s">
        <v>75</v>
      </c>
      <c r="AC210" s="19" t="s">
        <v>78</v>
      </c>
      <c r="AD210" s="19" t="s">
        <v>79</v>
      </c>
      <c r="AE210" t="s">
        <v>388</v>
      </c>
      <c r="AF210" t="s">
        <v>390</v>
      </c>
      <c r="AG210" t="s">
        <v>393</v>
      </c>
      <c r="AH210" t="s">
        <v>395</v>
      </c>
      <c r="AL210">
        <v>0</v>
      </c>
      <c r="AM210">
        <f t="shared" si="89"/>
        <v>0</v>
      </c>
      <c r="AN210">
        <f t="shared" si="90"/>
        <v>0</v>
      </c>
      <c r="AO210">
        <v>0</v>
      </c>
      <c r="AP210">
        <f t="shared" si="91"/>
        <v>0</v>
      </c>
      <c r="AQ210">
        <f t="shared" si="92"/>
        <v>0</v>
      </c>
      <c r="AS210">
        <f t="shared" si="113"/>
        <v>0</v>
      </c>
      <c r="AT210">
        <f t="shared" si="114"/>
        <v>0</v>
      </c>
      <c r="AX210">
        <v>60</v>
      </c>
      <c r="AY210">
        <f t="shared" si="87"/>
        <v>51</v>
      </c>
      <c r="AZ210">
        <f t="shared" si="93"/>
        <v>9.0000000000000018</v>
      </c>
      <c r="BA210">
        <f t="shared" si="94"/>
        <v>60</v>
      </c>
      <c r="BB210">
        <f t="shared" si="95"/>
        <v>60</v>
      </c>
      <c r="BC210">
        <f t="shared" si="96"/>
        <v>60</v>
      </c>
      <c r="BD210">
        <f t="shared" si="97"/>
        <v>60</v>
      </c>
      <c r="BE210">
        <f t="shared" si="98"/>
        <v>60</v>
      </c>
      <c r="BF210">
        <f t="shared" si="99"/>
        <v>0</v>
      </c>
      <c r="BG210" s="100">
        <f t="shared" si="100"/>
        <v>1</v>
      </c>
      <c r="BH210" s="100">
        <f t="shared" si="101"/>
        <v>1</v>
      </c>
      <c r="BI210" s="100">
        <f t="shared" si="102"/>
        <v>1</v>
      </c>
      <c r="BJ210" s="100">
        <f t="shared" si="103"/>
        <v>1</v>
      </c>
      <c r="BK210" s="100">
        <f t="shared" si="104"/>
        <v>1</v>
      </c>
      <c r="BL210" s="100">
        <f t="shared" si="105"/>
        <v>0</v>
      </c>
      <c r="BM210" s="100"/>
      <c r="BO210" t="s">
        <v>1059</v>
      </c>
      <c r="BP210" s="27">
        <f t="shared" si="106"/>
        <v>56.666666666666664</v>
      </c>
      <c r="BQ210">
        <f t="shared" si="107"/>
        <v>0</v>
      </c>
      <c r="BR210">
        <f t="shared" si="108"/>
        <v>0</v>
      </c>
      <c r="BS210">
        <f t="shared" si="109"/>
        <v>0</v>
      </c>
      <c r="BT210">
        <f t="shared" si="110"/>
        <v>0</v>
      </c>
      <c r="BU210">
        <f t="shared" si="111"/>
        <v>0</v>
      </c>
      <c r="BV210">
        <f t="shared" si="112"/>
        <v>1</v>
      </c>
    </row>
    <row r="211" spans="1:74" x14ac:dyDescent="0.2">
      <c r="A211" t="s">
        <v>322</v>
      </c>
      <c r="B211" t="s">
        <v>382</v>
      </c>
      <c r="C211">
        <v>60</v>
      </c>
      <c r="F211" t="s">
        <v>318</v>
      </c>
      <c r="G211" t="s">
        <v>320</v>
      </c>
      <c r="H211" s="42" t="s">
        <v>364</v>
      </c>
      <c r="I211" s="42" t="s">
        <v>304</v>
      </c>
      <c r="J211" t="str">
        <f t="shared" si="85"/>
        <v>RACKPDU-RACK-R5-Z2E-R2-06-A</v>
      </c>
      <c r="K211" t="str">
        <f t="shared" si="86"/>
        <v>RACKPDU-RACK-R5-Z2E-R2-06-B</v>
      </c>
      <c r="L211">
        <v>60</v>
      </c>
      <c r="M211">
        <f>VLOOKUP($H211,'Cooling-Rack'!$A$2:$G$265,5,FALSE)</f>
        <v>51</v>
      </c>
      <c r="N211">
        <f>VLOOKUP($H211,'Cooling-Rack'!$A$2:$G$265,7,FALSE)</f>
        <v>9.0000000000000018</v>
      </c>
      <c r="O211">
        <v>72</v>
      </c>
      <c r="P211" s="100">
        <v>0.85</v>
      </c>
      <c r="Q211" s="100">
        <v>0.15000000000000002</v>
      </c>
      <c r="R211" s="44" t="s">
        <v>311</v>
      </c>
      <c r="S211" s="44" t="s">
        <v>312</v>
      </c>
      <c r="T211" s="44" t="s">
        <v>313</v>
      </c>
      <c r="U211" s="44" t="s">
        <v>314</v>
      </c>
      <c r="V211" t="s">
        <v>293</v>
      </c>
      <c r="W211" t="s">
        <v>294</v>
      </c>
      <c r="X211" s="19" t="s">
        <v>80</v>
      </c>
      <c r="Y211" s="19" t="s">
        <v>76</v>
      </c>
      <c r="Z211" s="19" t="s">
        <v>77</v>
      </c>
      <c r="AA211" s="19" t="s">
        <v>74</v>
      </c>
      <c r="AB211" s="19" t="s">
        <v>75</v>
      </c>
      <c r="AC211" s="19" t="s">
        <v>78</v>
      </c>
      <c r="AD211" s="19" t="s">
        <v>79</v>
      </c>
      <c r="AE211" t="s">
        <v>388</v>
      </c>
      <c r="AF211" t="s">
        <v>390</v>
      </c>
      <c r="AG211" t="s">
        <v>393</v>
      </c>
      <c r="AH211" t="s">
        <v>395</v>
      </c>
      <c r="AL211">
        <v>0</v>
      </c>
      <c r="AM211">
        <f t="shared" si="89"/>
        <v>0</v>
      </c>
      <c r="AN211">
        <f t="shared" si="90"/>
        <v>0</v>
      </c>
      <c r="AO211">
        <v>0</v>
      </c>
      <c r="AP211">
        <f t="shared" si="91"/>
        <v>0</v>
      </c>
      <c r="AQ211">
        <f t="shared" si="92"/>
        <v>0</v>
      </c>
      <c r="AS211">
        <f t="shared" si="113"/>
        <v>0</v>
      </c>
      <c r="AT211">
        <f t="shared" si="114"/>
        <v>0</v>
      </c>
      <c r="AX211">
        <v>60</v>
      </c>
      <c r="AY211">
        <f t="shared" si="87"/>
        <v>51</v>
      </c>
      <c r="AZ211">
        <f t="shared" si="93"/>
        <v>9.0000000000000018</v>
      </c>
      <c r="BA211">
        <f t="shared" si="94"/>
        <v>60</v>
      </c>
      <c r="BB211">
        <f t="shared" si="95"/>
        <v>60</v>
      </c>
      <c r="BC211">
        <f t="shared" si="96"/>
        <v>60</v>
      </c>
      <c r="BD211">
        <f t="shared" si="97"/>
        <v>60</v>
      </c>
      <c r="BE211">
        <f t="shared" si="98"/>
        <v>60</v>
      </c>
      <c r="BF211">
        <f t="shared" si="99"/>
        <v>0</v>
      </c>
      <c r="BG211" s="100">
        <f t="shared" si="100"/>
        <v>1</v>
      </c>
      <c r="BH211" s="100">
        <f t="shared" si="101"/>
        <v>1</v>
      </c>
      <c r="BI211" s="100">
        <f t="shared" si="102"/>
        <v>1</v>
      </c>
      <c r="BJ211" s="100">
        <f t="shared" si="103"/>
        <v>1</v>
      </c>
      <c r="BK211" s="100">
        <f t="shared" si="104"/>
        <v>1</v>
      </c>
      <c r="BL211" s="100">
        <f t="shared" si="105"/>
        <v>0</v>
      </c>
      <c r="BM211" s="100"/>
      <c r="BO211" t="s">
        <v>1060</v>
      </c>
      <c r="BP211" s="27">
        <f t="shared" si="106"/>
        <v>56.666666666666664</v>
      </c>
      <c r="BQ211">
        <f t="shared" si="107"/>
        <v>0</v>
      </c>
      <c r="BR211">
        <f t="shared" si="108"/>
        <v>0</v>
      </c>
      <c r="BS211">
        <f t="shared" si="109"/>
        <v>0</v>
      </c>
      <c r="BT211">
        <f t="shared" si="110"/>
        <v>0</v>
      </c>
      <c r="BU211">
        <f t="shared" si="111"/>
        <v>0</v>
      </c>
      <c r="BV211">
        <f t="shared" si="112"/>
        <v>1</v>
      </c>
    </row>
    <row r="212" spans="1:74" x14ac:dyDescent="0.2">
      <c r="A212" t="s">
        <v>322</v>
      </c>
      <c r="B212" t="s">
        <v>382</v>
      </c>
      <c r="C212">
        <v>60</v>
      </c>
      <c r="F212" t="s">
        <v>318</v>
      </c>
      <c r="G212" t="s">
        <v>320</v>
      </c>
      <c r="H212" s="42" t="s">
        <v>365</v>
      </c>
      <c r="I212" s="42" t="s">
        <v>304</v>
      </c>
      <c r="J212" t="str">
        <f t="shared" si="85"/>
        <v>RACKPDU-RACK-R5-Z2E-R2-07-A</v>
      </c>
      <c r="K212" t="str">
        <f t="shared" si="86"/>
        <v>RACKPDU-RACK-R5-Z2E-R2-07-B</v>
      </c>
      <c r="L212">
        <v>60</v>
      </c>
      <c r="M212">
        <f>VLOOKUP($H212,'Cooling-Rack'!$A$2:$G$265,5,FALSE)</f>
        <v>51</v>
      </c>
      <c r="N212">
        <f>VLOOKUP($H212,'Cooling-Rack'!$A$2:$G$265,7,FALSE)</f>
        <v>9.0000000000000018</v>
      </c>
      <c r="O212">
        <v>72</v>
      </c>
      <c r="P212" s="100">
        <v>0.85</v>
      </c>
      <c r="Q212" s="100">
        <v>0.15000000000000002</v>
      </c>
      <c r="R212" s="44" t="s">
        <v>311</v>
      </c>
      <c r="S212" s="44" t="s">
        <v>312</v>
      </c>
      <c r="T212" s="44" t="s">
        <v>313</v>
      </c>
      <c r="U212" s="44" t="s">
        <v>314</v>
      </c>
      <c r="V212" t="s">
        <v>293</v>
      </c>
      <c r="W212" t="s">
        <v>294</v>
      </c>
      <c r="X212" s="19" t="s">
        <v>80</v>
      </c>
      <c r="Y212" s="19" t="s">
        <v>76</v>
      </c>
      <c r="Z212" s="19" t="s">
        <v>77</v>
      </c>
      <c r="AA212" s="19" t="s">
        <v>74</v>
      </c>
      <c r="AB212" s="19" t="s">
        <v>75</v>
      </c>
      <c r="AC212" s="19" t="s">
        <v>78</v>
      </c>
      <c r="AD212" s="19" t="s">
        <v>79</v>
      </c>
      <c r="AE212" t="s">
        <v>388</v>
      </c>
      <c r="AF212" t="s">
        <v>390</v>
      </c>
      <c r="AG212" t="s">
        <v>393</v>
      </c>
      <c r="AH212" t="s">
        <v>395</v>
      </c>
      <c r="AL212">
        <v>0</v>
      </c>
      <c r="AM212">
        <f t="shared" si="89"/>
        <v>0</v>
      </c>
      <c r="AN212">
        <f t="shared" si="90"/>
        <v>0</v>
      </c>
      <c r="AO212">
        <v>0</v>
      </c>
      <c r="AP212">
        <f t="shared" si="91"/>
        <v>0</v>
      </c>
      <c r="AQ212">
        <f t="shared" si="92"/>
        <v>0</v>
      </c>
      <c r="AS212">
        <f t="shared" si="113"/>
        <v>0</v>
      </c>
      <c r="AT212">
        <f t="shared" si="114"/>
        <v>0</v>
      </c>
      <c r="AX212">
        <v>60</v>
      </c>
      <c r="AY212">
        <f t="shared" si="87"/>
        <v>51</v>
      </c>
      <c r="AZ212">
        <f t="shared" si="93"/>
        <v>9.0000000000000018</v>
      </c>
      <c r="BA212">
        <f t="shared" si="94"/>
        <v>60</v>
      </c>
      <c r="BB212">
        <f t="shared" si="95"/>
        <v>60</v>
      </c>
      <c r="BC212">
        <f t="shared" si="96"/>
        <v>60</v>
      </c>
      <c r="BD212">
        <f t="shared" si="97"/>
        <v>60</v>
      </c>
      <c r="BE212">
        <f t="shared" si="98"/>
        <v>60</v>
      </c>
      <c r="BF212">
        <f t="shared" si="99"/>
        <v>0</v>
      </c>
      <c r="BG212" s="100">
        <f t="shared" si="100"/>
        <v>1</v>
      </c>
      <c r="BH212" s="100">
        <f t="shared" si="101"/>
        <v>1</v>
      </c>
      <c r="BI212" s="100">
        <f t="shared" si="102"/>
        <v>1</v>
      </c>
      <c r="BJ212" s="100">
        <f t="shared" si="103"/>
        <v>1</v>
      </c>
      <c r="BK212" s="100">
        <f t="shared" si="104"/>
        <v>1</v>
      </c>
      <c r="BL212" s="100">
        <f t="shared" si="105"/>
        <v>0</v>
      </c>
      <c r="BM212" s="100"/>
      <c r="BO212" t="s">
        <v>1061</v>
      </c>
      <c r="BP212" s="27">
        <f t="shared" si="106"/>
        <v>56.666666666666664</v>
      </c>
      <c r="BQ212">
        <f t="shared" si="107"/>
        <v>0</v>
      </c>
      <c r="BR212">
        <f t="shared" si="108"/>
        <v>0</v>
      </c>
      <c r="BS212">
        <f t="shared" si="109"/>
        <v>0</v>
      </c>
      <c r="BT212">
        <f t="shared" si="110"/>
        <v>0</v>
      </c>
      <c r="BU212">
        <f t="shared" si="111"/>
        <v>0</v>
      </c>
      <c r="BV212">
        <f t="shared" si="112"/>
        <v>1</v>
      </c>
    </row>
    <row r="213" spans="1:74" x14ac:dyDescent="0.2">
      <c r="A213" t="s">
        <v>322</v>
      </c>
      <c r="B213" t="s">
        <v>382</v>
      </c>
      <c r="C213">
        <v>60</v>
      </c>
      <c r="F213" t="s">
        <v>318</v>
      </c>
      <c r="G213" t="s">
        <v>320</v>
      </c>
      <c r="H213" s="42" t="s">
        <v>366</v>
      </c>
      <c r="I213" s="42" t="s">
        <v>304</v>
      </c>
      <c r="J213" t="str">
        <f t="shared" si="85"/>
        <v>RACKPDU-RACK-R5-Z2E-R2-08-A</v>
      </c>
      <c r="K213" t="str">
        <f t="shared" si="86"/>
        <v>RACKPDU-RACK-R5-Z2E-R2-08-B</v>
      </c>
      <c r="L213">
        <v>60</v>
      </c>
      <c r="M213">
        <f>VLOOKUP($H213,'Cooling-Rack'!$A$2:$G$265,5,FALSE)</f>
        <v>51</v>
      </c>
      <c r="N213">
        <f>VLOOKUP($H213,'Cooling-Rack'!$A$2:$G$265,7,FALSE)</f>
        <v>9.0000000000000018</v>
      </c>
      <c r="O213">
        <v>72</v>
      </c>
      <c r="P213" s="100">
        <v>0.85</v>
      </c>
      <c r="Q213" s="100">
        <v>0.15000000000000002</v>
      </c>
      <c r="R213" s="44" t="s">
        <v>311</v>
      </c>
      <c r="S213" s="44" t="s">
        <v>312</v>
      </c>
      <c r="T213" s="44" t="s">
        <v>313</v>
      </c>
      <c r="U213" s="44" t="s">
        <v>314</v>
      </c>
      <c r="V213" t="s">
        <v>293</v>
      </c>
      <c r="W213" t="s">
        <v>294</v>
      </c>
      <c r="X213" s="19" t="s">
        <v>80</v>
      </c>
      <c r="Y213" s="19" t="s">
        <v>76</v>
      </c>
      <c r="Z213" s="19" t="s">
        <v>77</v>
      </c>
      <c r="AA213" s="19" t="s">
        <v>74</v>
      </c>
      <c r="AB213" s="19" t="s">
        <v>75</v>
      </c>
      <c r="AC213" s="19" t="s">
        <v>78</v>
      </c>
      <c r="AD213" s="19" t="s">
        <v>79</v>
      </c>
      <c r="AE213" t="s">
        <v>388</v>
      </c>
      <c r="AF213" t="s">
        <v>390</v>
      </c>
      <c r="AG213" t="s">
        <v>393</v>
      </c>
      <c r="AH213" t="s">
        <v>395</v>
      </c>
      <c r="AL213">
        <v>0</v>
      </c>
      <c r="AM213">
        <f t="shared" si="89"/>
        <v>0</v>
      </c>
      <c r="AN213">
        <f t="shared" si="90"/>
        <v>0</v>
      </c>
      <c r="AO213">
        <v>0</v>
      </c>
      <c r="AP213">
        <f t="shared" si="91"/>
        <v>0</v>
      </c>
      <c r="AQ213">
        <f t="shared" si="92"/>
        <v>0</v>
      </c>
      <c r="AS213">
        <f t="shared" si="113"/>
        <v>0</v>
      </c>
      <c r="AT213">
        <f t="shared" si="114"/>
        <v>0</v>
      </c>
      <c r="AX213">
        <v>60</v>
      </c>
      <c r="AY213">
        <f t="shared" si="87"/>
        <v>51</v>
      </c>
      <c r="AZ213">
        <f t="shared" si="93"/>
        <v>9.0000000000000018</v>
      </c>
      <c r="BA213">
        <f t="shared" si="94"/>
        <v>60</v>
      </c>
      <c r="BB213">
        <f t="shared" si="95"/>
        <v>60</v>
      </c>
      <c r="BC213">
        <f t="shared" si="96"/>
        <v>60</v>
      </c>
      <c r="BD213">
        <f t="shared" si="97"/>
        <v>60</v>
      </c>
      <c r="BE213">
        <f t="shared" si="98"/>
        <v>60</v>
      </c>
      <c r="BF213">
        <f t="shared" si="99"/>
        <v>0</v>
      </c>
      <c r="BG213" s="100">
        <f t="shared" si="100"/>
        <v>1</v>
      </c>
      <c r="BH213" s="100">
        <f t="shared" si="101"/>
        <v>1</v>
      </c>
      <c r="BI213" s="100">
        <f t="shared" si="102"/>
        <v>1</v>
      </c>
      <c r="BJ213" s="100">
        <f t="shared" si="103"/>
        <v>1</v>
      </c>
      <c r="BK213" s="100">
        <f t="shared" si="104"/>
        <v>1</v>
      </c>
      <c r="BL213" s="100">
        <f t="shared" si="105"/>
        <v>0</v>
      </c>
      <c r="BM213" s="100"/>
      <c r="BO213" t="s">
        <v>1062</v>
      </c>
      <c r="BP213" s="27">
        <f t="shared" si="106"/>
        <v>56.666666666666664</v>
      </c>
      <c r="BQ213">
        <f t="shared" si="107"/>
        <v>0</v>
      </c>
      <c r="BR213">
        <f t="shared" si="108"/>
        <v>0</v>
      </c>
      <c r="BS213">
        <f t="shared" si="109"/>
        <v>0</v>
      </c>
      <c r="BT213">
        <f t="shared" si="110"/>
        <v>0</v>
      </c>
      <c r="BU213">
        <f t="shared" si="111"/>
        <v>0</v>
      </c>
      <c r="BV213">
        <f t="shared" si="112"/>
        <v>1</v>
      </c>
    </row>
    <row r="214" spans="1:74" x14ac:dyDescent="0.2">
      <c r="A214" t="s">
        <v>322</v>
      </c>
      <c r="B214" t="s">
        <v>382</v>
      </c>
      <c r="C214">
        <v>60</v>
      </c>
      <c r="F214" t="s">
        <v>318</v>
      </c>
      <c r="G214" t="s">
        <v>320</v>
      </c>
      <c r="H214" s="42" t="s">
        <v>367</v>
      </c>
      <c r="I214" s="42" t="s">
        <v>304</v>
      </c>
      <c r="J214" t="str">
        <f t="shared" si="85"/>
        <v>RACKPDU-RACK-R5-Z2E-R2-09-A</v>
      </c>
      <c r="K214" t="str">
        <f t="shared" si="86"/>
        <v>RACKPDU-RACK-R5-Z2E-R2-09-B</v>
      </c>
      <c r="L214">
        <v>60</v>
      </c>
      <c r="M214">
        <f>VLOOKUP($H214,'Cooling-Rack'!$A$2:$G$265,5,FALSE)</f>
        <v>51</v>
      </c>
      <c r="N214">
        <f>VLOOKUP($H214,'Cooling-Rack'!$A$2:$G$265,7,FALSE)</f>
        <v>9.0000000000000018</v>
      </c>
      <c r="O214">
        <v>72</v>
      </c>
      <c r="P214" s="100">
        <v>0.85</v>
      </c>
      <c r="Q214" s="100">
        <v>0.15000000000000002</v>
      </c>
      <c r="R214" s="44" t="s">
        <v>311</v>
      </c>
      <c r="S214" s="44" t="s">
        <v>312</v>
      </c>
      <c r="T214" s="44" t="s">
        <v>313</v>
      </c>
      <c r="U214" s="44" t="s">
        <v>314</v>
      </c>
      <c r="V214" t="s">
        <v>293</v>
      </c>
      <c r="W214" t="s">
        <v>294</v>
      </c>
      <c r="X214" s="19" t="s">
        <v>80</v>
      </c>
      <c r="Y214" s="19" t="s">
        <v>76</v>
      </c>
      <c r="Z214" s="19" t="s">
        <v>77</v>
      </c>
      <c r="AA214" s="19" t="s">
        <v>74</v>
      </c>
      <c r="AB214" s="19" t="s">
        <v>75</v>
      </c>
      <c r="AC214" s="19" t="s">
        <v>78</v>
      </c>
      <c r="AD214" s="19" t="s">
        <v>79</v>
      </c>
      <c r="AE214" t="s">
        <v>388</v>
      </c>
      <c r="AF214" t="s">
        <v>390</v>
      </c>
      <c r="AG214" t="s">
        <v>393</v>
      </c>
      <c r="AH214" t="s">
        <v>395</v>
      </c>
      <c r="AL214">
        <v>0</v>
      </c>
      <c r="AM214">
        <f t="shared" si="89"/>
        <v>0</v>
      </c>
      <c r="AN214">
        <f t="shared" si="90"/>
        <v>0</v>
      </c>
      <c r="AO214">
        <v>0</v>
      </c>
      <c r="AP214">
        <f t="shared" si="91"/>
        <v>0</v>
      </c>
      <c r="AQ214">
        <f t="shared" si="92"/>
        <v>0</v>
      </c>
      <c r="AS214">
        <f t="shared" si="113"/>
        <v>0</v>
      </c>
      <c r="AT214">
        <f t="shared" si="114"/>
        <v>0</v>
      </c>
      <c r="AX214">
        <v>60</v>
      </c>
      <c r="AY214">
        <f t="shared" si="87"/>
        <v>51</v>
      </c>
      <c r="AZ214">
        <f t="shared" si="93"/>
        <v>9.0000000000000018</v>
      </c>
      <c r="BA214">
        <f t="shared" si="94"/>
        <v>60</v>
      </c>
      <c r="BB214">
        <f t="shared" si="95"/>
        <v>60</v>
      </c>
      <c r="BC214">
        <f t="shared" si="96"/>
        <v>60</v>
      </c>
      <c r="BD214">
        <f t="shared" si="97"/>
        <v>60</v>
      </c>
      <c r="BE214">
        <f t="shared" si="98"/>
        <v>60</v>
      </c>
      <c r="BF214">
        <f t="shared" si="99"/>
        <v>0</v>
      </c>
      <c r="BG214" s="100">
        <f t="shared" si="100"/>
        <v>1</v>
      </c>
      <c r="BH214" s="100">
        <f t="shared" si="101"/>
        <v>1</v>
      </c>
      <c r="BI214" s="100">
        <f t="shared" si="102"/>
        <v>1</v>
      </c>
      <c r="BJ214" s="100">
        <f t="shared" si="103"/>
        <v>1</v>
      </c>
      <c r="BK214" s="100">
        <f t="shared" si="104"/>
        <v>1</v>
      </c>
      <c r="BL214" s="100">
        <f t="shared" si="105"/>
        <v>0</v>
      </c>
      <c r="BM214" s="100"/>
      <c r="BO214" t="s">
        <v>1063</v>
      </c>
      <c r="BP214" s="27">
        <f t="shared" si="106"/>
        <v>56.666666666666664</v>
      </c>
      <c r="BQ214">
        <f t="shared" si="107"/>
        <v>0</v>
      </c>
      <c r="BR214">
        <f t="shared" si="108"/>
        <v>0</v>
      </c>
      <c r="BS214">
        <f t="shared" si="109"/>
        <v>0</v>
      </c>
      <c r="BT214">
        <f t="shared" si="110"/>
        <v>0</v>
      </c>
      <c r="BU214">
        <f t="shared" si="111"/>
        <v>0</v>
      </c>
      <c r="BV214">
        <f t="shared" si="112"/>
        <v>1</v>
      </c>
    </row>
    <row r="215" spans="1:74" x14ac:dyDescent="0.2">
      <c r="A215" t="s">
        <v>322</v>
      </c>
      <c r="B215" t="s">
        <v>382</v>
      </c>
      <c r="C215">
        <v>60</v>
      </c>
      <c r="F215" t="s">
        <v>318</v>
      </c>
      <c r="G215" t="s">
        <v>320</v>
      </c>
      <c r="H215" s="42" t="s">
        <v>368</v>
      </c>
      <c r="I215" s="42" t="s">
        <v>304</v>
      </c>
      <c r="J215" t="str">
        <f t="shared" si="85"/>
        <v>RACKPDU-RACK-R5-Z2E-R2-10-A</v>
      </c>
      <c r="K215" t="str">
        <f t="shared" si="86"/>
        <v>RACKPDU-RACK-R5-Z2E-R2-10-B</v>
      </c>
      <c r="L215">
        <v>60</v>
      </c>
      <c r="M215">
        <f>VLOOKUP($H215,'Cooling-Rack'!$A$2:$G$265,5,FALSE)</f>
        <v>51</v>
      </c>
      <c r="N215">
        <f>VLOOKUP($H215,'Cooling-Rack'!$A$2:$G$265,7,FALSE)</f>
        <v>9.0000000000000018</v>
      </c>
      <c r="O215">
        <v>72</v>
      </c>
      <c r="P215" s="100">
        <v>0.85</v>
      </c>
      <c r="Q215" s="100">
        <v>0.15000000000000002</v>
      </c>
      <c r="R215" s="44" t="s">
        <v>311</v>
      </c>
      <c r="S215" s="44" t="s">
        <v>312</v>
      </c>
      <c r="T215" s="44" t="s">
        <v>313</v>
      </c>
      <c r="U215" s="44" t="s">
        <v>314</v>
      </c>
      <c r="V215" t="s">
        <v>293</v>
      </c>
      <c r="W215" t="s">
        <v>294</v>
      </c>
      <c r="X215" s="19" t="s">
        <v>80</v>
      </c>
      <c r="Y215" s="19" t="s">
        <v>76</v>
      </c>
      <c r="Z215" s="19" t="s">
        <v>77</v>
      </c>
      <c r="AA215" s="19" t="s">
        <v>74</v>
      </c>
      <c r="AB215" s="19" t="s">
        <v>75</v>
      </c>
      <c r="AC215" s="19" t="s">
        <v>78</v>
      </c>
      <c r="AD215" s="19" t="s">
        <v>79</v>
      </c>
      <c r="AE215" t="s">
        <v>388</v>
      </c>
      <c r="AF215" t="s">
        <v>390</v>
      </c>
      <c r="AG215" t="s">
        <v>393</v>
      </c>
      <c r="AH215" t="s">
        <v>395</v>
      </c>
      <c r="AL215">
        <v>0</v>
      </c>
      <c r="AM215">
        <f t="shared" si="89"/>
        <v>0</v>
      </c>
      <c r="AN215">
        <f t="shared" si="90"/>
        <v>0</v>
      </c>
      <c r="AO215">
        <v>0</v>
      </c>
      <c r="AP215">
        <f t="shared" si="91"/>
        <v>0</v>
      </c>
      <c r="AQ215">
        <f t="shared" si="92"/>
        <v>0</v>
      </c>
      <c r="AS215">
        <f t="shared" si="113"/>
        <v>0</v>
      </c>
      <c r="AT215">
        <f t="shared" si="114"/>
        <v>0</v>
      </c>
      <c r="AX215">
        <v>60</v>
      </c>
      <c r="AY215">
        <f t="shared" si="87"/>
        <v>51</v>
      </c>
      <c r="AZ215">
        <f t="shared" si="93"/>
        <v>9.0000000000000018</v>
      </c>
      <c r="BA215">
        <f t="shared" si="94"/>
        <v>60</v>
      </c>
      <c r="BB215">
        <f t="shared" si="95"/>
        <v>60</v>
      </c>
      <c r="BC215">
        <f t="shared" si="96"/>
        <v>60</v>
      </c>
      <c r="BD215">
        <f t="shared" si="97"/>
        <v>60</v>
      </c>
      <c r="BE215">
        <f t="shared" si="98"/>
        <v>60</v>
      </c>
      <c r="BF215">
        <f t="shared" si="99"/>
        <v>0</v>
      </c>
      <c r="BG215" s="100">
        <f t="shared" si="100"/>
        <v>1</v>
      </c>
      <c r="BH215" s="100">
        <f t="shared" si="101"/>
        <v>1</v>
      </c>
      <c r="BI215" s="100">
        <f t="shared" si="102"/>
        <v>1</v>
      </c>
      <c r="BJ215" s="100">
        <f t="shared" si="103"/>
        <v>1</v>
      </c>
      <c r="BK215" s="100">
        <f t="shared" si="104"/>
        <v>1</v>
      </c>
      <c r="BL215" s="100">
        <f t="shared" si="105"/>
        <v>0</v>
      </c>
      <c r="BM215" s="100"/>
      <c r="BO215" t="s">
        <v>1064</v>
      </c>
      <c r="BP215" s="27">
        <f t="shared" si="106"/>
        <v>56.666666666666664</v>
      </c>
      <c r="BQ215">
        <f t="shared" si="107"/>
        <v>0</v>
      </c>
      <c r="BR215">
        <f t="shared" si="108"/>
        <v>0</v>
      </c>
      <c r="BS215">
        <f t="shared" si="109"/>
        <v>0</v>
      </c>
      <c r="BT215">
        <f t="shared" si="110"/>
        <v>0</v>
      </c>
      <c r="BU215">
        <f t="shared" si="111"/>
        <v>0</v>
      </c>
      <c r="BV215">
        <f t="shared" si="112"/>
        <v>1</v>
      </c>
    </row>
    <row r="216" spans="1:74" x14ac:dyDescent="0.2">
      <c r="A216" t="s">
        <v>322</v>
      </c>
      <c r="B216" t="s">
        <v>382</v>
      </c>
      <c r="C216">
        <v>60</v>
      </c>
      <c r="F216" t="s">
        <v>318</v>
      </c>
      <c r="G216" t="s">
        <v>320</v>
      </c>
      <c r="H216" s="42" t="s">
        <v>369</v>
      </c>
      <c r="I216" s="42" t="s">
        <v>304</v>
      </c>
      <c r="J216" t="str">
        <f t="shared" si="85"/>
        <v>RACKPDU-RACK-R5-Z2E-R2-11-A</v>
      </c>
      <c r="K216" t="str">
        <f t="shared" si="86"/>
        <v>RACKPDU-RACK-R5-Z2E-R2-11-B</v>
      </c>
      <c r="L216">
        <v>60</v>
      </c>
      <c r="M216">
        <f>VLOOKUP($H216,'Cooling-Rack'!$A$2:$G$265,5,FALSE)</f>
        <v>51</v>
      </c>
      <c r="N216">
        <f>VLOOKUP($H216,'Cooling-Rack'!$A$2:$G$265,7,FALSE)</f>
        <v>9.0000000000000018</v>
      </c>
      <c r="O216">
        <v>72</v>
      </c>
      <c r="P216" s="100">
        <v>0.85</v>
      </c>
      <c r="Q216" s="100">
        <v>0.15000000000000002</v>
      </c>
      <c r="R216" s="44" t="s">
        <v>311</v>
      </c>
      <c r="S216" s="44" t="s">
        <v>312</v>
      </c>
      <c r="T216" s="44" t="s">
        <v>313</v>
      </c>
      <c r="U216" s="44" t="s">
        <v>314</v>
      </c>
      <c r="V216" t="s">
        <v>293</v>
      </c>
      <c r="W216" t="s">
        <v>294</v>
      </c>
      <c r="X216" s="19" t="s">
        <v>80</v>
      </c>
      <c r="Y216" s="19" t="s">
        <v>76</v>
      </c>
      <c r="Z216" s="19" t="s">
        <v>77</v>
      </c>
      <c r="AA216" s="19" t="s">
        <v>74</v>
      </c>
      <c r="AB216" s="19" t="s">
        <v>75</v>
      </c>
      <c r="AC216" s="19" t="s">
        <v>78</v>
      </c>
      <c r="AD216" s="19" t="s">
        <v>79</v>
      </c>
      <c r="AE216" t="s">
        <v>388</v>
      </c>
      <c r="AF216" t="s">
        <v>390</v>
      </c>
      <c r="AG216" t="s">
        <v>393</v>
      </c>
      <c r="AH216" t="s">
        <v>395</v>
      </c>
      <c r="AL216">
        <v>0</v>
      </c>
      <c r="AM216">
        <f t="shared" si="89"/>
        <v>0</v>
      </c>
      <c r="AN216">
        <f t="shared" si="90"/>
        <v>0</v>
      </c>
      <c r="AO216">
        <v>0</v>
      </c>
      <c r="AP216">
        <f t="shared" si="91"/>
        <v>0</v>
      </c>
      <c r="AQ216">
        <f t="shared" si="92"/>
        <v>0</v>
      </c>
      <c r="AS216">
        <f t="shared" si="113"/>
        <v>0</v>
      </c>
      <c r="AT216">
        <f t="shared" si="114"/>
        <v>0</v>
      </c>
      <c r="AX216">
        <v>60</v>
      </c>
      <c r="AY216">
        <f t="shared" si="87"/>
        <v>51</v>
      </c>
      <c r="AZ216">
        <f t="shared" si="93"/>
        <v>9.0000000000000018</v>
      </c>
      <c r="BA216">
        <f t="shared" si="94"/>
        <v>60</v>
      </c>
      <c r="BB216">
        <f t="shared" si="95"/>
        <v>60</v>
      </c>
      <c r="BC216">
        <f t="shared" si="96"/>
        <v>60</v>
      </c>
      <c r="BD216">
        <f t="shared" si="97"/>
        <v>60</v>
      </c>
      <c r="BE216">
        <f t="shared" si="98"/>
        <v>60</v>
      </c>
      <c r="BF216">
        <f t="shared" si="99"/>
        <v>0</v>
      </c>
      <c r="BG216" s="100">
        <f t="shared" si="100"/>
        <v>1</v>
      </c>
      <c r="BH216" s="100">
        <f t="shared" si="101"/>
        <v>1</v>
      </c>
      <c r="BI216" s="100">
        <f t="shared" si="102"/>
        <v>1</v>
      </c>
      <c r="BJ216" s="100">
        <f t="shared" si="103"/>
        <v>1</v>
      </c>
      <c r="BK216" s="100">
        <f t="shared" si="104"/>
        <v>1</v>
      </c>
      <c r="BL216" s="100">
        <f t="shared" si="105"/>
        <v>0</v>
      </c>
      <c r="BM216" s="100"/>
      <c r="BO216" t="s">
        <v>1065</v>
      </c>
      <c r="BP216" s="27">
        <f t="shared" si="106"/>
        <v>56.666666666666664</v>
      </c>
      <c r="BQ216">
        <f t="shared" si="107"/>
        <v>0</v>
      </c>
      <c r="BR216">
        <f t="shared" si="108"/>
        <v>0</v>
      </c>
      <c r="BS216">
        <f t="shared" si="109"/>
        <v>0</v>
      </c>
      <c r="BT216">
        <f t="shared" si="110"/>
        <v>0</v>
      </c>
      <c r="BU216">
        <f t="shared" si="111"/>
        <v>0</v>
      </c>
      <c r="BV216">
        <f t="shared" si="112"/>
        <v>1</v>
      </c>
    </row>
    <row r="217" spans="1:74" x14ac:dyDescent="0.2">
      <c r="A217" t="s">
        <v>322</v>
      </c>
      <c r="B217" t="s">
        <v>382</v>
      </c>
      <c r="C217">
        <v>60</v>
      </c>
      <c r="F217" t="s">
        <v>318</v>
      </c>
      <c r="G217" t="s">
        <v>320</v>
      </c>
      <c r="H217" s="42" t="s">
        <v>370</v>
      </c>
      <c r="I217" s="42" t="s">
        <v>304</v>
      </c>
      <c r="J217" t="str">
        <f t="shared" si="85"/>
        <v>RACKPDU-RACK-R5-Z2E-R2-12-A</v>
      </c>
      <c r="K217" t="str">
        <f t="shared" si="86"/>
        <v>RACKPDU-RACK-R5-Z2E-R2-12-B</v>
      </c>
      <c r="L217">
        <v>60</v>
      </c>
      <c r="M217">
        <f>VLOOKUP($H217,'Cooling-Rack'!$A$2:$G$265,5,FALSE)</f>
        <v>51</v>
      </c>
      <c r="N217">
        <f>VLOOKUP($H217,'Cooling-Rack'!$A$2:$G$265,7,FALSE)</f>
        <v>9.0000000000000018</v>
      </c>
      <c r="O217">
        <v>72</v>
      </c>
      <c r="P217" s="100">
        <v>0.85</v>
      </c>
      <c r="Q217" s="100">
        <v>0.15000000000000002</v>
      </c>
      <c r="R217" s="44" t="s">
        <v>311</v>
      </c>
      <c r="S217" s="44" t="s">
        <v>312</v>
      </c>
      <c r="T217" s="44" t="s">
        <v>313</v>
      </c>
      <c r="U217" s="44" t="s">
        <v>314</v>
      </c>
      <c r="V217" t="s">
        <v>293</v>
      </c>
      <c r="W217" t="s">
        <v>294</v>
      </c>
      <c r="X217" s="19" t="s">
        <v>80</v>
      </c>
      <c r="Y217" s="19" t="s">
        <v>76</v>
      </c>
      <c r="Z217" s="19" t="s">
        <v>77</v>
      </c>
      <c r="AA217" s="19" t="s">
        <v>74</v>
      </c>
      <c r="AB217" s="19" t="s">
        <v>75</v>
      </c>
      <c r="AC217" s="19" t="s">
        <v>78</v>
      </c>
      <c r="AD217" s="19" t="s">
        <v>79</v>
      </c>
      <c r="AE217" t="s">
        <v>388</v>
      </c>
      <c r="AF217" t="s">
        <v>390</v>
      </c>
      <c r="AG217" t="s">
        <v>393</v>
      </c>
      <c r="AH217" t="s">
        <v>395</v>
      </c>
      <c r="AL217">
        <v>0</v>
      </c>
      <c r="AM217">
        <f t="shared" si="89"/>
        <v>0</v>
      </c>
      <c r="AN217">
        <f t="shared" si="90"/>
        <v>0</v>
      </c>
      <c r="AO217">
        <v>0</v>
      </c>
      <c r="AP217">
        <f t="shared" si="91"/>
        <v>0</v>
      </c>
      <c r="AQ217">
        <f t="shared" si="92"/>
        <v>0</v>
      </c>
      <c r="AS217">
        <f t="shared" si="113"/>
        <v>0</v>
      </c>
      <c r="AT217">
        <f t="shared" si="114"/>
        <v>0</v>
      </c>
      <c r="AX217">
        <v>15</v>
      </c>
      <c r="AY217">
        <f t="shared" si="87"/>
        <v>12.75</v>
      </c>
      <c r="AZ217">
        <f t="shared" si="93"/>
        <v>2.2500000000000004</v>
      </c>
      <c r="BA217">
        <f t="shared" si="94"/>
        <v>60</v>
      </c>
      <c r="BB217">
        <f t="shared" si="95"/>
        <v>60</v>
      </c>
      <c r="BC217">
        <f t="shared" si="96"/>
        <v>60</v>
      </c>
      <c r="BD217">
        <f t="shared" si="97"/>
        <v>60</v>
      </c>
      <c r="BE217">
        <f t="shared" si="98"/>
        <v>60</v>
      </c>
      <c r="BF217">
        <f t="shared" si="99"/>
        <v>45</v>
      </c>
      <c r="BG217" s="100">
        <f t="shared" si="100"/>
        <v>1</v>
      </c>
      <c r="BH217" s="100">
        <f t="shared" si="101"/>
        <v>1</v>
      </c>
      <c r="BI217" s="100">
        <f t="shared" si="102"/>
        <v>1</v>
      </c>
      <c r="BJ217" s="100">
        <f t="shared" si="103"/>
        <v>1</v>
      </c>
      <c r="BK217" s="100">
        <f t="shared" si="104"/>
        <v>1</v>
      </c>
      <c r="BL217" s="100">
        <f t="shared" si="105"/>
        <v>0.75</v>
      </c>
      <c r="BM217" s="100"/>
      <c r="BO217" t="s">
        <v>1066</v>
      </c>
      <c r="BP217" s="27">
        <f t="shared" si="106"/>
        <v>56.666666666666664</v>
      </c>
      <c r="BQ217">
        <f t="shared" si="107"/>
        <v>0</v>
      </c>
      <c r="BR217">
        <f t="shared" si="108"/>
        <v>0</v>
      </c>
      <c r="BS217">
        <f t="shared" si="109"/>
        <v>0</v>
      </c>
      <c r="BT217">
        <f t="shared" si="110"/>
        <v>0</v>
      </c>
      <c r="BU217">
        <f t="shared" si="111"/>
        <v>0</v>
      </c>
      <c r="BV217">
        <f t="shared" si="112"/>
        <v>1</v>
      </c>
    </row>
    <row r="218" spans="1:74" x14ac:dyDescent="0.2">
      <c r="A218" t="s">
        <v>474</v>
      </c>
      <c r="B218" t="s">
        <v>466</v>
      </c>
      <c r="C218">
        <v>15</v>
      </c>
      <c r="F218" t="s">
        <v>397</v>
      </c>
      <c r="G218" t="s">
        <v>446</v>
      </c>
      <c r="H218" s="47" t="s">
        <v>396</v>
      </c>
      <c r="I218" t="s">
        <v>478</v>
      </c>
      <c r="J218" t="s">
        <v>482</v>
      </c>
      <c r="L218">
        <v>15</v>
      </c>
      <c r="M218">
        <f>VLOOKUP($H218,'Cooling-Rack'!$A$2:$G$265,5,FALSE)</f>
        <v>7.5</v>
      </c>
      <c r="N218">
        <f>VLOOKUP($H218,'Cooling-Rack'!$A$2:$G$265,7,FALSE)</f>
        <v>7.5</v>
      </c>
      <c r="O218">
        <v>18</v>
      </c>
      <c r="P218" s="100">
        <v>0.5</v>
      </c>
      <c r="Q218" s="100">
        <v>0.5</v>
      </c>
      <c r="R218" t="s">
        <v>448</v>
      </c>
      <c r="T218" s="44" t="s">
        <v>452</v>
      </c>
      <c r="V218" t="s">
        <v>454</v>
      </c>
      <c r="X218" s="19" t="s">
        <v>80</v>
      </c>
      <c r="Y218" s="19" t="s">
        <v>76</v>
      </c>
      <c r="Z218" s="19" t="s">
        <v>77</v>
      </c>
      <c r="AA218" s="19" t="s">
        <v>74</v>
      </c>
      <c r="AB218" s="19" t="s">
        <v>75</v>
      </c>
      <c r="AC218" s="19" t="s">
        <v>78</v>
      </c>
      <c r="AD218" s="19" t="s">
        <v>79</v>
      </c>
      <c r="AE218" t="s">
        <v>455</v>
      </c>
      <c r="AF218" t="s">
        <v>456</v>
      </c>
      <c r="AG218" t="s">
        <v>457</v>
      </c>
      <c r="AH218" t="s">
        <v>458</v>
      </c>
      <c r="AI218">
        <v>15</v>
      </c>
      <c r="AJ218">
        <f>AI218/L218*M218</f>
        <v>7.5</v>
      </c>
      <c r="AK218">
        <f>AI218/L218*N218</f>
        <v>7.5</v>
      </c>
      <c r="AL218">
        <v>0</v>
      </c>
      <c r="AM218">
        <f t="shared" si="89"/>
        <v>0</v>
      </c>
      <c r="AN218">
        <f t="shared" si="90"/>
        <v>0</v>
      </c>
      <c r="AO218">
        <v>0</v>
      </c>
      <c r="AP218">
        <f t="shared" si="91"/>
        <v>0</v>
      </c>
      <c r="AQ218">
        <f t="shared" si="92"/>
        <v>0</v>
      </c>
      <c r="AS218">
        <f t="shared" si="113"/>
        <v>0</v>
      </c>
      <c r="AT218">
        <f t="shared" si="114"/>
        <v>0</v>
      </c>
      <c r="BM218" t="s">
        <v>803</v>
      </c>
      <c r="BN218" s="121">
        <f>M218/0.9</f>
        <v>8.3333333333333339</v>
      </c>
      <c r="BQ218">
        <f t="shared" si="107"/>
        <v>1</v>
      </c>
      <c r="BR218">
        <f t="shared" si="108"/>
        <v>0</v>
      </c>
      <c r="BS218">
        <f t="shared" si="109"/>
        <v>0</v>
      </c>
      <c r="BT218">
        <f t="shared" si="110"/>
        <v>0</v>
      </c>
      <c r="BU218">
        <f t="shared" si="111"/>
        <v>0</v>
      </c>
      <c r="BV218">
        <f t="shared" si="112"/>
        <v>0</v>
      </c>
    </row>
    <row r="219" spans="1:74" x14ac:dyDescent="0.2">
      <c r="A219" t="s">
        <v>474</v>
      </c>
      <c r="B219" t="s">
        <v>466</v>
      </c>
      <c r="C219">
        <v>15</v>
      </c>
      <c r="F219" t="s">
        <v>397</v>
      </c>
      <c r="G219" t="s">
        <v>446</v>
      </c>
      <c r="H219" s="47" t="s">
        <v>398</v>
      </c>
      <c r="I219" t="s">
        <v>478</v>
      </c>
      <c r="J219" t="s">
        <v>483</v>
      </c>
      <c r="L219">
        <v>15</v>
      </c>
      <c r="M219">
        <f>VLOOKUP($H219,'Cooling-Rack'!$A$2:$G$265,5,FALSE)</f>
        <v>7.5</v>
      </c>
      <c r="N219">
        <f>VLOOKUP($H219,'Cooling-Rack'!$A$2:$G$265,7,FALSE)</f>
        <v>7.5</v>
      </c>
      <c r="O219">
        <v>18</v>
      </c>
      <c r="P219" s="100">
        <v>0.5</v>
      </c>
      <c r="Q219" s="100">
        <v>0.5</v>
      </c>
      <c r="R219" t="s">
        <v>449</v>
      </c>
      <c r="T219" s="44" t="s">
        <v>452</v>
      </c>
      <c r="V219" t="s">
        <v>454</v>
      </c>
      <c r="X219" s="19" t="s">
        <v>80</v>
      </c>
      <c r="Y219" s="19" t="s">
        <v>76</v>
      </c>
      <c r="Z219" s="19" t="s">
        <v>77</v>
      </c>
      <c r="AA219" s="19" t="s">
        <v>74</v>
      </c>
      <c r="AB219" s="19" t="s">
        <v>75</v>
      </c>
      <c r="AC219" s="19" t="s">
        <v>78</v>
      </c>
      <c r="AD219" s="19" t="s">
        <v>79</v>
      </c>
      <c r="AE219" t="s">
        <v>455</v>
      </c>
      <c r="AF219" t="s">
        <v>456</v>
      </c>
      <c r="AG219" t="s">
        <v>457</v>
      </c>
      <c r="AH219" t="s">
        <v>458</v>
      </c>
      <c r="AI219">
        <v>15</v>
      </c>
      <c r="AJ219">
        <f t="shared" ref="AJ219:AJ253" si="115">AI219/L219*M219</f>
        <v>7.5</v>
      </c>
      <c r="AK219">
        <f t="shared" ref="AK219:AK253" si="116">AI219/L219*N219</f>
        <v>7.5</v>
      </c>
      <c r="AL219">
        <v>0</v>
      </c>
      <c r="AM219">
        <f t="shared" si="89"/>
        <v>0</v>
      </c>
      <c r="AN219">
        <f t="shared" si="90"/>
        <v>0</v>
      </c>
      <c r="AO219">
        <v>0</v>
      </c>
      <c r="AP219">
        <f t="shared" si="91"/>
        <v>0</v>
      </c>
      <c r="AQ219">
        <f t="shared" si="92"/>
        <v>0</v>
      </c>
      <c r="AS219">
        <f t="shared" si="113"/>
        <v>0</v>
      </c>
      <c r="AT219">
        <f t="shared" si="114"/>
        <v>0</v>
      </c>
      <c r="BM219" t="s">
        <v>804</v>
      </c>
      <c r="BN219" s="121">
        <f t="shared" ref="BN219:BN241" si="117">M219/0.9</f>
        <v>8.3333333333333339</v>
      </c>
      <c r="BQ219">
        <f t="shared" si="107"/>
        <v>1</v>
      </c>
      <c r="BR219">
        <f t="shared" si="108"/>
        <v>0</v>
      </c>
      <c r="BS219">
        <f t="shared" si="109"/>
        <v>0</v>
      </c>
      <c r="BT219">
        <f t="shared" si="110"/>
        <v>0</v>
      </c>
      <c r="BU219">
        <f t="shared" si="111"/>
        <v>0</v>
      </c>
      <c r="BV219">
        <f t="shared" si="112"/>
        <v>0</v>
      </c>
    </row>
    <row r="220" spans="1:74" x14ac:dyDescent="0.2">
      <c r="A220" t="s">
        <v>474</v>
      </c>
      <c r="B220" t="s">
        <v>466</v>
      </c>
      <c r="C220">
        <v>15</v>
      </c>
      <c r="F220" t="s">
        <v>397</v>
      </c>
      <c r="G220" t="s">
        <v>446</v>
      </c>
      <c r="H220" s="47" t="s">
        <v>399</v>
      </c>
      <c r="I220" t="s">
        <v>478</v>
      </c>
      <c r="J220" t="s">
        <v>484</v>
      </c>
      <c r="L220">
        <v>15</v>
      </c>
      <c r="M220">
        <f>VLOOKUP($H220,'Cooling-Rack'!$A$2:$G$265,5,FALSE)</f>
        <v>7.5</v>
      </c>
      <c r="N220">
        <f>VLOOKUP($H220,'Cooling-Rack'!$A$2:$G$265,7,FALSE)</f>
        <v>7.5</v>
      </c>
      <c r="O220">
        <v>18</v>
      </c>
      <c r="P220" s="100">
        <v>0.5</v>
      </c>
      <c r="Q220" s="100">
        <v>0.5</v>
      </c>
      <c r="R220" t="s">
        <v>450</v>
      </c>
      <c r="T220" s="44" t="s">
        <v>453</v>
      </c>
      <c r="V220" t="s">
        <v>454</v>
      </c>
      <c r="X220" s="19" t="s">
        <v>80</v>
      </c>
      <c r="Y220" s="19" t="s">
        <v>76</v>
      </c>
      <c r="Z220" s="19" t="s">
        <v>77</v>
      </c>
      <c r="AA220" s="19" t="s">
        <v>74</v>
      </c>
      <c r="AB220" s="19" t="s">
        <v>75</v>
      </c>
      <c r="AC220" s="19" t="s">
        <v>78</v>
      </c>
      <c r="AD220" s="19" t="s">
        <v>79</v>
      </c>
      <c r="AE220" t="s">
        <v>455</v>
      </c>
      <c r="AF220" t="s">
        <v>456</v>
      </c>
      <c r="AG220" t="s">
        <v>457</v>
      </c>
      <c r="AH220" t="s">
        <v>458</v>
      </c>
      <c r="AI220">
        <v>15</v>
      </c>
      <c r="AJ220">
        <f t="shared" si="115"/>
        <v>7.5</v>
      </c>
      <c r="AK220">
        <f t="shared" si="116"/>
        <v>7.5</v>
      </c>
      <c r="AL220">
        <v>0</v>
      </c>
      <c r="AM220">
        <f t="shared" si="89"/>
        <v>0</v>
      </c>
      <c r="AN220">
        <f t="shared" si="90"/>
        <v>0</v>
      </c>
      <c r="AO220">
        <v>0</v>
      </c>
      <c r="AP220">
        <f t="shared" si="91"/>
        <v>0</v>
      </c>
      <c r="AQ220">
        <f t="shared" si="92"/>
        <v>0</v>
      </c>
      <c r="AS220">
        <f t="shared" si="113"/>
        <v>0</v>
      </c>
      <c r="AT220">
        <f t="shared" si="114"/>
        <v>0</v>
      </c>
      <c r="BM220" t="s">
        <v>805</v>
      </c>
      <c r="BN220" s="121">
        <f t="shared" si="117"/>
        <v>8.3333333333333339</v>
      </c>
      <c r="BQ220">
        <f t="shared" si="107"/>
        <v>1</v>
      </c>
      <c r="BR220">
        <f t="shared" si="108"/>
        <v>0</v>
      </c>
      <c r="BS220">
        <f t="shared" si="109"/>
        <v>0</v>
      </c>
      <c r="BT220">
        <f t="shared" si="110"/>
        <v>0</v>
      </c>
      <c r="BU220">
        <f t="shared" si="111"/>
        <v>0</v>
      </c>
      <c r="BV220">
        <f t="shared" si="112"/>
        <v>0</v>
      </c>
    </row>
    <row r="221" spans="1:74" x14ac:dyDescent="0.2">
      <c r="A221" t="s">
        <v>474</v>
      </c>
      <c r="B221" t="s">
        <v>466</v>
      </c>
      <c r="C221">
        <v>15</v>
      </c>
      <c r="F221" t="s">
        <v>397</v>
      </c>
      <c r="G221" t="s">
        <v>446</v>
      </c>
      <c r="H221" s="47" t="s">
        <v>400</v>
      </c>
      <c r="I221" t="s">
        <v>478</v>
      </c>
      <c r="J221" t="s">
        <v>485</v>
      </c>
      <c r="L221">
        <v>15</v>
      </c>
      <c r="M221">
        <f>VLOOKUP($H221,'Cooling-Rack'!$A$2:$G$265,5,FALSE)</f>
        <v>7.5</v>
      </c>
      <c r="N221">
        <f>VLOOKUP($H221,'Cooling-Rack'!$A$2:$G$265,7,FALSE)</f>
        <v>7.5</v>
      </c>
      <c r="O221">
        <v>18</v>
      </c>
      <c r="P221" s="100">
        <v>0.5</v>
      </c>
      <c r="Q221" s="100">
        <v>0.5</v>
      </c>
      <c r="R221" t="s">
        <v>451</v>
      </c>
      <c r="T221" s="44" t="s">
        <v>453</v>
      </c>
      <c r="V221" t="s">
        <v>454</v>
      </c>
      <c r="X221" s="19" t="s">
        <v>80</v>
      </c>
      <c r="Y221" s="19" t="s">
        <v>76</v>
      </c>
      <c r="Z221" s="19" t="s">
        <v>77</v>
      </c>
      <c r="AA221" s="19" t="s">
        <v>74</v>
      </c>
      <c r="AB221" s="19" t="s">
        <v>75</v>
      </c>
      <c r="AC221" s="19" t="s">
        <v>78</v>
      </c>
      <c r="AD221" s="19" t="s">
        <v>79</v>
      </c>
      <c r="AE221" t="s">
        <v>455</v>
      </c>
      <c r="AF221" t="s">
        <v>456</v>
      </c>
      <c r="AG221" t="s">
        <v>457</v>
      </c>
      <c r="AH221" t="s">
        <v>458</v>
      </c>
      <c r="AI221">
        <v>15</v>
      </c>
      <c r="AJ221">
        <f t="shared" si="115"/>
        <v>7.5</v>
      </c>
      <c r="AK221">
        <f t="shared" si="116"/>
        <v>7.5</v>
      </c>
      <c r="AL221">
        <v>0</v>
      </c>
      <c r="AM221">
        <f t="shared" si="89"/>
        <v>0</v>
      </c>
      <c r="AN221">
        <f t="shared" si="90"/>
        <v>0</v>
      </c>
      <c r="AO221">
        <v>0</v>
      </c>
      <c r="AP221">
        <f t="shared" si="91"/>
        <v>0</v>
      </c>
      <c r="AQ221">
        <f t="shared" si="92"/>
        <v>0</v>
      </c>
      <c r="AS221">
        <f t="shared" si="113"/>
        <v>0</v>
      </c>
      <c r="AT221">
        <f t="shared" si="114"/>
        <v>0</v>
      </c>
      <c r="BM221" t="s">
        <v>806</v>
      </c>
      <c r="BN221" s="121">
        <f t="shared" si="117"/>
        <v>8.3333333333333339</v>
      </c>
      <c r="BQ221">
        <f t="shared" si="107"/>
        <v>1</v>
      </c>
      <c r="BR221">
        <f t="shared" si="108"/>
        <v>0</v>
      </c>
      <c r="BS221">
        <f t="shared" si="109"/>
        <v>0</v>
      </c>
      <c r="BT221">
        <f t="shared" si="110"/>
        <v>0</v>
      </c>
      <c r="BU221">
        <f t="shared" si="111"/>
        <v>0</v>
      </c>
      <c r="BV221">
        <f t="shared" si="112"/>
        <v>0</v>
      </c>
    </row>
    <row r="222" spans="1:74" x14ac:dyDescent="0.2">
      <c r="A222" t="s">
        <v>474</v>
      </c>
      <c r="B222" t="s">
        <v>466</v>
      </c>
      <c r="C222">
        <v>15</v>
      </c>
      <c r="F222" t="s">
        <v>397</v>
      </c>
      <c r="G222" t="s">
        <v>446</v>
      </c>
      <c r="H222" s="47" t="s">
        <v>401</v>
      </c>
      <c r="I222" t="s">
        <v>478</v>
      </c>
      <c r="J222" t="s">
        <v>486</v>
      </c>
      <c r="L222">
        <v>15</v>
      </c>
      <c r="M222">
        <f>VLOOKUP($H222,'Cooling-Rack'!$A$2:$G$265,5,FALSE)</f>
        <v>7.5</v>
      </c>
      <c r="N222">
        <f>VLOOKUP($H222,'Cooling-Rack'!$A$2:$G$265,7,FALSE)</f>
        <v>7.5</v>
      </c>
      <c r="O222">
        <v>18</v>
      </c>
      <c r="P222" s="100">
        <v>0.5</v>
      </c>
      <c r="Q222" s="100">
        <v>0.5</v>
      </c>
      <c r="R222" t="s">
        <v>448</v>
      </c>
      <c r="T222" s="44" t="s">
        <v>452</v>
      </c>
      <c r="V222" t="s">
        <v>454</v>
      </c>
      <c r="X222" s="19" t="s">
        <v>80</v>
      </c>
      <c r="Y222" s="19" t="s">
        <v>76</v>
      </c>
      <c r="Z222" s="19" t="s">
        <v>77</v>
      </c>
      <c r="AA222" s="19" t="s">
        <v>74</v>
      </c>
      <c r="AB222" s="19" t="s">
        <v>75</v>
      </c>
      <c r="AC222" s="19" t="s">
        <v>78</v>
      </c>
      <c r="AD222" s="19" t="s">
        <v>79</v>
      </c>
      <c r="AE222" t="s">
        <v>455</v>
      </c>
      <c r="AF222" t="s">
        <v>456</v>
      </c>
      <c r="AG222" t="s">
        <v>457</v>
      </c>
      <c r="AH222" t="s">
        <v>458</v>
      </c>
      <c r="AI222">
        <v>15</v>
      </c>
      <c r="AJ222">
        <f t="shared" si="115"/>
        <v>7.5</v>
      </c>
      <c r="AK222">
        <f t="shared" si="116"/>
        <v>7.5</v>
      </c>
      <c r="AL222">
        <v>0</v>
      </c>
      <c r="AM222">
        <f t="shared" si="89"/>
        <v>0</v>
      </c>
      <c r="AN222">
        <f t="shared" si="90"/>
        <v>0</v>
      </c>
      <c r="AO222">
        <v>0</v>
      </c>
      <c r="AP222">
        <f t="shared" si="91"/>
        <v>0</v>
      </c>
      <c r="AQ222">
        <f t="shared" si="92"/>
        <v>0</v>
      </c>
      <c r="AS222">
        <f t="shared" si="113"/>
        <v>0</v>
      </c>
      <c r="AT222">
        <f t="shared" si="114"/>
        <v>0</v>
      </c>
      <c r="BM222" t="s">
        <v>807</v>
      </c>
      <c r="BN222" s="121">
        <f t="shared" si="117"/>
        <v>8.3333333333333339</v>
      </c>
      <c r="BQ222">
        <f t="shared" si="107"/>
        <v>1</v>
      </c>
      <c r="BR222">
        <f t="shared" si="108"/>
        <v>0</v>
      </c>
      <c r="BS222">
        <f t="shared" si="109"/>
        <v>0</v>
      </c>
      <c r="BT222">
        <f t="shared" si="110"/>
        <v>0</v>
      </c>
      <c r="BU222">
        <f t="shared" si="111"/>
        <v>0</v>
      </c>
      <c r="BV222">
        <f t="shared" si="112"/>
        <v>0</v>
      </c>
    </row>
    <row r="223" spans="1:74" x14ac:dyDescent="0.2">
      <c r="A223" t="s">
        <v>474</v>
      </c>
      <c r="B223" t="s">
        <v>466</v>
      </c>
      <c r="C223">
        <v>15</v>
      </c>
      <c r="F223" t="s">
        <v>397</v>
      </c>
      <c r="G223" t="s">
        <v>446</v>
      </c>
      <c r="H223" s="47" t="s">
        <v>402</v>
      </c>
      <c r="I223" t="s">
        <v>478</v>
      </c>
      <c r="J223" t="s">
        <v>487</v>
      </c>
      <c r="L223">
        <v>15</v>
      </c>
      <c r="M223">
        <f>VLOOKUP($H223,'Cooling-Rack'!$A$2:$G$265,5,FALSE)</f>
        <v>7.5</v>
      </c>
      <c r="N223">
        <f>VLOOKUP($H223,'Cooling-Rack'!$A$2:$G$265,7,FALSE)</f>
        <v>7.5</v>
      </c>
      <c r="O223">
        <v>18</v>
      </c>
      <c r="P223" s="100">
        <v>0.5</v>
      </c>
      <c r="Q223" s="100">
        <v>0.5</v>
      </c>
      <c r="R223" t="s">
        <v>449</v>
      </c>
      <c r="T223" s="44" t="s">
        <v>452</v>
      </c>
      <c r="V223" t="s">
        <v>454</v>
      </c>
      <c r="X223" s="19" t="s">
        <v>80</v>
      </c>
      <c r="Y223" s="19" t="s">
        <v>76</v>
      </c>
      <c r="Z223" s="19" t="s">
        <v>77</v>
      </c>
      <c r="AA223" s="19" t="s">
        <v>74</v>
      </c>
      <c r="AB223" s="19" t="s">
        <v>75</v>
      </c>
      <c r="AC223" s="19" t="s">
        <v>78</v>
      </c>
      <c r="AD223" s="19" t="s">
        <v>79</v>
      </c>
      <c r="AE223" t="s">
        <v>455</v>
      </c>
      <c r="AF223" t="s">
        <v>456</v>
      </c>
      <c r="AG223" t="s">
        <v>457</v>
      </c>
      <c r="AH223" t="s">
        <v>458</v>
      </c>
      <c r="AI223">
        <v>15</v>
      </c>
      <c r="AJ223">
        <f t="shared" si="115"/>
        <v>7.5</v>
      </c>
      <c r="AK223">
        <f t="shared" si="116"/>
        <v>7.5</v>
      </c>
      <c r="AL223">
        <v>0</v>
      </c>
      <c r="AM223">
        <f t="shared" si="89"/>
        <v>0</v>
      </c>
      <c r="AN223">
        <f t="shared" si="90"/>
        <v>0</v>
      </c>
      <c r="AO223">
        <v>0</v>
      </c>
      <c r="AP223">
        <f t="shared" si="91"/>
        <v>0</v>
      </c>
      <c r="AQ223">
        <f t="shared" si="92"/>
        <v>0</v>
      </c>
      <c r="AS223">
        <f t="shared" si="113"/>
        <v>0</v>
      </c>
      <c r="AT223">
        <f t="shared" si="114"/>
        <v>0</v>
      </c>
      <c r="BM223" t="s">
        <v>808</v>
      </c>
      <c r="BN223" s="121">
        <f t="shared" si="117"/>
        <v>8.3333333333333339</v>
      </c>
      <c r="BQ223">
        <f t="shared" si="107"/>
        <v>1</v>
      </c>
      <c r="BR223">
        <f t="shared" si="108"/>
        <v>0</v>
      </c>
      <c r="BS223">
        <f t="shared" si="109"/>
        <v>0</v>
      </c>
      <c r="BT223">
        <f t="shared" si="110"/>
        <v>0</v>
      </c>
      <c r="BU223">
        <f t="shared" si="111"/>
        <v>0</v>
      </c>
      <c r="BV223">
        <f t="shared" si="112"/>
        <v>0</v>
      </c>
    </row>
    <row r="224" spans="1:74" x14ac:dyDescent="0.2">
      <c r="A224" t="s">
        <v>474</v>
      </c>
      <c r="B224" t="s">
        <v>467</v>
      </c>
      <c r="C224">
        <v>15</v>
      </c>
      <c r="F224" t="s">
        <v>397</v>
      </c>
      <c r="G224" t="s">
        <v>446</v>
      </c>
      <c r="H224" s="47" t="s">
        <v>403</v>
      </c>
      <c r="I224" t="s">
        <v>478</v>
      </c>
      <c r="J224" t="s">
        <v>488</v>
      </c>
      <c r="L224">
        <v>15</v>
      </c>
      <c r="M224">
        <f>VLOOKUP($H224,'Cooling-Rack'!$A$2:$G$265,5,FALSE)</f>
        <v>7.5</v>
      </c>
      <c r="N224">
        <f>VLOOKUP($H224,'Cooling-Rack'!$A$2:$G$265,7,FALSE)</f>
        <v>7.5</v>
      </c>
      <c r="O224">
        <v>18</v>
      </c>
      <c r="P224" s="100">
        <v>0.5</v>
      </c>
      <c r="Q224" s="100">
        <v>0.5</v>
      </c>
      <c r="R224" t="s">
        <v>450</v>
      </c>
      <c r="T224" s="44" t="s">
        <v>453</v>
      </c>
      <c r="V224" t="s">
        <v>454</v>
      </c>
      <c r="X224" s="19" t="s">
        <v>80</v>
      </c>
      <c r="Y224" s="19" t="s">
        <v>76</v>
      </c>
      <c r="Z224" s="19" t="s">
        <v>77</v>
      </c>
      <c r="AA224" s="19" t="s">
        <v>74</v>
      </c>
      <c r="AB224" s="19" t="s">
        <v>75</v>
      </c>
      <c r="AC224" s="19" t="s">
        <v>78</v>
      </c>
      <c r="AD224" s="19" t="s">
        <v>79</v>
      </c>
      <c r="AE224" t="s">
        <v>455</v>
      </c>
      <c r="AF224" t="s">
        <v>456</v>
      </c>
      <c r="AG224" t="s">
        <v>457</v>
      </c>
      <c r="AH224" t="s">
        <v>458</v>
      </c>
      <c r="AI224">
        <v>10</v>
      </c>
      <c r="AJ224">
        <f t="shared" si="115"/>
        <v>5</v>
      </c>
      <c r="AK224">
        <f t="shared" si="116"/>
        <v>5</v>
      </c>
      <c r="AL224">
        <v>0</v>
      </c>
      <c r="AM224">
        <f t="shared" si="89"/>
        <v>0</v>
      </c>
      <c r="AN224">
        <f t="shared" si="90"/>
        <v>0</v>
      </c>
      <c r="AO224">
        <v>0</v>
      </c>
      <c r="AP224">
        <f t="shared" si="91"/>
        <v>0</v>
      </c>
      <c r="AQ224">
        <f t="shared" si="92"/>
        <v>0</v>
      </c>
      <c r="AS224">
        <f t="shared" si="113"/>
        <v>0</v>
      </c>
      <c r="AT224">
        <f t="shared" si="114"/>
        <v>0</v>
      </c>
      <c r="BM224" t="s">
        <v>809</v>
      </c>
      <c r="BN224" s="121">
        <f t="shared" si="117"/>
        <v>8.3333333333333339</v>
      </c>
      <c r="BQ224">
        <f t="shared" si="107"/>
        <v>1</v>
      </c>
      <c r="BR224">
        <f t="shared" si="108"/>
        <v>0</v>
      </c>
      <c r="BS224">
        <f t="shared" si="109"/>
        <v>0</v>
      </c>
      <c r="BT224">
        <f t="shared" si="110"/>
        <v>0</v>
      </c>
      <c r="BU224">
        <f t="shared" si="111"/>
        <v>0</v>
      </c>
      <c r="BV224">
        <f t="shared" si="112"/>
        <v>0</v>
      </c>
    </row>
    <row r="225" spans="1:74" x14ac:dyDescent="0.2">
      <c r="A225" t="s">
        <v>474</v>
      </c>
      <c r="B225" t="s">
        <v>467</v>
      </c>
      <c r="C225">
        <v>15</v>
      </c>
      <c r="F225" t="s">
        <v>397</v>
      </c>
      <c r="G225" t="s">
        <v>446</v>
      </c>
      <c r="H225" s="47" t="s">
        <v>404</v>
      </c>
      <c r="I225" t="s">
        <v>478</v>
      </c>
      <c r="J225" t="s">
        <v>489</v>
      </c>
      <c r="L225">
        <v>15</v>
      </c>
      <c r="M225">
        <f>VLOOKUP($H225,'Cooling-Rack'!$A$2:$G$265,5,FALSE)</f>
        <v>7.5</v>
      </c>
      <c r="N225">
        <f>VLOOKUP($H225,'Cooling-Rack'!$A$2:$G$265,7,FALSE)</f>
        <v>7.5</v>
      </c>
      <c r="O225">
        <v>18</v>
      </c>
      <c r="P225" s="100">
        <v>0.5</v>
      </c>
      <c r="Q225" s="100">
        <v>0.5</v>
      </c>
      <c r="R225" t="s">
        <v>451</v>
      </c>
      <c r="T225" s="44" t="s">
        <v>453</v>
      </c>
      <c r="V225" t="s">
        <v>454</v>
      </c>
      <c r="X225" s="19" t="s">
        <v>80</v>
      </c>
      <c r="Y225" s="19" t="s">
        <v>76</v>
      </c>
      <c r="Z225" s="19" t="s">
        <v>77</v>
      </c>
      <c r="AA225" s="19" t="s">
        <v>74</v>
      </c>
      <c r="AB225" s="19" t="s">
        <v>75</v>
      </c>
      <c r="AC225" s="19" t="s">
        <v>78</v>
      </c>
      <c r="AD225" s="19" t="s">
        <v>79</v>
      </c>
      <c r="AE225" t="s">
        <v>455</v>
      </c>
      <c r="AF225" t="s">
        <v>456</v>
      </c>
      <c r="AG225" t="s">
        <v>457</v>
      </c>
      <c r="AH225" t="s">
        <v>458</v>
      </c>
      <c r="AI225">
        <v>10</v>
      </c>
      <c r="AJ225">
        <f t="shared" si="115"/>
        <v>5</v>
      </c>
      <c r="AK225">
        <f t="shared" si="116"/>
        <v>5</v>
      </c>
      <c r="AL225">
        <v>0</v>
      </c>
      <c r="AM225">
        <f t="shared" si="89"/>
        <v>0</v>
      </c>
      <c r="AN225">
        <f t="shared" si="90"/>
        <v>0</v>
      </c>
      <c r="AO225">
        <v>0</v>
      </c>
      <c r="AP225">
        <f t="shared" si="91"/>
        <v>0</v>
      </c>
      <c r="AQ225">
        <f t="shared" si="92"/>
        <v>0</v>
      </c>
      <c r="AS225">
        <f t="shared" si="113"/>
        <v>0</v>
      </c>
      <c r="AT225">
        <f t="shared" si="114"/>
        <v>0</v>
      </c>
      <c r="BM225" t="s">
        <v>810</v>
      </c>
      <c r="BN225" s="121">
        <f t="shared" si="117"/>
        <v>8.3333333333333339</v>
      </c>
      <c r="BQ225">
        <f t="shared" si="107"/>
        <v>1</v>
      </c>
      <c r="BR225">
        <f t="shared" si="108"/>
        <v>0</v>
      </c>
      <c r="BS225">
        <f t="shared" si="109"/>
        <v>0</v>
      </c>
      <c r="BT225">
        <f t="shared" si="110"/>
        <v>0</v>
      </c>
      <c r="BU225">
        <f t="shared" si="111"/>
        <v>0</v>
      </c>
      <c r="BV225">
        <f t="shared" si="112"/>
        <v>0</v>
      </c>
    </row>
    <row r="226" spans="1:74" x14ac:dyDescent="0.2">
      <c r="A226" t="s">
        <v>474</v>
      </c>
      <c r="B226" t="s">
        <v>467</v>
      </c>
      <c r="C226">
        <v>15</v>
      </c>
      <c r="F226" t="s">
        <v>397</v>
      </c>
      <c r="G226" t="s">
        <v>446</v>
      </c>
      <c r="H226" s="47" t="s">
        <v>405</v>
      </c>
      <c r="I226" t="s">
        <v>478</v>
      </c>
      <c r="J226" t="s">
        <v>490</v>
      </c>
      <c r="L226">
        <v>15</v>
      </c>
      <c r="M226">
        <f>VLOOKUP($H226,'Cooling-Rack'!$A$2:$G$265,5,FALSE)</f>
        <v>7.5</v>
      </c>
      <c r="N226">
        <f>VLOOKUP($H226,'Cooling-Rack'!$A$2:$G$265,7,FALSE)</f>
        <v>7.5</v>
      </c>
      <c r="O226">
        <v>18</v>
      </c>
      <c r="P226" s="100">
        <v>0.5</v>
      </c>
      <c r="Q226" s="100">
        <v>0.5</v>
      </c>
      <c r="R226" t="s">
        <v>448</v>
      </c>
      <c r="T226" s="44" t="s">
        <v>452</v>
      </c>
      <c r="V226" t="s">
        <v>454</v>
      </c>
      <c r="X226" s="19" t="s">
        <v>80</v>
      </c>
      <c r="Y226" s="19" t="s">
        <v>76</v>
      </c>
      <c r="Z226" s="19" t="s">
        <v>77</v>
      </c>
      <c r="AA226" s="19" t="s">
        <v>74</v>
      </c>
      <c r="AB226" s="19" t="s">
        <v>75</v>
      </c>
      <c r="AC226" s="19" t="s">
        <v>78</v>
      </c>
      <c r="AD226" s="19" t="s">
        <v>79</v>
      </c>
      <c r="AE226" t="s">
        <v>455</v>
      </c>
      <c r="AF226" t="s">
        <v>456</v>
      </c>
      <c r="AG226" t="s">
        <v>457</v>
      </c>
      <c r="AH226" t="s">
        <v>458</v>
      </c>
      <c r="AI226">
        <v>10</v>
      </c>
      <c r="AJ226">
        <f t="shared" si="115"/>
        <v>5</v>
      </c>
      <c r="AK226">
        <f t="shared" si="116"/>
        <v>5</v>
      </c>
      <c r="AL226">
        <v>0</v>
      </c>
      <c r="AM226">
        <f t="shared" si="89"/>
        <v>0</v>
      </c>
      <c r="AN226">
        <f t="shared" si="90"/>
        <v>0</v>
      </c>
      <c r="AO226">
        <v>0</v>
      </c>
      <c r="AP226">
        <f t="shared" si="91"/>
        <v>0</v>
      </c>
      <c r="AQ226">
        <f t="shared" si="92"/>
        <v>0</v>
      </c>
      <c r="AS226">
        <f t="shared" si="113"/>
        <v>0</v>
      </c>
      <c r="AT226">
        <f t="shared" si="114"/>
        <v>0</v>
      </c>
      <c r="BM226" t="s">
        <v>811</v>
      </c>
      <c r="BN226" s="121">
        <f t="shared" si="117"/>
        <v>8.3333333333333339</v>
      </c>
      <c r="BQ226">
        <f t="shared" si="107"/>
        <v>1</v>
      </c>
      <c r="BR226">
        <f t="shared" si="108"/>
        <v>0</v>
      </c>
      <c r="BS226">
        <f t="shared" si="109"/>
        <v>0</v>
      </c>
      <c r="BT226">
        <f t="shared" si="110"/>
        <v>0</v>
      </c>
      <c r="BU226">
        <f t="shared" si="111"/>
        <v>0</v>
      </c>
      <c r="BV226">
        <f t="shared" si="112"/>
        <v>0</v>
      </c>
    </row>
    <row r="227" spans="1:74" x14ac:dyDescent="0.2">
      <c r="A227" t="s">
        <v>474</v>
      </c>
      <c r="B227" t="s">
        <v>467</v>
      </c>
      <c r="C227">
        <v>15</v>
      </c>
      <c r="F227" t="s">
        <v>397</v>
      </c>
      <c r="G227" t="s">
        <v>446</v>
      </c>
      <c r="H227" s="47" t="s">
        <v>406</v>
      </c>
      <c r="I227" t="s">
        <v>478</v>
      </c>
      <c r="J227" t="s">
        <v>491</v>
      </c>
      <c r="L227">
        <v>15</v>
      </c>
      <c r="M227">
        <f>VLOOKUP($H227,'Cooling-Rack'!$A$2:$G$265,5,FALSE)</f>
        <v>7.5</v>
      </c>
      <c r="N227">
        <f>VLOOKUP($H227,'Cooling-Rack'!$A$2:$G$265,7,FALSE)</f>
        <v>7.5</v>
      </c>
      <c r="O227">
        <v>18</v>
      </c>
      <c r="P227" s="100">
        <v>0.5</v>
      </c>
      <c r="Q227" s="100">
        <v>0.5</v>
      </c>
      <c r="R227" t="s">
        <v>449</v>
      </c>
      <c r="T227" s="44" t="s">
        <v>452</v>
      </c>
      <c r="V227" t="s">
        <v>454</v>
      </c>
      <c r="X227" s="19" t="s">
        <v>80</v>
      </c>
      <c r="Y227" s="19" t="s">
        <v>76</v>
      </c>
      <c r="Z227" s="19" t="s">
        <v>77</v>
      </c>
      <c r="AA227" s="19" t="s">
        <v>74</v>
      </c>
      <c r="AB227" s="19" t="s">
        <v>75</v>
      </c>
      <c r="AC227" s="19" t="s">
        <v>78</v>
      </c>
      <c r="AD227" s="19" t="s">
        <v>79</v>
      </c>
      <c r="AE227" t="s">
        <v>455</v>
      </c>
      <c r="AF227" t="s">
        <v>456</v>
      </c>
      <c r="AG227" t="s">
        <v>457</v>
      </c>
      <c r="AH227" t="s">
        <v>458</v>
      </c>
      <c r="AI227">
        <v>10</v>
      </c>
      <c r="AJ227">
        <f t="shared" si="115"/>
        <v>5</v>
      </c>
      <c r="AK227">
        <f t="shared" si="116"/>
        <v>5</v>
      </c>
      <c r="AL227">
        <v>0</v>
      </c>
      <c r="AM227">
        <f t="shared" si="89"/>
        <v>0</v>
      </c>
      <c r="AN227">
        <f t="shared" si="90"/>
        <v>0</v>
      </c>
      <c r="AO227">
        <v>0</v>
      </c>
      <c r="AP227">
        <f t="shared" si="91"/>
        <v>0</v>
      </c>
      <c r="AQ227">
        <f t="shared" si="92"/>
        <v>0</v>
      </c>
      <c r="AS227">
        <f t="shared" si="113"/>
        <v>0</v>
      </c>
      <c r="AT227">
        <f t="shared" si="114"/>
        <v>0</v>
      </c>
      <c r="BM227" t="s">
        <v>812</v>
      </c>
      <c r="BN227" s="121">
        <f t="shared" si="117"/>
        <v>8.3333333333333339</v>
      </c>
      <c r="BQ227">
        <f t="shared" si="107"/>
        <v>1</v>
      </c>
      <c r="BR227">
        <f t="shared" si="108"/>
        <v>0</v>
      </c>
      <c r="BS227">
        <f t="shared" si="109"/>
        <v>0</v>
      </c>
      <c r="BT227">
        <f t="shared" si="110"/>
        <v>0</v>
      </c>
      <c r="BU227">
        <f t="shared" si="111"/>
        <v>0</v>
      </c>
      <c r="BV227">
        <f t="shared" si="112"/>
        <v>0</v>
      </c>
    </row>
    <row r="228" spans="1:74" x14ac:dyDescent="0.2">
      <c r="A228" t="s">
        <v>474</v>
      </c>
      <c r="B228" t="s">
        <v>467</v>
      </c>
      <c r="C228">
        <v>15</v>
      </c>
      <c r="F228" t="s">
        <v>397</v>
      </c>
      <c r="G228" t="s">
        <v>446</v>
      </c>
      <c r="H228" s="47" t="s">
        <v>407</v>
      </c>
      <c r="I228" t="s">
        <v>478</v>
      </c>
      <c r="J228" t="s">
        <v>492</v>
      </c>
      <c r="L228">
        <v>15</v>
      </c>
      <c r="M228">
        <f>VLOOKUP($H228,'Cooling-Rack'!$A$2:$G$265,5,FALSE)</f>
        <v>7.5</v>
      </c>
      <c r="N228">
        <f>VLOOKUP($H228,'Cooling-Rack'!$A$2:$G$265,7,FALSE)</f>
        <v>7.5</v>
      </c>
      <c r="O228">
        <v>18</v>
      </c>
      <c r="P228" s="100">
        <v>0.5</v>
      </c>
      <c r="Q228" s="100">
        <v>0.5</v>
      </c>
      <c r="R228" t="s">
        <v>450</v>
      </c>
      <c r="T228" s="44" t="s">
        <v>453</v>
      </c>
      <c r="V228" t="s">
        <v>454</v>
      </c>
      <c r="X228" s="19" t="s">
        <v>80</v>
      </c>
      <c r="Y228" s="19" t="s">
        <v>76</v>
      </c>
      <c r="Z228" s="19" t="s">
        <v>77</v>
      </c>
      <c r="AA228" s="19" t="s">
        <v>74</v>
      </c>
      <c r="AB228" s="19" t="s">
        <v>75</v>
      </c>
      <c r="AC228" s="19" t="s">
        <v>78</v>
      </c>
      <c r="AD228" s="19" t="s">
        <v>79</v>
      </c>
      <c r="AE228" t="s">
        <v>455</v>
      </c>
      <c r="AF228" t="s">
        <v>456</v>
      </c>
      <c r="AG228" t="s">
        <v>457</v>
      </c>
      <c r="AH228" t="s">
        <v>458</v>
      </c>
      <c r="AI228">
        <v>10</v>
      </c>
      <c r="AJ228">
        <f t="shared" si="115"/>
        <v>5</v>
      </c>
      <c r="AK228">
        <f t="shared" si="116"/>
        <v>5</v>
      </c>
      <c r="AL228">
        <v>0</v>
      </c>
      <c r="AM228">
        <f t="shared" si="89"/>
        <v>0</v>
      </c>
      <c r="AN228">
        <f t="shared" si="90"/>
        <v>0</v>
      </c>
      <c r="AO228">
        <v>0</v>
      </c>
      <c r="AP228">
        <f t="shared" si="91"/>
        <v>0</v>
      </c>
      <c r="AQ228">
        <f t="shared" si="92"/>
        <v>0</v>
      </c>
      <c r="AS228">
        <f t="shared" si="113"/>
        <v>0</v>
      </c>
      <c r="AT228">
        <f t="shared" si="114"/>
        <v>0</v>
      </c>
      <c r="BM228" t="s">
        <v>813</v>
      </c>
      <c r="BN228" s="121">
        <f t="shared" si="117"/>
        <v>8.3333333333333339</v>
      </c>
      <c r="BQ228">
        <f t="shared" si="107"/>
        <v>1</v>
      </c>
      <c r="BR228">
        <f t="shared" si="108"/>
        <v>0</v>
      </c>
      <c r="BS228">
        <f t="shared" si="109"/>
        <v>0</v>
      </c>
      <c r="BT228">
        <f t="shared" si="110"/>
        <v>0</v>
      </c>
      <c r="BU228">
        <f t="shared" si="111"/>
        <v>0</v>
      </c>
      <c r="BV228">
        <f t="shared" si="112"/>
        <v>0</v>
      </c>
    </row>
    <row r="229" spans="1:74" x14ac:dyDescent="0.2">
      <c r="A229" t="s">
        <v>474</v>
      </c>
      <c r="B229" t="s">
        <v>467</v>
      </c>
      <c r="C229">
        <v>15</v>
      </c>
      <c r="F229" t="s">
        <v>397</v>
      </c>
      <c r="G229" t="s">
        <v>446</v>
      </c>
      <c r="H229" s="47" t="s">
        <v>408</v>
      </c>
      <c r="I229" t="s">
        <v>478</v>
      </c>
      <c r="J229" t="s">
        <v>493</v>
      </c>
      <c r="L229">
        <v>15</v>
      </c>
      <c r="M229">
        <f>VLOOKUP($H229,'Cooling-Rack'!$A$2:$G$265,5,FALSE)</f>
        <v>7.5</v>
      </c>
      <c r="N229">
        <f>VLOOKUP($H229,'Cooling-Rack'!$A$2:$G$265,7,FALSE)</f>
        <v>7.5</v>
      </c>
      <c r="O229">
        <v>18</v>
      </c>
      <c r="P229" s="100">
        <v>0.5</v>
      </c>
      <c r="Q229" s="100">
        <v>0.5</v>
      </c>
      <c r="R229" t="s">
        <v>451</v>
      </c>
      <c r="T229" s="44" t="s">
        <v>453</v>
      </c>
      <c r="V229" t="s">
        <v>454</v>
      </c>
      <c r="X229" s="19" t="s">
        <v>80</v>
      </c>
      <c r="Y229" s="19" t="s">
        <v>76</v>
      </c>
      <c r="Z229" s="19" t="s">
        <v>77</v>
      </c>
      <c r="AA229" s="19" t="s">
        <v>74</v>
      </c>
      <c r="AB229" s="19" t="s">
        <v>75</v>
      </c>
      <c r="AC229" s="19" t="s">
        <v>78</v>
      </c>
      <c r="AD229" s="19" t="s">
        <v>79</v>
      </c>
      <c r="AE229" t="s">
        <v>455</v>
      </c>
      <c r="AF229" t="s">
        <v>456</v>
      </c>
      <c r="AG229" t="s">
        <v>457</v>
      </c>
      <c r="AH229" t="s">
        <v>458</v>
      </c>
      <c r="AI229">
        <v>10</v>
      </c>
      <c r="AJ229">
        <f t="shared" si="115"/>
        <v>5</v>
      </c>
      <c r="AK229">
        <f t="shared" si="116"/>
        <v>5</v>
      </c>
      <c r="AL229">
        <v>0</v>
      </c>
      <c r="AM229">
        <f t="shared" si="89"/>
        <v>0</v>
      </c>
      <c r="AN229">
        <f t="shared" si="90"/>
        <v>0</v>
      </c>
      <c r="AO229">
        <v>0</v>
      </c>
      <c r="AP229">
        <f t="shared" si="91"/>
        <v>0</v>
      </c>
      <c r="AQ229">
        <f t="shared" si="92"/>
        <v>0</v>
      </c>
      <c r="AS229">
        <f t="shared" si="113"/>
        <v>0</v>
      </c>
      <c r="AT229">
        <f t="shared" si="114"/>
        <v>0</v>
      </c>
      <c r="BM229" t="s">
        <v>814</v>
      </c>
      <c r="BN229" s="121">
        <f t="shared" si="117"/>
        <v>8.3333333333333339</v>
      </c>
      <c r="BQ229">
        <f t="shared" si="107"/>
        <v>1</v>
      </c>
      <c r="BR229">
        <f t="shared" si="108"/>
        <v>0</v>
      </c>
      <c r="BS229">
        <f t="shared" si="109"/>
        <v>0</v>
      </c>
      <c r="BT229">
        <f t="shared" si="110"/>
        <v>0</v>
      </c>
      <c r="BU229">
        <f t="shared" si="111"/>
        <v>0</v>
      </c>
      <c r="BV229">
        <f t="shared" si="112"/>
        <v>0</v>
      </c>
    </row>
    <row r="230" spans="1:74" x14ac:dyDescent="0.2">
      <c r="A230" t="s">
        <v>475</v>
      </c>
      <c r="B230" t="s">
        <v>468</v>
      </c>
      <c r="C230">
        <v>15</v>
      </c>
      <c r="F230" t="s">
        <v>397</v>
      </c>
      <c r="G230" t="s">
        <v>446</v>
      </c>
      <c r="H230" s="47" t="s">
        <v>409</v>
      </c>
      <c r="I230" t="s">
        <v>479</v>
      </c>
      <c r="J230" t="s">
        <v>494</v>
      </c>
      <c r="L230">
        <v>15</v>
      </c>
      <c r="M230">
        <f>VLOOKUP($H230,'Cooling-Rack'!$A$2:$G$265,5,FALSE)</f>
        <v>7.5</v>
      </c>
      <c r="N230">
        <f>VLOOKUP($H230,'Cooling-Rack'!$A$2:$G$265,7,FALSE)</f>
        <v>7.5</v>
      </c>
      <c r="O230">
        <v>18</v>
      </c>
      <c r="P230" s="100">
        <v>0.5</v>
      </c>
      <c r="Q230" s="100">
        <v>0.5</v>
      </c>
      <c r="R230" t="s">
        <v>448</v>
      </c>
      <c r="T230" s="44" t="s">
        <v>452</v>
      </c>
      <c r="V230" t="s">
        <v>454</v>
      </c>
      <c r="X230" s="19" t="s">
        <v>80</v>
      </c>
      <c r="Y230" s="19" t="s">
        <v>76</v>
      </c>
      <c r="Z230" s="19" t="s">
        <v>77</v>
      </c>
      <c r="AA230" s="19" t="s">
        <v>74</v>
      </c>
      <c r="AB230" s="19" t="s">
        <v>75</v>
      </c>
      <c r="AC230" s="19" t="s">
        <v>78</v>
      </c>
      <c r="AD230" s="19" t="s">
        <v>79</v>
      </c>
      <c r="AE230" t="s">
        <v>455</v>
      </c>
      <c r="AF230" t="s">
        <v>456</v>
      </c>
      <c r="AG230" t="s">
        <v>457</v>
      </c>
      <c r="AH230" t="s">
        <v>458</v>
      </c>
      <c r="AI230">
        <v>15</v>
      </c>
      <c r="AJ230">
        <f t="shared" si="115"/>
        <v>7.5</v>
      </c>
      <c r="AK230">
        <f t="shared" si="116"/>
        <v>7.5</v>
      </c>
      <c r="AL230">
        <v>0</v>
      </c>
      <c r="AM230">
        <f t="shared" si="89"/>
        <v>0</v>
      </c>
      <c r="AN230">
        <f t="shared" si="90"/>
        <v>0</v>
      </c>
      <c r="AO230">
        <v>0</v>
      </c>
      <c r="AP230">
        <f t="shared" si="91"/>
        <v>0</v>
      </c>
      <c r="AQ230">
        <f t="shared" si="92"/>
        <v>0</v>
      </c>
      <c r="AS230">
        <f t="shared" si="113"/>
        <v>0</v>
      </c>
      <c r="AT230">
        <f t="shared" si="114"/>
        <v>0</v>
      </c>
      <c r="BM230" t="s">
        <v>815</v>
      </c>
      <c r="BN230" s="121">
        <f t="shared" si="117"/>
        <v>8.3333333333333339</v>
      </c>
      <c r="BQ230">
        <f t="shared" si="107"/>
        <v>1</v>
      </c>
      <c r="BR230">
        <f t="shared" si="108"/>
        <v>0</v>
      </c>
      <c r="BS230">
        <f t="shared" si="109"/>
        <v>0</v>
      </c>
      <c r="BT230">
        <f t="shared" si="110"/>
        <v>0</v>
      </c>
      <c r="BU230">
        <f t="shared" si="111"/>
        <v>0</v>
      </c>
      <c r="BV230">
        <f t="shared" si="112"/>
        <v>0</v>
      </c>
    </row>
    <row r="231" spans="1:74" x14ac:dyDescent="0.2">
      <c r="A231" t="s">
        <v>475</v>
      </c>
      <c r="B231" t="s">
        <v>468</v>
      </c>
      <c r="C231">
        <v>15</v>
      </c>
      <c r="F231" t="s">
        <v>397</v>
      </c>
      <c r="G231" t="s">
        <v>446</v>
      </c>
      <c r="H231" s="47" t="s">
        <v>410</v>
      </c>
      <c r="I231" t="s">
        <v>479</v>
      </c>
      <c r="J231" t="s">
        <v>495</v>
      </c>
      <c r="L231">
        <v>15</v>
      </c>
      <c r="M231">
        <f>VLOOKUP($H231,'Cooling-Rack'!$A$2:$G$265,5,FALSE)</f>
        <v>7.5</v>
      </c>
      <c r="N231">
        <f>VLOOKUP($H231,'Cooling-Rack'!$A$2:$G$265,7,FALSE)</f>
        <v>7.5</v>
      </c>
      <c r="O231">
        <v>18</v>
      </c>
      <c r="P231" s="100">
        <v>0.5</v>
      </c>
      <c r="Q231" s="100">
        <v>0.5</v>
      </c>
      <c r="R231" t="s">
        <v>449</v>
      </c>
      <c r="T231" s="44" t="s">
        <v>452</v>
      </c>
      <c r="V231" t="s">
        <v>454</v>
      </c>
      <c r="X231" s="19" t="s">
        <v>80</v>
      </c>
      <c r="Y231" s="19" t="s">
        <v>76</v>
      </c>
      <c r="Z231" s="19" t="s">
        <v>77</v>
      </c>
      <c r="AA231" s="19" t="s">
        <v>74</v>
      </c>
      <c r="AB231" s="19" t="s">
        <v>75</v>
      </c>
      <c r="AC231" s="19" t="s">
        <v>78</v>
      </c>
      <c r="AD231" s="19" t="s">
        <v>79</v>
      </c>
      <c r="AE231" t="s">
        <v>455</v>
      </c>
      <c r="AF231" t="s">
        <v>456</v>
      </c>
      <c r="AG231" t="s">
        <v>457</v>
      </c>
      <c r="AH231" t="s">
        <v>458</v>
      </c>
      <c r="AI231">
        <v>15</v>
      </c>
      <c r="AJ231">
        <f t="shared" si="115"/>
        <v>7.5</v>
      </c>
      <c r="AK231">
        <f t="shared" si="116"/>
        <v>7.5</v>
      </c>
      <c r="AL231">
        <v>0</v>
      </c>
      <c r="AM231">
        <f t="shared" si="89"/>
        <v>0</v>
      </c>
      <c r="AN231">
        <f t="shared" si="90"/>
        <v>0</v>
      </c>
      <c r="AO231">
        <v>0</v>
      </c>
      <c r="AP231">
        <f t="shared" si="91"/>
        <v>0</v>
      </c>
      <c r="AQ231">
        <f t="shared" si="92"/>
        <v>0</v>
      </c>
      <c r="AS231">
        <f t="shared" si="113"/>
        <v>0</v>
      </c>
      <c r="AT231">
        <f t="shared" si="114"/>
        <v>0</v>
      </c>
      <c r="BM231" t="s">
        <v>816</v>
      </c>
      <c r="BN231" s="121">
        <f t="shared" si="117"/>
        <v>8.3333333333333339</v>
      </c>
      <c r="BQ231">
        <f t="shared" si="107"/>
        <v>1</v>
      </c>
      <c r="BR231">
        <f t="shared" si="108"/>
        <v>0</v>
      </c>
      <c r="BS231">
        <f t="shared" si="109"/>
        <v>0</v>
      </c>
      <c r="BT231">
        <f t="shared" si="110"/>
        <v>0</v>
      </c>
      <c r="BU231">
        <f t="shared" si="111"/>
        <v>0</v>
      </c>
      <c r="BV231">
        <f t="shared" si="112"/>
        <v>0</v>
      </c>
    </row>
    <row r="232" spans="1:74" x14ac:dyDescent="0.2">
      <c r="A232" t="s">
        <v>475</v>
      </c>
      <c r="B232" t="s">
        <v>468</v>
      </c>
      <c r="C232">
        <v>15</v>
      </c>
      <c r="F232" t="s">
        <v>397</v>
      </c>
      <c r="G232" t="s">
        <v>446</v>
      </c>
      <c r="H232" s="47" t="s">
        <v>411</v>
      </c>
      <c r="I232" t="s">
        <v>479</v>
      </c>
      <c r="J232" t="s">
        <v>496</v>
      </c>
      <c r="L232">
        <v>15</v>
      </c>
      <c r="M232">
        <f>VLOOKUP($H232,'Cooling-Rack'!$A$2:$G$265,5,FALSE)</f>
        <v>7.5</v>
      </c>
      <c r="N232">
        <f>VLOOKUP($H232,'Cooling-Rack'!$A$2:$G$265,7,FALSE)</f>
        <v>7.5</v>
      </c>
      <c r="O232">
        <v>18</v>
      </c>
      <c r="P232" s="100">
        <v>0.5</v>
      </c>
      <c r="Q232" s="100">
        <v>0.5</v>
      </c>
      <c r="R232" t="s">
        <v>450</v>
      </c>
      <c r="T232" s="44" t="s">
        <v>453</v>
      </c>
      <c r="V232" t="s">
        <v>454</v>
      </c>
      <c r="X232" s="19" t="s">
        <v>80</v>
      </c>
      <c r="Y232" s="19" t="s">
        <v>76</v>
      </c>
      <c r="Z232" s="19" t="s">
        <v>77</v>
      </c>
      <c r="AA232" s="19" t="s">
        <v>74</v>
      </c>
      <c r="AB232" s="19" t="s">
        <v>75</v>
      </c>
      <c r="AC232" s="19" t="s">
        <v>78</v>
      </c>
      <c r="AD232" s="19" t="s">
        <v>79</v>
      </c>
      <c r="AE232" t="s">
        <v>455</v>
      </c>
      <c r="AF232" t="s">
        <v>456</v>
      </c>
      <c r="AG232" t="s">
        <v>457</v>
      </c>
      <c r="AH232" t="s">
        <v>458</v>
      </c>
      <c r="AI232">
        <v>15</v>
      </c>
      <c r="AJ232">
        <f t="shared" si="115"/>
        <v>7.5</v>
      </c>
      <c r="AK232">
        <f t="shared" si="116"/>
        <v>7.5</v>
      </c>
      <c r="AL232">
        <v>0</v>
      </c>
      <c r="AM232">
        <f t="shared" si="89"/>
        <v>0</v>
      </c>
      <c r="AN232">
        <f t="shared" si="90"/>
        <v>0</v>
      </c>
      <c r="AO232">
        <v>0</v>
      </c>
      <c r="AP232">
        <f t="shared" si="91"/>
        <v>0</v>
      </c>
      <c r="AQ232">
        <f t="shared" si="92"/>
        <v>0</v>
      </c>
      <c r="AS232">
        <f t="shared" si="113"/>
        <v>0</v>
      </c>
      <c r="AT232">
        <f t="shared" si="114"/>
        <v>0</v>
      </c>
      <c r="BM232" t="s">
        <v>817</v>
      </c>
      <c r="BN232" s="121">
        <f t="shared" si="117"/>
        <v>8.3333333333333339</v>
      </c>
      <c r="BQ232">
        <f t="shared" si="107"/>
        <v>1</v>
      </c>
      <c r="BR232">
        <f t="shared" si="108"/>
        <v>0</v>
      </c>
      <c r="BS232">
        <f t="shared" si="109"/>
        <v>0</v>
      </c>
      <c r="BT232">
        <f t="shared" si="110"/>
        <v>0</v>
      </c>
      <c r="BU232">
        <f t="shared" si="111"/>
        <v>0</v>
      </c>
      <c r="BV232">
        <f t="shared" si="112"/>
        <v>0</v>
      </c>
    </row>
    <row r="233" spans="1:74" x14ac:dyDescent="0.2">
      <c r="A233" t="s">
        <v>475</v>
      </c>
      <c r="B233" t="s">
        <v>468</v>
      </c>
      <c r="C233">
        <v>15</v>
      </c>
      <c r="F233" t="s">
        <v>397</v>
      </c>
      <c r="G233" t="s">
        <v>446</v>
      </c>
      <c r="H233" s="47" t="s">
        <v>412</v>
      </c>
      <c r="I233" t="s">
        <v>479</v>
      </c>
      <c r="J233" t="s">
        <v>497</v>
      </c>
      <c r="L233">
        <v>15</v>
      </c>
      <c r="M233">
        <f>VLOOKUP($H233,'Cooling-Rack'!$A$2:$G$265,5,FALSE)</f>
        <v>7.5</v>
      </c>
      <c r="N233">
        <f>VLOOKUP($H233,'Cooling-Rack'!$A$2:$G$265,7,FALSE)</f>
        <v>7.5</v>
      </c>
      <c r="O233">
        <v>18</v>
      </c>
      <c r="P233" s="100">
        <v>0.5</v>
      </c>
      <c r="Q233" s="100">
        <v>0.5</v>
      </c>
      <c r="R233" t="s">
        <v>451</v>
      </c>
      <c r="T233" s="44" t="s">
        <v>453</v>
      </c>
      <c r="V233" t="s">
        <v>454</v>
      </c>
      <c r="X233" s="19" t="s">
        <v>80</v>
      </c>
      <c r="Y233" s="19" t="s">
        <v>76</v>
      </c>
      <c r="Z233" s="19" t="s">
        <v>77</v>
      </c>
      <c r="AA233" s="19" t="s">
        <v>74</v>
      </c>
      <c r="AB233" s="19" t="s">
        <v>75</v>
      </c>
      <c r="AC233" s="19" t="s">
        <v>78</v>
      </c>
      <c r="AD233" s="19" t="s">
        <v>79</v>
      </c>
      <c r="AE233" t="s">
        <v>455</v>
      </c>
      <c r="AF233" t="s">
        <v>456</v>
      </c>
      <c r="AG233" t="s">
        <v>457</v>
      </c>
      <c r="AH233" t="s">
        <v>458</v>
      </c>
      <c r="AI233">
        <v>15</v>
      </c>
      <c r="AJ233">
        <f t="shared" si="115"/>
        <v>7.5</v>
      </c>
      <c r="AK233">
        <f t="shared" si="116"/>
        <v>7.5</v>
      </c>
      <c r="AL233">
        <v>0</v>
      </c>
      <c r="AM233">
        <f t="shared" si="89"/>
        <v>0</v>
      </c>
      <c r="AN233">
        <f t="shared" si="90"/>
        <v>0</v>
      </c>
      <c r="AO233">
        <v>0</v>
      </c>
      <c r="AP233">
        <f t="shared" si="91"/>
        <v>0</v>
      </c>
      <c r="AQ233">
        <f t="shared" si="92"/>
        <v>0</v>
      </c>
      <c r="AS233">
        <f t="shared" si="113"/>
        <v>0</v>
      </c>
      <c r="AT233">
        <f t="shared" si="114"/>
        <v>0</v>
      </c>
      <c r="BM233" t="s">
        <v>818</v>
      </c>
      <c r="BN233" s="121">
        <f t="shared" si="117"/>
        <v>8.3333333333333339</v>
      </c>
      <c r="BQ233">
        <f t="shared" si="107"/>
        <v>1</v>
      </c>
      <c r="BR233">
        <f t="shared" si="108"/>
        <v>0</v>
      </c>
      <c r="BS233">
        <f t="shared" si="109"/>
        <v>0</v>
      </c>
      <c r="BT233">
        <f t="shared" si="110"/>
        <v>0</v>
      </c>
      <c r="BU233">
        <f t="shared" si="111"/>
        <v>0</v>
      </c>
      <c r="BV233">
        <f t="shared" si="112"/>
        <v>0</v>
      </c>
    </row>
    <row r="234" spans="1:74" x14ac:dyDescent="0.2">
      <c r="A234" t="s">
        <v>475</v>
      </c>
      <c r="B234" t="s">
        <v>468</v>
      </c>
      <c r="C234">
        <v>15</v>
      </c>
      <c r="F234" t="s">
        <v>397</v>
      </c>
      <c r="G234" t="s">
        <v>446</v>
      </c>
      <c r="H234" s="47" t="s">
        <v>413</v>
      </c>
      <c r="I234" t="s">
        <v>479</v>
      </c>
      <c r="J234" t="s">
        <v>498</v>
      </c>
      <c r="L234">
        <v>15</v>
      </c>
      <c r="M234">
        <f>VLOOKUP($H234,'Cooling-Rack'!$A$2:$G$265,5,FALSE)</f>
        <v>7.5</v>
      </c>
      <c r="N234">
        <f>VLOOKUP($H234,'Cooling-Rack'!$A$2:$G$265,7,FALSE)</f>
        <v>7.5</v>
      </c>
      <c r="O234">
        <v>18</v>
      </c>
      <c r="P234" s="100">
        <v>0.5</v>
      </c>
      <c r="Q234" s="100">
        <v>0.5</v>
      </c>
      <c r="R234" t="s">
        <v>448</v>
      </c>
      <c r="T234" s="44" t="s">
        <v>452</v>
      </c>
      <c r="V234" t="s">
        <v>454</v>
      </c>
      <c r="X234" s="19" t="s">
        <v>80</v>
      </c>
      <c r="Y234" s="19" t="s">
        <v>76</v>
      </c>
      <c r="Z234" s="19" t="s">
        <v>77</v>
      </c>
      <c r="AA234" s="19" t="s">
        <v>74</v>
      </c>
      <c r="AB234" s="19" t="s">
        <v>75</v>
      </c>
      <c r="AC234" s="19" t="s">
        <v>78</v>
      </c>
      <c r="AD234" s="19" t="s">
        <v>79</v>
      </c>
      <c r="AE234" t="s">
        <v>455</v>
      </c>
      <c r="AF234" t="s">
        <v>456</v>
      </c>
      <c r="AG234" t="s">
        <v>457</v>
      </c>
      <c r="AH234" t="s">
        <v>458</v>
      </c>
      <c r="AI234">
        <v>15</v>
      </c>
      <c r="AJ234">
        <f t="shared" si="115"/>
        <v>7.5</v>
      </c>
      <c r="AK234">
        <f t="shared" si="116"/>
        <v>7.5</v>
      </c>
      <c r="AL234">
        <v>0</v>
      </c>
      <c r="AM234">
        <f t="shared" si="89"/>
        <v>0</v>
      </c>
      <c r="AN234">
        <f t="shared" si="90"/>
        <v>0</v>
      </c>
      <c r="AO234">
        <v>0</v>
      </c>
      <c r="AP234">
        <f t="shared" si="91"/>
        <v>0</v>
      </c>
      <c r="AQ234">
        <f t="shared" si="92"/>
        <v>0</v>
      </c>
      <c r="AS234">
        <f t="shared" si="113"/>
        <v>0</v>
      </c>
      <c r="AT234">
        <f t="shared" si="114"/>
        <v>0</v>
      </c>
      <c r="BM234" t="s">
        <v>819</v>
      </c>
      <c r="BN234" s="121">
        <f t="shared" si="117"/>
        <v>8.3333333333333339</v>
      </c>
      <c r="BQ234">
        <f t="shared" si="107"/>
        <v>1</v>
      </c>
      <c r="BR234">
        <f t="shared" si="108"/>
        <v>0</v>
      </c>
      <c r="BS234">
        <f t="shared" si="109"/>
        <v>0</v>
      </c>
      <c r="BT234">
        <f t="shared" si="110"/>
        <v>0</v>
      </c>
      <c r="BU234">
        <f t="shared" si="111"/>
        <v>0</v>
      </c>
      <c r="BV234">
        <f t="shared" si="112"/>
        <v>0</v>
      </c>
    </row>
    <row r="235" spans="1:74" x14ac:dyDescent="0.2">
      <c r="A235" t="s">
        <v>475</v>
      </c>
      <c r="B235" t="s">
        <v>468</v>
      </c>
      <c r="C235">
        <v>15</v>
      </c>
      <c r="F235" t="s">
        <v>397</v>
      </c>
      <c r="G235" t="s">
        <v>446</v>
      </c>
      <c r="H235" s="47" t="s">
        <v>414</v>
      </c>
      <c r="I235" t="s">
        <v>479</v>
      </c>
      <c r="J235" t="s">
        <v>499</v>
      </c>
      <c r="L235">
        <v>15</v>
      </c>
      <c r="M235">
        <f>VLOOKUP($H235,'Cooling-Rack'!$A$2:$G$265,5,FALSE)</f>
        <v>7.5</v>
      </c>
      <c r="N235">
        <f>VLOOKUP($H235,'Cooling-Rack'!$A$2:$G$265,7,FALSE)</f>
        <v>7.5</v>
      </c>
      <c r="O235">
        <v>18</v>
      </c>
      <c r="P235" s="100">
        <v>0.5</v>
      </c>
      <c r="Q235" s="100">
        <v>0.5</v>
      </c>
      <c r="R235" t="s">
        <v>449</v>
      </c>
      <c r="T235" s="44" t="s">
        <v>452</v>
      </c>
      <c r="V235" t="s">
        <v>454</v>
      </c>
      <c r="X235" s="19" t="s">
        <v>80</v>
      </c>
      <c r="Y235" s="19" t="s">
        <v>76</v>
      </c>
      <c r="Z235" s="19" t="s">
        <v>77</v>
      </c>
      <c r="AA235" s="19" t="s">
        <v>74</v>
      </c>
      <c r="AB235" s="19" t="s">
        <v>75</v>
      </c>
      <c r="AC235" s="19" t="s">
        <v>78</v>
      </c>
      <c r="AD235" s="19" t="s">
        <v>79</v>
      </c>
      <c r="AE235" t="s">
        <v>455</v>
      </c>
      <c r="AF235" t="s">
        <v>456</v>
      </c>
      <c r="AG235" t="s">
        <v>457</v>
      </c>
      <c r="AH235" t="s">
        <v>458</v>
      </c>
      <c r="AI235">
        <v>15</v>
      </c>
      <c r="AJ235">
        <f t="shared" si="115"/>
        <v>7.5</v>
      </c>
      <c r="AK235">
        <f t="shared" si="116"/>
        <v>7.5</v>
      </c>
      <c r="AL235">
        <v>0</v>
      </c>
      <c r="AM235">
        <f t="shared" si="89"/>
        <v>0</v>
      </c>
      <c r="AN235">
        <f t="shared" si="90"/>
        <v>0</v>
      </c>
      <c r="AO235">
        <v>0</v>
      </c>
      <c r="AP235">
        <f t="shared" si="91"/>
        <v>0</v>
      </c>
      <c r="AQ235">
        <f t="shared" si="92"/>
        <v>0</v>
      </c>
      <c r="AS235">
        <f t="shared" si="113"/>
        <v>0</v>
      </c>
      <c r="AT235">
        <f t="shared" si="114"/>
        <v>0</v>
      </c>
      <c r="BM235" t="s">
        <v>820</v>
      </c>
      <c r="BN235" s="121">
        <f t="shared" si="117"/>
        <v>8.3333333333333339</v>
      </c>
      <c r="BQ235">
        <f t="shared" si="107"/>
        <v>1</v>
      </c>
      <c r="BR235">
        <f t="shared" si="108"/>
        <v>0</v>
      </c>
      <c r="BS235">
        <f t="shared" si="109"/>
        <v>0</v>
      </c>
      <c r="BT235">
        <f t="shared" si="110"/>
        <v>0</v>
      </c>
      <c r="BU235">
        <f t="shared" si="111"/>
        <v>0</v>
      </c>
      <c r="BV235">
        <f t="shared" si="112"/>
        <v>0</v>
      </c>
    </row>
    <row r="236" spans="1:74" x14ac:dyDescent="0.2">
      <c r="A236" t="s">
        <v>475</v>
      </c>
      <c r="B236" t="s">
        <v>469</v>
      </c>
      <c r="C236">
        <v>15</v>
      </c>
      <c r="F236" t="s">
        <v>397</v>
      </c>
      <c r="G236" t="s">
        <v>446</v>
      </c>
      <c r="H236" s="47" t="s">
        <v>415</v>
      </c>
      <c r="I236" t="s">
        <v>479</v>
      </c>
      <c r="J236" t="s">
        <v>500</v>
      </c>
      <c r="L236">
        <v>15</v>
      </c>
      <c r="M236">
        <f>VLOOKUP($H236,'Cooling-Rack'!$A$2:$G$265,5,FALSE)</f>
        <v>7.5</v>
      </c>
      <c r="N236">
        <f>VLOOKUP($H236,'Cooling-Rack'!$A$2:$G$265,7,FALSE)</f>
        <v>7.5</v>
      </c>
      <c r="O236">
        <v>18</v>
      </c>
      <c r="P236" s="100">
        <v>0.5</v>
      </c>
      <c r="Q236" s="100">
        <v>0.5</v>
      </c>
      <c r="R236" t="s">
        <v>450</v>
      </c>
      <c r="T236" s="44" t="s">
        <v>453</v>
      </c>
      <c r="V236" t="s">
        <v>454</v>
      </c>
      <c r="X236" s="19" t="s">
        <v>80</v>
      </c>
      <c r="Y236" s="19" t="s">
        <v>76</v>
      </c>
      <c r="Z236" s="19" t="s">
        <v>77</v>
      </c>
      <c r="AA236" s="19" t="s">
        <v>74</v>
      </c>
      <c r="AB236" s="19" t="s">
        <v>75</v>
      </c>
      <c r="AC236" s="19" t="s">
        <v>78</v>
      </c>
      <c r="AD236" s="19" t="s">
        <v>79</v>
      </c>
      <c r="AE236" t="s">
        <v>455</v>
      </c>
      <c r="AF236" t="s">
        <v>456</v>
      </c>
      <c r="AG236" t="s">
        <v>457</v>
      </c>
      <c r="AH236" t="s">
        <v>458</v>
      </c>
      <c r="AI236">
        <v>10</v>
      </c>
      <c r="AJ236">
        <f t="shared" si="115"/>
        <v>5</v>
      </c>
      <c r="AK236">
        <f t="shared" si="116"/>
        <v>5</v>
      </c>
      <c r="AL236">
        <v>0</v>
      </c>
      <c r="AM236">
        <f t="shared" si="89"/>
        <v>0</v>
      </c>
      <c r="AN236">
        <f t="shared" si="90"/>
        <v>0</v>
      </c>
      <c r="AO236">
        <v>0</v>
      </c>
      <c r="AP236">
        <f t="shared" si="91"/>
        <v>0</v>
      </c>
      <c r="AQ236">
        <f t="shared" si="92"/>
        <v>0</v>
      </c>
      <c r="AS236">
        <f t="shared" si="113"/>
        <v>0</v>
      </c>
      <c r="AT236">
        <f t="shared" si="114"/>
        <v>0</v>
      </c>
      <c r="BM236" t="s">
        <v>821</v>
      </c>
      <c r="BN236" s="121">
        <f t="shared" si="117"/>
        <v>8.3333333333333339</v>
      </c>
      <c r="BQ236">
        <f t="shared" si="107"/>
        <v>1</v>
      </c>
      <c r="BR236">
        <f t="shared" si="108"/>
        <v>0</v>
      </c>
      <c r="BS236">
        <f t="shared" si="109"/>
        <v>0</v>
      </c>
      <c r="BT236">
        <f t="shared" si="110"/>
        <v>0</v>
      </c>
      <c r="BU236">
        <f t="shared" si="111"/>
        <v>0</v>
      </c>
      <c r="BV236">
        <f t="shared" si="112"/>
        <v>0</v>
      </c>
    </row>
    <row r="237" spans="1:74" x14ac:dyDescent="0.2">
      <c r="A237" t="s">
        <v>475</v>
      </c>
      <c r="B237" t="s">
        <v>469</v>
      </c>
      <c r="C237">
        <v>15</v>
      </c>
      <c r="F237" t="s">
        <v>397</v>
      </c>
      <c r="G237" t="s">
        <v>446</v>
      </c>
      <c r="H237" s="47" t="s">
        <v>416</v>
      </c>
      <c r="I237" t="s">
        <v>479</v>
      </c>
      <c r="J237" t="s">
        <v>501</v>
      </c>
      <c r="L237">
        <v>15</v>
      </c>
      <c r="M237">
        <f>VLOOKUP($H237,'Cooling-Rack'!$A$2:$G$265,5,FALSE)</f>
        <v>7.5</v>
      </c>
      <c r="N237">
        <f>VLOOKUP($H237,'Cooling-Rack'!$A$2:$G$265,7,FALSE)</f>
        <v>7.5</v>
      </c>
      <c r="O237">
        <v>18</v>
      </c>
      <c r="P237" s="100">
        <v>0.5</v>
      </c>
      <c r="Q237" s="100">
        <v>0.5</v>
      </c>
      <c r="R237" t="s">
        <v>451</v>
      </c>
      <c r="T237" s="44" t="s">
        <v>453</v>
      </c>
      <c r="V237" t="s">
        <v>454</v>
      </c>
      <c r="X237" s="19" t="s">
        <v>80</v>
      </c>
      <c r="Y237" s="19" t="s">
        <v>76</v>
      </c>
      <c r="Z237" s="19" t="s">
        <v>77</v>
      </c>
      <c r="AA237" s="19" t="s">
        <v>74</v>
      </c>
      <c r="AB237" s="19" t="s">
        <v>75</v>
      </c>
      <c r="AC237" s="19" t="s">
        <v>78</v>
      </c>
      <c r="AD237" s="19" t="s">
        <v>79</v>
      </c>
      <c r="AE237" t="s">
        <v>455</v>
      </c>
      <c r="AF237" t="s">
        <v>456</v>
      </c>
      <c r="AG237" t="s">
        <v>457</v>
      </c>
      <c r="AH237" t="s">
        <v>458</v>
      </c>
      <c r="AI237">
        <v>10</v>
      </c>
      <c r="AJ237">
        <f t="shared" si="115"/>
        <v>5</v>
      </c>
      <c r="AK237">
        <f t="shared" si="116"/>
        <v>5</v>
      </c>
      <c r="AL237">
        <v>0</v>
      </c>
      <c r="AM237">
        <f t="shared" si="89"/>
        <v>0</v>
      </c>
      <c r="AN237">
        <f t="shared" si="90"/>
        <v>0</v>
      </c>
      <c r="AO237">
        <v>0</v>
      </c>
      <c r="AP237">
        <f t="shared" si="91"/>
        <v>0</v>
      </c>
      <c r="AQ237">
        <f t="shared" si="92"/>
        <v>0</v>
      </c>
      <c r="AS237">
        <f t="shared" si="113"/>
        <v>0</v>
      </c>
      <c r="AT237">
        <f t="shared" si="114"/>
        <v>0</v>
      </c>
      <c r="BM237" t="s">
        <v>822</v>
      </c>
      <c r="BN237" s="121">
        <f t="shared" si="117"/>
        <v>8.3333333333333339</v>
      </c>
      <c r="BQ237">
        <f t="shared" si="107"/>
        <v>1</v>
      </c>
      <c r="BR237">
        <f t="shared" si="108"/>
        <v>0</v>
      </c>
      <c r="BS237">
        <f t="shared" si="109"/>
        <v>0</v>
      </c>
      <c r="BT237">
        <f t="shared" si="110"/>
        <v>0</v>
      </c>
      <c r="BU237">
        <f t="shared" si="111"/>
        <v>0</v>
      </c>
      <c r="BV237">
        <f t="shared" si="112"/>
        <v>0</v>
      </c>
    </row>
    <row r="238" spans="1:74" x14ac:dyDescent="0.2">
      <c r="A238" t="s">
        <v>475</v>
      </c>
      <c r="B238" t="s">
        <v>469</v>
      </c>
      <c r="C238">
        <v>15</v>
      </c>
      <c r="F238" t="s">
        <v>397</v>
      </c>
      <c r="G238" t="s">
        <v>446</v>
      </c>
      <c r="H238" s="47" t="s">
        <v>417</v>
      </c>
      <c r="I238" t="s">
        <v>479</v>
      </c>
      <c r="J238" t="s">
        <v>502</v>
      </c>
      <c r="L238">
        <v>15</v>
      </c>
      <c r="M238">
        <f>VLOOKUP($H238,'Cooling-Rack'!$A$2:$G$265,5,FALSE)</f>
        <v>7.5</v>
      </c>
      <c r="N238">
        <f>VLOOKUP($H238,'Cooling-Rack'!$A$2:$G$265,7,FALSE)</f>
        <v>7.5</v>
      </c>
      <c r="O238">
        <v>18</v>
      </c>
      <c r="P238" s="100">
        <v>0.5</v>
      </c>
      <c r="Q238" s="100">
        <v>0.5</v>
      </c>
      <c r="R238" t="s">
        <v>448</v>
      </c>
      <c r="T238" s="44" t="s">
        <v>452</v>
      </c>
      <c r="V238" t="s">
        <v>454</v>
      </c>
      <c r="X238" s="19" t="s">
        <v>80</v>
      </c>
      <c r="Y238" s="19" t="s">
        <v>76</v>
      </c>
      <c r="Z238" s="19" t="s">
        <v>77</v>
      </c>
      <c r="AA238" s="19" t="s">
        <v>74</v>
      </c>
      <c r="AB238" s="19" t="s">
        <v>75</v>
      </c>
      <c r="AC238" s="19" t="s">
        <v>78</v>
      </c>
      <c r="AD238" s="19" t="s">
        <v>79</v>
      </c>
      <c r="AE238" t="s">
        <v>455</v>
      </c>
      <c r="AF238" t="s">
        <v>456</v>
      </c>
      <c r="AG238" t="s">
        <v>457</v>
      </c>
      <c r="AH238" t="s">
        <v>458</v>
      </c>
      <c r="AI238">
        <v>10</v>
      </c>
      <c r="AJ238">
        <f t="shared" si="115"/>
        <v>5</v>
      </c>
      <c r="AK238">
        <f t="shared" si="116"/>
        <v>5</v>
      </c>
      <c r="AL238">
        <v>0</v>
      </c>
      <c r="AM238">
        <f t="shared" si="89"/>
        <v>0</v>
      </c>
      <c r="AN238">
        <f t="shared" si="90"/>
        <v>0</v>
      </c>
      <c r="AO238">
        <v>0</v>
      </c>
      <c r="AP238">
        <f t="shared" si="91"/>
        <v>0</v>
      </c>
      <c r="AQ238">
        <f t="shared" si="92"/>
        <v>0</v>
      </c>
      <c r="AS238">
        <f t="shared" si="113"/>
        <v>0</v>
      </c>
      <c r="AT238">
        <f t="shared" si="114"/>
        <v>0</v>
      </c>
      <c r="BM238" t="s">
        <v>823</v>
      </c>
      <c r="BN238" s="121">
        <f t="shared" si="117"/>
        <v>8.3333333333333339</v>
      </c>
      <c r="BQ238">
        <f t="shared" si="107"/>
        <v>1</v>
      </c>
      <c r="BR238">
        <f t="shared" si="108"/>
        <v>0</v>
      </c>
      <c r="BS238">
        <f t="shared" si="109"/>
        <v>0</v>
      </c>
      <c r="BT238">
        <f t="shared" si="110"/>
        <v>0</v>
      </c>
      <c r="BU238">
        <f t="shared" si="111"/>
        <v>0</v>
      </c>
      <c r="BV238">
        <f t="shared" si="112"/>
        <v>0</v>
      </c>
    </row>
    <row r="239" spans="1:74" x14ac:dyDescent="0.2">
      <c r="A239" t="s">
        <v>475</v>
      </c>
      <c r="B239" t="s">
        <v>469</v>
      </c>
      <c r="C239">
        <v>15</v>
      </c>
      <c r="F239" t="s">
        <v>397</v>
      </c>
      <c r="G239" t="s">
        <v>446</v>
      </c>
      <c r="H239" s="47" t="s">
        <v>418</v>
      </c>
      <c r="I239" t="s">
        <v>479</v>
      </c>
      <c r="J239" t="s">
        <v>503</v>
      </c>
      <c r="L239">
        <v>15</v>
      </c>
      <c r="M239">
        <f>VLOOKUP($H239,'Cooling-Rack'!$A$2:$G$265,5,FALSE)</f>
        <v>7.5</v>
      </c>
      <c r="N239">
        <f>VLOOKUP($H239,'Cooling-Rack'!$A$2:$G$265,7,FALSE)</f>
        <v>7.5</v>
      </c>
      <c r="O239">
        <v>18</v>
      </c>
      <c r="P239" s="100">
        <v>0.5</v>
      </c>
      <c r="Q239" s="100">
        <v>0.5</v>
      </c>
      <c r="R239" t="s">
        <v>449</v>
      </c>
      <c r="T239" s="44" t="s">
        <v>452</v>
      </c>
      <c r="V239" t="s">
        <v>454</v>
      </c>
      <c r="X239" s="19" t="s">
        <v>80</v>
      </c>
      <c r="Y239" s="19" t="s">
        <v>76</v>
      </c>
      <c r="Z239" s="19" t="s">
        <v>77</v>
      </c>
      <c r="AA239" s="19" t="s">
        <v>74</v>
      </c>
      <c r="AB239" s="19" t="s">
        <v>75</v>
      </c>
      <c r="AC239" s="19" t="s">
        <v>78</v>
      </c>
      <c r="AD239" s="19" t="s">
        <v>79</v>
      </c>
      <c r="AE239" t="s">
        <v>455</v>
      </c>
      <c r="AF239" t="s">
        <v>456</v>
      </c>
      <c r="AG239" t="s">
        <v>457</v>
      </c>
      <c r="AH239" t="s">
        <v>458</v>
      </c>
      <c r="AI239">
        <v>10</v>
      </c>
      <c r="AJ239">
        <f t="shared" si="115"/>
        <v>5</v>
      </c>
      <c r="AK239">
        <f t="shared" si="116"/>
        <v>5</v>
      </c>
      <c r="AL239">
        <v>0</v>
      </c>
      <c r="AM239">
        <f t="shared" si="89"/>
        <v>0</v>
      </c>
      <c r="AN239">
        <f t="shared" si="90"/>
        <v>0</v>
      </c>
      <c r="AO239">
        <v>0</v>
      </c>
      <c r="AP239">
        <f t="shared" si="91"/>
        <v>0</v>
      </c>
      <c r="AQ239">
        <f t="shared" si="92"/>
        <v>0</v>
      </c>
      <c r="AS239">
        <f t="shared" si="113"/>
        <v>0</v>
      </c>
      <c r="AT239">
        <f t="shared" si="114"/>
        <v>0</v>
      </c>
      <c r="BM239" t="s">
        <v>824</v>
      </c>
      <c r="BN239" s="121">
        <f t="shared" si="117"/>
        <v>8.3333333333333339</v>
      </c>
      <c r="BQ239">
        <f t="shared" si="107"/>
        <v>1</v>
      </c>
      <c r="BR239">
        <f t="shared" si="108"/>
        <v>0</v>
      </c>
      <c r="BS239">
        <f t="shared" si="109"/>
        <v>0</v>
      </c>
      <c r="BT239">
        <f t="shared" si="110"/>
        <v>0</v>
      </c>
      <c r="BU239">
        <f t="shared" si="111"/>
        <v>0</v>
      </c>
      <c r="BV239">
        <f t="shared" si="112"/>
        <v>0</v>
      </c>
    </row>
    <row r="240" spans="1:74" x14ac:dyDescent="0.2">
      <c r="A240" t="s">
        <v>475</v>
      </c>
      <c r="B240" t="s">
        <v>469</v>
      </c>
      <c r="C240">
        <v>15</v>
      </c>
      <c r="F240" t="s">
        <v>397</v>
      </c>
      <c r="G240" t="s">
        <v>446</v>
      </c>
      <c r="H240" s="47" t="s">
        <v>419</v>
      </c>
      <c r="I240" t="s">
        <v>479</v>
      </c>
      <c r="J240" t="s">
        <v>504</v>
      </c>
      <c r="L240">
        <v>15</v>
      </c>
      <c r="M240">
        <f>VLOOKUP($H240,'Cooling-Rack'!$A$2:$G$265,5,FALSE)</f>
        <v>7.5</v>
      </c>
      <c r="N240">
        <f>VLOOKUP($H240,'Cooling-Rack'!$A$2:$G$265,7,FALSE)</f>
        <v>7.5</v>
      </c>
      <c r="O240">
        <v>18</v>
      </c>
      <c r="P240" s="100">
        <v>0.5</v>
      </c>
      <c r="Q240" s="100">
        <v>0.5</v>
      </c>
      <c r="R240" t="s">
        <v>450</v>
      </c>
      <c r="T240" s="44" t="s">
        <v>453</v>
      </c>
      <c r="V240" t="s">
        <v>454</v>
      </c>
      <c r="X240" s="19" t="s">
        <v>80</v>
      </c>
      <c r="Y240" s="19" t="s">
        <v>76</v>
      </c>
      <c r="Z240" s="19" t="s">
        <v>77</v>
      </c>
      <c r="AA240" s="19" t="s">
        <v>74</v>
      </c>
      <c r="AB240" s="19" t="s">
        <v>75</v>
      </c>
      <c r="AC240" s="19" t="s">
        <v>78</v>
      </c>
      <c r="AD240" s="19" t="s">
        <v>79</v>
      </c>
      <c r="AE240" t="s">
        <v>455</v>
      </c>
      <c r="AF240" t="s">
        <v>456</v>
      </c>
      <c r="AG240" t="s">
        <v>457</v>
      </c>
      <c r="AH240" t="s">
        <v>458</v>
      </c>
      <c r="AI240">
        <v>10</v>
      </c>
      <c r="AJ240">
        <f t="shared" si="115"/>
        <v>5</v>
      </c>
      <c r="AK240">
        <f t="shared" si="116"/>
        <v>5</v>
      </c>
      <c r="AL240">
        <v>0</v>
      </c>
      <c r="AM240">
        <f t="shared" si="89"/>
        <v>0</v>
      </c>
      <c r="AN240">
        <f t="shared" si="90"/>
        <v>0</v>
      </c>
      <c r="AO240">
        <v>0</v>
      </c>
      <c r="AP240">
        <f t="shared" si="91"/>
        <v>0</v>
      </c>
      <c r="AQ240">
        <f t="shared" si="92"/>
        <v>0</v>
      </c>
      <c r="AS240">
        <f t="shared" si="113"/>
        <v>0</v>
      </c>
      <c r="AT240">
        <f t="shared" si="114"/>
        <v>0</v>
      </c>
      <c r="BM240" t="s">
        <v>825</v>
      </c>
      <c r="BN240" s="121">
        <f t="shared" si="117"/>
        <v>8.3333333333333339</v>
      </c>
      <c r="BQ240">
        <f t="shared" si="107"/>
        <v>1</v>
      </c>
      <c r="BR240">
        <f t="shared" si="108"/>
        <v>0</v>
      </c>
      <c r="BS240">
        <f t="shared" si="109"/>
        <v>0</v>
      </c>
      <c r="BT240">
        <f t="shared" si="110"/>
        <v>0</v>
      </c>
      <c r="BU240">
        <f t="shared" si="111"/>
        <v>0</v>
      </c>
      <c r="BV240">
        <f t="shared" si="112"/>
        <v>0</v>
      </c>
    </row>
    <row r="241" spans="1:74" x14ac:dyDescent="0.2">
      <c r="A241" t="s">
        <v>475</v>
      </c>
      <c r="B241" t="s">
        <v>469</v>
      </c>
      <c r="C241">
        <v>15</v>
      </c>
      <c r="F241" t="s">
        <v>397</v>
      </c>
      <c r="G241" t="s">
        <v>446</v>
      </c>
      <c r="H241" s="47" t="s">
        <v>420</v>
      </c>
      <c r="I241" t="s">
        <v>479</v>
      </c>
      <c r="J241" t="s">
        <v>505</v>
      </c>
      <c r="L241">
        <v>15</v>
      </c>
      <c r="M241">
        <f>VLOOKUP($H241,'Cooling-Rack'!$A$2:$G$265,5,FALSE)</f>
        <v>7.5</v>
      </c>
      <c r="N241">
        <f>VLOOKUP($H241,'Cooling-Rack'!$A$2:$G$265,7,FALSE)</f>
        <v>7.5</v>
      </c>
      <c r="O241">
        <v>18</v>
      </c>
      <c r="P241" s="100">
        <v>0.5</v>
      </c>
      <c r="Q241" s="100">
        <v>0.5</v>
      </c>
      <c r="R241" t="s">
        <v>451</v>
      </c>
      <c r="T241" s="44" t="s">
        <v>453</v>
      </c>
      <c r="V241" t="s">
        <v>454</v>
      </c>
      <c r="X241" s="19" t="s">
        <v>80</v>
      </c>
      <c r="Y241" s="19" t="s">
        <v>76</v>
      </c>
      <c r="Z241" s="19" t="s">
        <v>77</v>
      </c>
      <c r="AA241" s="19" t="s">
        <v>74</v>
      </c>
      <c r="AB241" s="19" t="s">
        <v>75</v>
      </c>
      <c r="AC241" s="19" t="s">
        <v>78</v>
      </c>
      <c r="AD241" s="19" t="s">
        <v>79</v>
      </c>
      <c r="AE241" t="s">
        <v>455</v>
      </c>
      <c r="AF241" t="s">
        <v>456</v>
      </c>
      <c r="AG241" t="s">
        <v>457</v>
      </c>
      <c r="AH241" t="s">
        <v>458</v>
      </c>
      <c r="AI241">
        <v>10</v>
      </c>
      <c r="AJ241">
        <f t="shared" si="115"/>
        <v>5</v>
      </c>
      <c r="AK241">
        <f t="shared" si="116"/>
        <v>5</v>
      </c>
      <c r="AL241">
        <v>0</v>
      </c>
      <c r="AM241">
        <f t="shared" si="89"/>
        <v>0</v>
      </c>
      <c r="AN241">
        <f t="shared" si="90"/>
        <v>0</v>
      </c>
      <c r="AO241">
        <v>0</v>
      </c>
      <c r="AP241">
        <f t="shared" si="91"/>
        <v>0</v>
      </c>
      <c r="AQ241">
        <f t="shared" si="92"/>
        <v>0</v>
      </c>
      <c r="AS241">
        <f t="shared" si="113"/>
        <v>0</v>
      </c>
      <c r="AT241">
        <f t="shared" si="114"/>
        <v>0</v>
      </c>
      <c r="BM241" t="s">
        <v>826</v>
      </c>
      <c r="BN241" s="121">
        <f t="shared" si="117"/>
        <v>8.3333333333333339</v>
      </c>
      <c r="BQ241">
        <f t="shared" si="107"/>
        <v>1</v>
      </c>
      <c r="BR241">
        <f t="shared" si="108"/>
        <v>0</v>
      </c>
      <c r="BS241">
        <f t="shared" si="109"/>
        <v>0</v>
      </c>
      <c r="BT241">
        <f t="shared" si="110"/>
        <v>0</v>
      </c>
      <c r="BU241">
        <f t="shared" si="111"/>
        <v>0</v>
      </c>
      <c r="BV241">
        <f t="shared" si="112"/>
        <v>0</v>
      </c>
    </row>
    <row r="242" spans="1:74" x14ac:dyDescent="0.2">
      <c r="A242" t="s">
        <v>476</v>
      </c>
      <c r="B242" t="s">
        <v>470</v>
      </c>
      <c r="C242">
        <v>15</v>
      </c>
      <c r="F242" t="s">
        <v>422</v>
      </c>
      <c r="G242" t="s">
        <v>447</v>
      </c>
      <c r="H242" s="47" t="s">
        <v>421</v>
      </c>
      <c r="I242" t="s">
        <v>480</v>
      </c>
      <c r="J242" t="s">
        <v>506</v>
      </c>
      <c r="L242">
        <v>15</v>
      </c>
      <c r="M242">
        <f>VLOOKUP($H242,'Cooling-Rack'!$A$2:$G$265,5,FALSE)</f>
        <v>7.5</v>
      </c>
      <c r="N242">
        <f>VLOOKUP($H242,'Cooling-Rack'!$A$2:$G$265,7,FALSE)</f>
        <v>7.5</v>
      </c>
      <c r="O242">
        <v>18</v>
      </c>
      <c r="P242" s="100">
        <v>0.5</v>
      </c>
      <c r="Q242" s="100">
        <v>0.5</v>
      </c>
      <c r="R242" t="s">
        <v>448</v>
      </c>
      <c r="T242" s="44" t="s">
        <v>452</v>
      </c>
      <c r="V242" t="s">
        <v>454</v>
      </c>
      <c r="X242" s="19" t="s">
        <v>80</v>
      </c>
      <c r="Y242" s="19" t="s">
        <v>76</v>
      </c>
      <c r="Z242" s="19" t="s">
        <v>77</v>
      </c>
      <c r="AA242" s="19" t="s">
        <v>74</v>
      </c>
      <c r="AB242" s="19" t="s">
        <v>75</v>
      </c>
      <c r="AC242" s="19" t="s">
        <v>78</v>
      </c>
      <c r="AD242" s="19" t="s">
        <v>79</v>
      </c>
      <c r="AE242" t="s">
        <v>455</v>
      </c>
      <c r="AF242" t="s">
        <v>456</v>
      </c>
      <c r="AG242" t="s">
        <v>457</v>
      </c>
      <c r="AH242" t="s">
        <v>458</v>
      </c>
      <c r="AI242">
        <v>15</v>
      </c>
      <c r="AJ242">
        <f t="shared" si="115"/>
        <v>7.5</v>
      </c>
      <c r="AK242">
        <f t="shared" si="116"/>
        <v>7.5</v>
      </c>
      <c r="AL242">
        <v>0</v>
      </c>
      <c r="AM242">
        <f t="shared" si="89"/>
        <v>0</v>
      </c>
      <c r="AN242">
        <f t="shared" si="90"/>
        <v>0</v>
      </c>
      <c r="AO242">
        <v>0</v>
      </c>
      <c r="AP242">
        <f t="shared" si="91"/>
        <v>0</v>
      </c>
      <c r="AQ242">
        <f t="shared" si="92"/>
        <v>0</v>
      </c>
      <c r="AS242">
        <f t="shared" si="113"/>
        <v>0</v>
      </c>
      <c r="AT242">
        <f t="shared" si="114"/>
        <v>0</v>
      </c>
      <c r="BO242" t="s">
        <v>827</v>
      </c>
      <c r="BP242" s="27">
        <f t="shared" ref="BP242:BP265" si="118">M242/0.9</f>
        <v>8.3333333333333339</v>
      </c>
      <c r="BQ242">
        <f t="shared" si="107"/>
        <v>1</v>
      </c>
      <c r="BR242">
        <f t="shared" si="108"/>
        <v>0</v>
      </c>
      <c r="BS242">
        <f t="shared" si="109"/>
        <v>0</v>
      </c>
      <c r="BT242">
        <f t="shared" si="110"/>
        <v>0</v>
      </c>
      <c r="BU242">
        <f t="shared" si="111"/>
        <v>0</v>
      </c>
      <c r="BV242">
        <f t="shared" si="112"/>
        <v>0</v>
      </c>
    </row>
    <row r="243" spans="1:74" x14ac:dyDescent="0.2">
      <c r="A243" t="s">
        <v>476</v>
      </c>
      <c r="B243" t="s">
        <v>470</v>
      </c>
      <c r="C243">
        <v>15</v>
      </c>
      <c r="F243" t="s">
        <v>422</v>
      </c>
      <c r="G243" t="s">
        <v>447</v>
      </c>
      <c r="H243" s="47" t="s">
        <v>423</v>
      </c>
      <c r="I243" t="s">
        <v>480</v>
      </c>
      <c r="J243" t="s">
        <v>507</v>
      </c>
      <c r="L243">
        <v>15</v>
      </c>
      <c r="M243">
        <f>VLOOKUP($H243,'Cooling-Rack'!$A$2:$G$265,5,FALSE)</f>
        <v>7.5</v>
      </c>
      <c r="N243">
        <f>VLOOKUP($H243,'Cooling-Rack'!$A$2:$G$265,7,FALSE)</f>
        <v>7.5</v>
      </c>
      <c r="O243">
        <v>18</v>
      </c>
      <c r="P243" s="100">
        <v>0.5</v>
      </c>
      <c r="Q243" s="100">
        <v>0.5</v>
      </c>
      <c r="R243" t="s">
        <v>449</v>
      </c>
      <c r="T243" s="44" t="s">
        <v>452</v>
      </c>
      <c r="V243" t="s">
        <v>454</v>
      </c>
      <c r="X243" s="19" t="s">
        <v>80</v>
      </c>
      <c r="Y243" s="19" t="s">
        <v>76</v>
      </c>
      <c r="Z243" s="19" t="s">
        <v>77</v>
      </c>
      <c r="AA243" s="19" t="s">
        <v>74</v>
      </c>
      <c r="AB243" s="19" t="s">
        <v>75</v>
      </c>
      <c r="AC243" s="19" t="s">
        <v>78</v>
      </c>
      <c r="AD243" s="19" t="s">
        <v>79</v>
      </c>
      <c r="AE243" t="s">
        <v>455</v>
      </c>
      <c r="AF243" t="s">
        <v>456</v>
      </c>
      <c r="AG243" t="s">
        <v>457</v>
      </c>
      <c r="AH243" t="s">
        <v>458</v>
      </c>
      <c r="AI243">
        <v>15</v>
      </c>
      <c r="AJ243">
        <f t="shared" si="115"/>
        <v>7.5</v>
      </c>
      <c r="AK243">
        <f t="shared" si="116"/>
        <v>7.5</v>
      </c>
      <c r="AL243">
        <v>0</v>
      </c>
      <c r="AM243">
        <f t="shared" si="89"/>
        <v>0</v>
      </c>
      <c r="AN243">
        <f t="shared" si="90"/>
        <v>0</v>
      </c>
      <c r="AO243">
        <v>0</v>
      </c>
      <c r="AP243">
        <f t="shared" si="91"/>
        <v>0</v>
      </c>
      <c r="AQ243">
        <f t="shared" si="92"/>
        <v>0</v>
      </c>
      <c r="AS243">
        <f t="shared" si="113"/>
        <v>0</v>
      </c>
      <c r="AT243">
        <f t="shared" si="114"/>
        <v>0</v>
      </c>
      <c r="BO243" t="s">
        <v>828</v>
      </c>
      <c r="BP243" s="27">
        <f t="shared" si="118"/>
        <v>8.3333333333333339</v>
      </c>
      <c r="BQ243">
        <f t="shared" si="107"/>
        <v>1</v>
      </c>
      <c r="BR243">
        <f t="shared" si="108"/>
        <v>0</v>
      </c>
      <c r="BS243">
        <f t="shared" si="109"/>
        <v>0</v>
      </c>
      <c r="BT243">
        <f t="shared" si="110"/>
        <v>0</v>
      </c>
      <c r="BU243">
        <f t="shared" si="111"/>
        <v>0</v>
      </c>
      <c r="BV243">
        <f t="shared" si="112"/>
        <v>0</v>
      </c>
    </row>
    <row r="244" spans="1:74" x14ac:dyDescent="0.2">
      <c r="A244" t="s">
        <v>476</v>
      </c>
      <c r="B244" t="s">
        <v>470</v>
      </c>
      <c r="C244">
        <v>15</v>
      </c>
      <c r="F244" t="s">
        <v>422</v>
      </c>
      <c r="G244" t="s">
        <v>447</v>
      </c>
      <c r="H244" s="47" t="s">
        <v>424</v>
      </c>
      <c r="I244" t="s">
        <v>480</v>
      </c>
      <c r="J244" t="s">
        <v>508</v>
      </c>
      <c r="L244">
        <v>15</v>
      </c>
      <c r="M244">
        <f>VLOOKUP($H244,'Cooling-Rack'!$A$2:$G$265,5,FALSE)</f>
        <v>7.5</v>
      </c>
      <c r="N244">
        <f>VLOOKUP($H244,'Cooling-Rack'!$A$2:$G$265,7,FALSE)</f>
        <v>7.5</v>
      </c>
      <c r="O244">
        <v>18</v>
      </c>
      <c r="P244" s="100">
        <v>0.5</v>
      </c>
      <c r="Q244" s="100">
        <v>0.5</v>
      </c>
      <c r="R244" t="s">
        <v>450</v>
      </c>
      <c r="T244" s="44" t="s">
        <v>453</v>
      </c>
      <c r="V244" t="s">
        <v>454</v>
      </c>
      <c r="X244" s="19" t="s">
        <v>80</v>
      </c>
      <c r="Y244" s="19" t="s">
        <v>76</v>
      </c>
      <c r="Z244" s="19" t="s">
        <v>77</v>
      </c>
      <c r="AA244" s="19" t="s">
        <v>74</v>
      </c>
      <c r="AB244" s="19" t="s">
        <v>75</v>
      </c>
      <c r="AC244" s="19" t="s">
        <v>78</v>
      </c>
      <c r="AD244" s="19" t="s">
        <v>79</v>
      </c>
      <c r="AE244" t="s">
        <v>455</v>
      </c>
      <c r="AF244" t="s">
        <v>456</v>
      </c>
      <c r="AG244" t="s">
        <v>457</v>
      </c>
      <c r="AH244" t="s">
        <v>458</v>
      </c>
      <c r="AI244">
        <v>15</v>
      </c>
      <c r="AJ244">
        <f t="shared" si="115"/>
        <v>7.5</v>
      </c>
      <c r="AK244">
        <f t="shared" si="116"/>
        <v>7.5</v>
      </c>
      <c r="AL244">
        <v>0</v>
      </c>
      <c r="AM244">
        <f t="shared" si="89"/>
        <v>0</v>
      </c>
      <c r="AN244">
        <f t="shared" si="90"/>
        <v>0</v>
      </c>
      <c r="AO244">
        <v>0</v>
      </c>
      <c r="AP244">
        <f t="shared" si="91"/>
        <v>0</v>
      </c>
      <c r="AQ244">
        <f t="shared" si="92"/>
        <v>0</v>
      </c>
      <c r="AS244">
        <f t="shared" si="113"/>
        <v>0</v>
      </c>
      <c r="AT244">
        <f t="shared" si="114"/>
        <v>0</v>
      </c>
      <c r="BO244" t="s">
        <v>829</v>
      </c>
      <c r="BP244" s="27">
        <f t="shared" si="118"/>
        <v>8.3333333333333339</v>
      </c>
      <c r="BQ244">
        <f t="shared" si="107"/>
        <v>1</v>
      </c>
      <c r="BR244">
        <f t="shared" si="108"/>
        <v>0</v>
      </c>
      <c r="BS244">
        <f t="shared" si="109"/>
        <v>0</v>
      </c>
      <c r="BT244">
        <f t="shared" si="110"/>
        <v>0</v>
      </c>
      <c r="BU244">
        <f t="shared" si="111"/>
        <v>0</v>
      </c>
      <c r="BV244">
        <f t="shared" si="112"/>
        <v>0</v>
      </c>
    </row>
    <row r="245" spans="1:74" x14ac:dyDescent="0.2">
      <c r="A245" t="s">
        <v>476</v>
      </c>
      <c r="B245" t="s">
        <v>470</v>
      </c>
      <c r="C245">
        <v>15</v>
      </c>
      <c r="F245" t="s">
        <v>422</v>
      </c>
      <c r="G245" t="s">
        <v>447</v>
      </c>
      <c r="H245" s="47" t="s">
        <v>425</v>
      </c>
      <c r="I245" t="s">
        <v>480</v>
      </c>
      <c r="J245" t="s">
        <v>509</v>
      </c>
      <c r="L245">
        <v>15</v>
      </c>
      <c r="M245">
        <f>VLOOKUP($H245,'Cooling-Rack'!$A$2:$G$265,5,FALSE)</f>
        <v>7.5</v>
      </c>
      <c r="N245">
        <f>VLOOKUP($H245,'Cooling-Rack'!$A$2:$G$265,7,FALSE)</f>
        <v>7.5</v>
      </c>
      <c r="O245">
        <v>18</v>
      </c>
      <c r="P245" s="100">
        <v>0.5</v>
      </c>
      <c r="Q245" s="100">
        <v>0.5</v>
      </c>
      <c r="R245" t="s">
        <v>451</v>
      </c>
      <c r="T245" s="44" t="s">
        <v>453</v>
      </c>
      <c r="V245" t="s">
        <v>454</v>
      </c>
      <c r="X245" s="19" t="s">
        <v>80</v>
      </c>
      <c r="Y245" s="19" t="s">
        <v>76</v>
      </c>
      <c r="Z245" s="19" t="s">
        <v>77</v>
      </c>
      <c r="AA245" s="19" t="s">
        <v>74</v>
      </c>
      <c r="AB245" s="19" t="s">
        <v>75</v>
      </c>
      <c r="AC245" s="19" t="s">
        <v>78</v>
      </c>
      <c r="AD245" s="19" t="s">
        <v>79</v>
      </c>
      <c r="AE245" t="s">
        <v>455</v>
      </c>
      <c r="AF245" t="s">
        <v>456</v>
      </c>
      <c r="AG245" t="s">
        <v>457</v>
      </c>
      <c r="AH245" t="s">
        <v>458</v>
      </c>
      <c r="AI245">
        <v>15</v>
      </c>
      <c r="AJ245">
        <f t="shared" si="115"/>
        <v>7.5</v>
      </c>
      <c r="AK245">
        <f t="shared" si="116"/>
        <v>7.5</v>
      </c>
      <c r="AL245">
        <v>0</v>
      </c>
      <c r="AM245">
        <f t="shared" si="89"/>
        <v>0</v>
      </c>
      <c r="AN245">
        <f t="shared" si="90"/>
        <v>0</v>
      </c>
      <c r="AO245">
        <v>0</v>
      </c>
      <c r="AP245">
        <f t="shared" si="91"/>
        <v>0</v>
      </c>
      <c r="AQ245">
        <f t="shared" si="92"/>
        <v>0</v>
      </c>
      <c r="AS245">
        <f t="shared" si="113"/>
        <v>0</v>
      </c>
      <c r="AT245">
        <f t="shared" si="114"/>
        <v>0</v>
      </c>
      <c r="BO245" t="s">
        <v>830</v>
      </c>
      <c r="BP245" s="27">
        <f t="shared" si="118"/>
        <v>8.3333333333333339</v>
      </c>
      <c r="BQ245">
        <f t="shared" si="107"/>
        <v>1</v>
      </c>
      <c r="BR245">
        <f t="shared" si="108"/>
        <v>0</v>
      </c>
      <c r="BS245">
        <f t="shared" si="109"/>
        <v>0</v>
      </c>
      <c r="BT245">
        <f t="shared" si="110"/>
        <v>0</v>
      </c>
      <c r="BU245">
        <f t="shared" si="111"/>
        <v>0</v>
      </c>
      <c r="BV245">
        <f t="shared" si="112"/>
        <v>0</v>
      </c>
    </row>
    <row r="246" spans="1:74" x14ac:dyDescent="0.2">
      <c r="A246" t="s">
        <v>476</v>
      </c>
      <c r="B246" t="s">
        <v>470</v>
      </c>
      <c r="C246">
        <v>15</v>
      </c>
      <c r="F246" t="s">
        <v>422</v>
      </c>
      <c r="G246" t="s">
        <v>447</v>
      </c>
      <c r="H246" s="47" t="s">
        <v>426</v>
      </c>
      <c r="I246" t="s">
        <v>480</v>
      </c>
      <c r="J246" t="s">
        <v>510</v>
      </c>
      <c r="L246">
        <v>15</v>
      </c>
      <c r="M246">
        <f>VLOOKUP($H246,'Cooling-Rack'!$A$2:$G$265,5,FALSE)</f>
        <v>7.5</v>
      </c>
      <c r="N246">
        <f>VLOOKUP($H246,'Cooling-Rack'!$A$2:$G$265,7,FALSE)</f>
        <v>7.5</v>
      </c>
      <c r="O246">
        <v>18</v>
      </c>
      <c r="P246" s="100">
        <v>0.5</v>
      </c>
      <c r="Q246" s="100">
        <v>0.5</v>
      </c>
      <c r="R246" t="s">
        <v>448</v>
      </c>
      <c r="T246" s="44" t="s">
        <v>452</v>
      </c>
      <c r="V246" t="s">
        <v>454</v>
      </c>
      <c r="X246" s="19" t="s">
        <v>80</v>
      </c>
      <c r="Y246" s="19" t="s">
        <v>76</v>
      </c>
      <c r="Z246" s="19" t="s">
        <v>77</v>
      </c>
      <c r="AA246" s="19" t="s">
        <v>74</v>
      </c>
      <c r="AB246" s="19" t="s">
        <v>75</v>
      </c>
      <c r="AC246" s="19" t="s">
        <v>78</v>
      </c>
      <c r="AD246" s="19" t="s">
        <v>79</v>
      </c>
      <c r="AE246" t="s">
        <v>455</v>
      </c>
      <c r="AF246" t="s">
        <v>456</v>
      </c>
      <c r="AG246" t="s">
        <v>457</v>
      </c>
      <c r="AH246" t="s">
        <v>458</v>
      </c>
      <c r="AI246">
        <v>15</v>
      </c>
      <c r="AJ246">
        <f t="shared" si="115"/>
        <v>7.5</v>
      </c>
      <c r="AK246">
        <f t="shared" si="116"/>
        <v>7.5</v>
      </c>
      <c r="AL246">
        <v>0</v>
      </c>
      <c r="AM246">
        <f t="shared" si="89"/>
        <v>0</v>
      </c>
      <c r="AN246">
        <f t="shared" si="90"/>
        <v>0</v>
      </c>
      <c r="AO246">
        <v>0</v>
      </c>
      <c r="AP246">
        <f t="shared" si="91"/>
        <v>0</v>
      </c>
      <c r="AQ246">
        <f t="shared" si="92"/>
        <v>0</v>
      </c>
      <c r="AS246">
        <f t="shared" si="113"/>
        <v>0</v>
      </c>
      <c r="AT246">
        <f t="shared" si="114"/>
        <v>0</v>
      </c>
      <c r="BO246" t="s">
        <v>831</v>
      </c>
      <c r="BP246" s="27">
        <f t="shared" si="118"/>
        <v>8.3333333333333339</v>
      </c>
      <c r="BQ246">
        <f t="shared" si="107"/>
        <v>1</v>
      </c>
      <c r="BR246">
        <f t="shared" si="108"/>
        <v>0</v>
      </c>
      <c r="BS246">
        <f t="shared" si="109"/>
        <v>0</v>
      </c>
      <c r="BT246">
        <f t="shared" si="110"/>
        <v>0</v>
      </c>
      <c r="BU246">
        <f t="shared" si="111"/>
        <v>0</v>
      </c>
      <c r="BV246">
        <f t="shared" si="112"/>
        <v>0</v>
      </c>
    </row>
    <row r="247" spans="1:74" x14ac:dyDescent="0.2">
      <c r="A247" t="s">
        <v>476</v>
      </c>
      <c r="B247" t="s">
        <v>470</v>
      </c>
      <c r="C247">
        <v>15</v>
      </c>
      <c r="F247" t="s">
        <v>422</v>
      </c>
      <c r="G247" t="s">
        <v>447</v>
      </c>
      <c r="H247" s="47" t="s">
        <v>427</v>
      </c>
      <c r="I247" t="s">
        <v>480</v>
      </c>
      <c r="J247" t="s">
        <v>511</v>
      </c>
      <c r="L247">
        <v>15</v>
      </c>
      <c r="M247">
        <f>VLOOKUP($H247,'Cooling-Rack'!$A$2:$G$265,5,FALSE)</f>
        <v>7.5</v>
      </c>
      <c r="N247">
        <f>VLOOKUP($H247,'Cooling-Rack'!$A$2:$G$265,7,FALSE)</f>
        <v>7.5</v>
      </c>
      <c r="O247">
        <v>18</v>
      </c>
      <c r="P247" s="100">
        <v>0.5</v>
      </c>
      <c r="Q247" s="100">
        <v>0.5</v>
      </c>
      <c r="R247" t="s">
        <v>449</v>
      </c>
      <c r="T247" s="44" t="s">
        <v>452</v>
      </c>
      <c r="V247" t="s">
        <v>454</v>
      </c>
      <c r="X247" s="19" t="s">
        <v>80</v>
      </c>
      <c r="Y247" s="19" t="s">
        <v>76</v>
      </c>
      <c r="Z247" s="19" t="s">
        <v>77</v>
      </c>
      <c r="AA247" s="19" t="s">
        <v>74</v>
      </c>
      <c r="AB247" s="19" t="s">
        <v>75</v>
      </c>
      <c r="AC247" s="19" t="s">
        <v>78</v>
      </c>
      <c r="AD247" s="19" t="s">
        <v>79</v>
      </c>
      <c r="AE247" t="s">
        <v>455</v>
      </c>
      <c r="AF247" t="s">
        <v>456</v>
      </c>
      <c r="AG247" t="s">
        <v>457</v>
      </c>
      <c r="AH247" t="s">
        <v>458</v>
      </c>
      <c r="AI247">
        <v>15</v>
      </c>
      <c r="AJ247">
        <f t="shared" si="115"/>
        <v>7.5</v>
      </c>
      <c r="AK247">
        <f t="shared" si="116"/>
        <v>7.5</v>
      </c>
      <c r="AL247">
        <v>0</v>
      </c>
      <c r="AM247">
        <f t="shared" si="89"/>
        <v>0</v>
      </c>
      <c r="AN247">
        <f t="shared" si="90"/>
        <v>0</v>
      </c>
      <c r="AO247">
        <v>0</v>
      </c>
      <c r="AP247">
        <f t="shared" si="91"/>
        <v>0</v>
      </c>
      <c r="AQ247">
        <f t="shared" si="92"/>
        <v>0</v>
      </c>
      <c r="AS247">
        <f t="shared" si="113"/>
        <v>0</v>
      </c>
      <c r="AT247">
        <f t="shared" si="114"/>
        <v>0</v>
      </c>
      <c r="BO247" t="s">
        <v>832</v>
      </c>
      <c r="BP247" s="27">
        <f t="shared" si="118"/>
        <v>8.3333333333333339</v>
      </c>
      <c r="BQ247">
        <f t="shared" si="107"/>
        <v>1</v>
      </c>
      <c r="BR247">
        <f t="shared" si="108"/>
        <v>0</v>
      </c>
      <c r="BS247">
        <f t="shared" si="109"/>
        <v>0</v>
      </c>
      <c r="BT247">
        <f t="shared" si="110"/>
        <v>0</v>
      </c>
      <c r="BU247">
        <f t="shared" si="111"/>
        <v>0</v>
      </c>
      <c r="BV247">
        <f t="shared" si="112"/>
        <v>0</v>
      </c>
    </row>
    <row r="248" spans="1:74" x14ac:dyDescent="0.2">
      <c r="A248" t="s">
        <v>476</v>
      </c>
      <c r="B248" t="s">
        <v>471</v>
      </c>
      <c r="C248">
        <v>15</v>
      </c>
      <c r="F248" t="s">
        <v>422</v>
      </c>
      <c r="G248" t="s">
        <v>447</v>
      </c>
      <c r="H248" s="47" t="s">
        <v>428</v>
      </c>
      <c r="I248" t="s">
        <v>480</v>
      </c>
      <c r="J248" t="s">
        <v>512</v>
      </c>
      <c r="L248">
        <v>15</v>
      </c>
      <c r="M248">
        <f>VLOOKUP($H248,'Cooling-Rack'!$A$2:$G$265,5,FALSE)</f>
        <v>7.5</v>
      </c>
      <c r="N248">
        <f>VLOOKUP($H248,'Cooling-Rack'!$A$2:$G$265,7,FALSE)</f>
        <v>7.5</v>
      </c>
      <c r="O248">
        <v>18</v>
      </c>
      <c r="P248" s="100">
        <v>0.5</v>
      </c>
      <c r="Q248" s="100">
        <v>0.5</v>
      </c>
      <c r="R248" t="s">
        <v>450</v>
      </c>
      <c r="T248" s="44" t="s">
        <v>453</v>
      </c>
      <c r="V248" t="s">
        <v>454</v>
      </c>
      <c r="X248" s="19" t="s">
        <v>80</v>
      </c>
      <c r="Y248" s="19" t="s">
        <v>76</v>
      </c>
      <c r="Z248" s="19" t="s">
        <v>77</v>
      </c>
      <c r="AA248" s="19" t="s">
        <v>74</v>
      </c>
      <c r="AB248" s="19" t="s">
        <v>75</v>
      </c>
      <c r="AC248" s="19" t="s">
        <v>78</v>
      </c>
      <c r="AD248" s="19" t="s">
        <v>79</v>
      </c>
      <c r="AE248" t="s">
        <v>455</v>
      </c>
      <c r="AF248" t="s">
        <v>456</v>
      </c>
      <c r="AG248" t="s">
        <v>457</v>
      </c>
      <c r="AH248" t="s">
        <v>458</v>
      </c>
      <c r="AI248">
        <v>10</v>
      </c>
      <c r="AJ248">
        <f t="shared" si="115"/>
        <v>5</v>
      </c>
      <c r="AK248">
        <f t="shared" si="116"/>
        <v>5</v>
      </c>
      <c r="AL248">
        <v>0</v>
      </c>
      <c r="AM248">
        <f t="shared" si="89"/>
        <v>0</v>
      </c>
      <c r="AN248">
        <f t="shared" si="90"/>
        <v>0</v>
      </c>
      <c r="AO248">
        <v>0</v>
      </c>
      <c r="AP248">
        <f t="shared" si="91"/>
        <v>0</v>
      </c>
      <c r="AQ248">
        <f t="shared" si="92"/>
        <v>0</v>
      </c>
      <c r="AS248">
        <f t="shared" si="113"/>
        <v>0</v>
      </c>
      <c r="AT248">
        <f t="shared" si="114"/>
        <v>0</v>
      </c>
      <c r="BO248" t="s">
        <v>833</v>
      </c>
      <c r="BP248" s="27">
        <f t="shared" si="118"/>
        <v>8.3333333333333339</v>
      </c>
      <c r="BQ248">
        <f t="shared" si="107"/>
        <v>1</v>
      </c>
      <c r="BR248">
        <f t="shared" si="108"/>
        <v>0</v>
      </c>
      <c r="BS248">
        <f t="shared" si="109"/>
        <v>0</v>
      </c>
      <c r="BT248">
        <f t="shared" si="110"/>
        <v>0</v>
      </c>
      <c r="BU248">
        <f t="shared" si="111"/>
        <v>0</v>
      </c>
      <c r="BV248">
        <f t="shared" si="112"/>
        <v>0</v>
      </c>
    </row>
    <row r="249" spans="1:74" x14ac:dyDescent="0.2">
      <c r="A249" t="s">
        <v>476</v>
      </c>
      <c r="B249" t="s">
        <v>471</v>
      </c>
      <c r="C249">
        <v>15</v>
      </c>
      <c r="F249" t="s">
        <v>422</v>
      </c>
      <c r="G249" t="s">
        <v>447</v>
      </c>
      <c r="H249" s="47" t="s">
        <v>429</v>
      </c>
      <c r="I249" t="s">
        <v>480</v>
      </c>
      <c r="J249" t="s">
        <v>513</v>
      </c>
      <c r="L249">
        <v>15</v>
      </c>
      <c r="M249">
        <f>VLOOKUP($H249,'Cooling-Rack'!$A$2:$G$265,5,FALSE)</f>
        <v>7.5</v>
      </c>
      <c r="N249">
        <f>VLOOKUP($H249,'Cooling-Rack'!$A$2:$G$265,7,FALSE)</f>
        <v>7.5</v>
      </c>
      <c r="O249">
        <v>18</v>
      </c>
      <c r="P249" s="100">
        <v>0.5</v>
      </c>
      <c r="Q249" s="100">
        <v>0.5</v>
      </c>
      <c r="R249" t="s">
        <v>451</v>
      </c>
      <c r="T249" s="44" t="s">
        <v>453</v>
      </c>
      <c r="V249" t="s">
        <v>454</v>
      </c>
      <c r="X249" s="19" t="s">
        <v>80</v>
      </c>
      <c r="Y249" s="19" t="s">
        <v>76</v>
      </c>
      <c r="Z249" s="19" t="s">
        <v>77</v>
      </c>
      <c r="AA249" s="19" t="s">
        <v>74</v>
      </c>
      <c r="AB249" s="19" t="s">
        <v>75</v>
      </c>
      <c r="AC249" s="19" t="s">
        <v>78</v>
      </c>
      <c r="AD249" s="19" t="s">
        <v>79</v>
      </c>
      <c r="AE249" t="s">
        <v>455</v>
      </c>
      <c r="AF249" t="s">
        <v>456</v>
      </c>
      <c r="AG249" t="s">
        <v>457</v>
      </c>
      <c r="AH249" t="s">
        <v>458</v>
      </c>
      <c r="AI249">
        <v>10</v>
      </c>
      <c r="AJ249">
        <f t="shared" si="115"/>
        <v>5</v>
      </c>
      <c r="AK249">
        <f t="shared" si="116"/>
        <v>5</v>
      </c>
      <c r="AL249">
        <v>0</v>
      </c>
      <c r="AM249">
        <f t="shared" si="89"/>
        <v>0</v>
      </c>
      <c r="AN249">
        <f t="shared" si="90"/>
        <v>0</v>
      </c>
      <c r="AO249">
        <v>0</v>
      </c>
      <c r="AP249">
        <f t="shared" si="91"/>
        <v>0</v>
      </c>
      <c r="AQ249">
        <f t="shared" si="92"/>
        <v>0</v>
      </c>
      <c r="AS249">
        <f t="shared" si="113"/>
        <v>0</v>
      </c>
      <c r="AT249">
        <f t="shared" si="114"/>
        <v>0</v>
      </c>
      <c r="BO249" t="s">
        <v>834</v>
      </c>
      <c r="BP249" s="27">
        <f t="shared" si="118"/>
        <v>8.3333333333333339</v>
      </c>
      <c r="BQ249">
        <f t="shared" si="107"/>
        <v>1</v>
      </c>
      <c r="BR249">
        <f t="shared" si="108"/>
        <v>0</v>
      </c>
      <c r="BS249">
        <f t="shared" si="109"/>
        <v>0</v>
      </c>
      <c r="BT249">
        <f t="shared" si="110"/>
        <v>0</v>
      </c>
      <c r="BU249">
        <f t="shared" si="111"/>
        <v>0</v>
      </c>
      <c r="BV249">
        <f t="shared" si="112"/>
        <v>0</v>
      </c>
    </row>
    <row r="250" spans="1:74" x14ac:dyDescent="0.2">
      <c r="A250" t="s">
        <v>476</v>
      </c>
      <c r="B250" t="s">
        <v>471</v>
      </c>
      <c r="C250">
        <v>15</v>
      </c>
      <c r="F250" t="s">
        <v>422</v>
      </c>
      <c r="G250" t="s">
        <v>447</v>
      </c>
      <c r="H250" s="47" t="s">
        <v>430</v>
      </c>
      <c r="I250" t="s">
        <v>480</v>
      </c>
      <c r="J250" t="s">
        <v>514</v>
      </c>
      <c r="L250">
        <v>15</v>
      </c>
      <c r="M250">
        <f>VLOOKUP($H250,'Cooling-Rack'!$A$2:$G$265,5,FALSE)</f>
        <v>7.5</v>
      </c>
      <c r="N250">
        <f>VLOOKUP($H250,'Cooling-Rack'!$A$2:$G$265,7,FALSE)</f>
        <v>7.5</v>
      </c>
      <c r="O250">
        <v>18</v>
      </c>
      <c r="P250" s="100">
        <v>0.5</v>
      </c>
      <c r="Q250" s="100">
        <v>0.5</v>
      </c>
      <c r="R250" t="s">
        <v>448</v>
      </c>
      <c r="T250" s="44" t="s">
        <v>452</v>
      </c>
      <c r="V250" t="s">
        <v>454</v>
      </c>
      <c r="X250" s="19" t="s">
        <v>80</v>
      </c>
      <c r="Y250" s="19" t="s">
        <v>76</v>
      </c>
      <c r="Z250" s="19" t="s">
        <v>77</v>
      </c>
      <c r="AA250" s="19" t="s">
        <v>74</v>
      </c>
      <c r="AB250" s="19" t="s">
        <v>75</v>
      </c>
      <c r="AC250" s="19" t="s">
        <v>78</v>
      </c>
      <c r="AD250" s="19" t="s">
        <v>79</v>
      </c>
      <c r="AE250" t="s">
        <v>455</v>
      </c>
      <c r="AF250" t="s">
        <v>456</v>
      </c>
      <c r="AG250" t="s">
        <v>457</v>
      </c>
      <c r="AH250" t="s">
        <v>458</v>
      </c>
      <c r="AI250">
        <v>10</v>
      </c>
      <c r="AJ250">
        <f t="shared" si="115"/>
        <v>5</v>
      </c>
      <c r="AK250">
        <f t="shared" si="116"/>
        <v>5</v>
      </c>
      <c r="AL250">
        <v>0</v>
      </c>
      <c r="AM250">
        <f t="shared" si="89"/>
        <v>0</v>
      </c>
      <c r="AN250">
        <f t="shared" si="90"/>
        <v>0</v>
      </c>
      <c r="AO250">
        <v>0</v>
      </c>
      <c r="AP250">
        <f t="shared" si="91"/>
        <v>0</v>
      </c>
      <c r="AQ250">
        <f t="shared" si="92"/>
        <v>0</v>
      </c>
      <c r="AS250">
        <f t="shared" si="113"/>
        <v>0</v>
      </c>
      <c r="AT250">
        <f t="shared" si="114"/>
        <v>0</v>
      </c>
      <c r="BO250" t="s">
        <v>835</v>
      </c>
      <c r="BP250" s="27">
        <f t="shared" si="118"/>
        <v>8.3333333333333339</v>
      </c>
      <c r="BQ250">
        <f t="shared" si="107"/>
        <v>1</v>
      </c>
      <c r="BR250">
        <f t="shared" si="108"/>
        <v>0</v>
      </c>
      <c r="BS250">
        <f t="shared" si="109"/>
        <v>0</v>
      </c>
      <c r="BT250">
        <f t="shared" si="110"/>
        <v>0</v>
      </c>
      <c r="BU250">
        <f t="shared" si="111"/>
        <v>0</v>
      </c>
      <c r="BV250">
        <f t="shared" si="112"/>
        <v>0</v>
      </c>
    </row>
    <row r="251" spans="1:74" x14ac:dyDescent="0.2">
      <c r="A251" t="s">
        <v>476</v>
      </c>
      <c r="B251" t="s">
        <v>471</v>
      </c>
      <c r="C251">
        <v>15</v>
      </c>
      <c r="F251" t="s">
        <v>422</v>
      </c>
      <c r="G251" t="s">
        <v>447</v>
      </c>
      <c r="H251" s="47" t="s">
        <v>431</v>
      </c>
      <c r="I251" t="s">
        <v>480</v>
      </c>
      <c r="J251" t="s">
        <v>515</v>
      </c>
      <c r="L251">
        <v>15</v>
      </c>
      <c r="M251">
        <f>VLOOKUP($H251,'Cooling-Rack'!$A$2:$G$265,5,FALSE)</f>
        <v>7.5</v>
      </c>
      <c r="N251">
        <f>VLOOKUP($H251,'Cooling-Rack'!$A$2:$G$265,7,FALSE)</f>
        <v>7.5</v>
      </c>
      <c r="O251">
        <v>18</v>
      </c>
      <c r="P251" s="100">
        <v>0.5</v>
      </c>
      <c r="Q251" s="100">
        <v>0.5</v>
      </c>
      <c r="R251" t="s">
        <v>449</v>
      </c>
      <c r="T251" s="44" t="s">
        <v>452</v>
      </c>
      <c r="V251" t="s">
        <v>454</v>
      </c>
      <c r="X251" s="19" t="s">
        <v>80</v>
      </c>
      <c r="Y251" s="19" t="s">
        <v>76</v>
      </c>
      <c r="Z251" s="19" t="s">
        <v>77</v>
      </c>
      <c r="AA251" s="19" t="s">
        <v>74</v>
      </c>
      <c r="AB251" s="19" t="s">
        <v>75</v>
      </c>
      <c r="AC251" s="19" t="s">
        <v>78</v>
      </c>
      <c r="AD251" s="19" t="s">
        <v>79</v>
      </c>
      <c r="AE251" t="s">
        <v>455</v>
      </c>
      <c r="AF251" t="s">
        <v>456</v>
      </c>
      <c r="AG251" t="s">
        <v>457</v>
      </c>
      <c r="AH251" t="s">
        <v>458</v>
      </c>
      <c r="AI251">
        <v>10</v>
      </c>
      <c r="AJ251">
        <f t="shared" si="115"/>
        <v>5</v>
      </c>
      <c r="AK251">
        <f t="shared" si="116"/>
        <v>5</v>
      </c>
      <c r="AL251">
        <v>0</v>
      </c>
      <c r="AM251">
        <f t="shared" si="89"/>
        <v>0</v>
      </c>
      <c r="AN251">
        <f t="shared" si="90"/>
        <v>0</v>
      </c>
      <c r="AO251">
        <v>0</v>
      </c>
      <c r="AP251">
        <f t="shared" si="91"/>
        <v>0</v>
      </c>
      <c r="AQ251">
        <f t="shared" si="92"/>
        <v>0</v>
      </c>
      <c r="AS251">
        <f t="shared" si="113"/>
        <v>0</v>
      </c>
      <c r="AT251">
        <f t="shared" si="114"/>
        <v>0</v>
      </c>
      <c r="BO251" t="s">
        <v>836</v>
      </c>
      <c r="BP251" s="27">
        <f t="shared" si="118"/>
        <v>8.3333333333333339</v>
      </c>
      <c r="BQ251">
        <f t="shared" si="107"/>
        <v>1</v>
      </c>
      <c r="BR251">
        <f t="shared" si="108"/>
        <v>0</v>
      </c>
      <c r="BS251">
        <f t="shared" si="109"/>
        <v>0</v>
      </c>
      <c r="BT251">
        <f t="shared" si="110"/>
        <v>0</v>
      </c>
      <c r="BU251">
        <f t="shared" si="111"/>
        <v>0</v>
      </c>
      <c r="BV251">
        <f t="shared" si="112"/>
        <v>0</v>
      </c>
    </row>
    <row r="252" spans="1:74" x14ac:dyDescent="0.2">
      <c r="A252" t="s">
        <v>476</v>
      </c>
      <c r="B252" t="s">
        <v>471</v>
      </c>
      <c r="C252">
        <v>15</v>
      </c>
      <c r="F252" t="s">
        <v>422</v>
      </c>
      <c r="G252" t="s">
        <v>447</v>
      </c>
      <c r="H252" s="47" t="s">
        <v>432</v>
      </c>
      <c r="I252" t="s">
        <v>480</v>
      </c>
      <c r="J252" t="s">
        <v>516</v>
      </c>
      <c r="L252">
        <v>15</v>
      </c>
      <c r="M252">
        <f>VLOOKUP($H252,'Cooling-Rack'!$A$2:$G$265,5,FALSE)</f>
        <v>7.5</v>
      </c>
      <c r="N252">
        <f>VLOOKUP($H252,'Cooling-Rack'!$A$2:$G$265,7,FALSE)</f>
        <v>7.5</v>
      </c>
      <c r="O252">
        <v>18</v>
      </c>
      <c r="P252" s="100">
        <v>0.5</v>
      </c>
      <c r="Q252" s="100">
        <v>0.5</v>
      </c>
      <c r="R252" t="s">
        <v>450</v>
      </c>
      <c r="T252" s="44" t="s">
        <v>453</v>
      </c>
      <c r="V252" t="s">
        <v>454</v>
      </c>
      <c r="X252" s="19" t="s">
        <v>80</v>
      </c>
      <c r="Y252" s="19" t="s">
        <v>76</v>
      </c>
      <c r="Z252" s="19" t="s">
        <v>77</v>
      </c>
      <c r="AA252" s="19" t="s">
        <v>74</v>
      </c>
      <c r="AB252" s="19" t="s">
        <v>75</v>
      </c>
      <c r="AC252" s="19" t="s">
        <v>78</v>
      </c>
      <c r="AD252" s="19" t="s">
        <v>79</v>
      </c>
      <c r="AE252" t="s">
        <v>455</v>
      </c>
      <c r="AF252" t="s">
        <v>456</v>
      </c>
      <c r="AG252" t="s">
        <v>457</v>
      </c>
      <c r="AH252" t="s">
        <v>458</v>
      </c>
      <c r="AI252">
        <v>10</v>
      </c>
      <c r="AJ252">
        <f t="shared" si="115"/>
        <v>5</v>
      </c>
      <c r="AK252">
        <f t="shared" si="116"/>
        <v>5</v>
      </c>
      <c r="AL252">
        <v>0</v>
      </c>
      <c r="AM252">
        <f t="shared" si="89"/>
        <v>0</v>
      </c>
      <c r="AN252">
        <f t="shared" si="90"/>
        <v>0</v>
      </c>
      <c r="AO252">
        <v>0</v>
      </c>
      <c r="AP252">
        <f t="shared" si="91"/>
        <v>0</v>
      </c>
      <c r="AQ252">
        <f t="shared" si="92"/>
        <v>0</v>
      </c>
      <c r="AS252">
        <f t="shared" si="113"/>
        <v>0</v>
      </c>
      <c r="AT252">
        <f t="shared" si="114"/>
        <v>0</v>
      </c>
      <c r="BO252" t="s">
        <v>837</v>
      </c>
      <c r="BP252" s="27">
        <f t="shared" si="118"/>
        <v>8.3333333333333339</v>
      </c>
      <c r="BQ252">
        <f t="shared" si="107"/>
        <v>1</v>
      </c>
      <c r="BR252">
        <f t="shared" si="108"/>
        <v>0</v>
      </c>
      <c r="BS252">
        <f t="shared" si="109"/>
        <v>0</v>
      </c>
      <c r="BT252">
        <f t="shared" si="110"/>
        <v>0</v>
      </c>
      <c r="BU252">
        <f t="shared" si="111"/>
        <v>0</v>
      </c>
      <c r="BV252">
        <f t="shared" si="112"/>
        <v>0</v>
      </c>
    </row>
    <row r="253" spans="1:74" x14ac:dyDescent="0.2">
      <c r="A253" t="s">
        <v>476</v>
      </c>
      <c r="B253" t="s">
        <v>471</v>
      </c>
      <c r="C253">
        <v>15</v>
      </c>
      <c r="F253" t="s">
        <v>422</v>
      </c>
      <c r="G253" t="s">
        <v>447</v>
      </c>
      <c r="H253" s="47" t="s">
        <v>433</v>
      </c>
      <c r="I253" t="s">
        <v>480</v>
      </c>
      <c r="J253" t="s">
        <v>517</v>
      </c>
      <c r="L253">
        <v>15</v>
      </c>
      <c r="M253">
        <f>VLOOKUP($H253,'Cooling-Rack'!$A$2:$G$265,5,FALSE)</f>
        <v>7.5</v>
      </c>
      <c r="N253">
        <f>VLOOKUP($H253,'Cooling-Rack'!$A$2:$G$265,7,FALSE)</f>
        <v>7.5</v>
      </c>
      <c r="O253">
        <v>18</v>
      </c>
      <c r="P253" s="100">
        <v>0.5</v>
      </c>
      <c r="Q253" s="100">
        <v>0.5</v>
      </c>
      <c r="R253" t="s">
        <v>451</v>
      </c>
      <c r="T253" s="44" t="s">
        <v>453</v>
      </c>
      <c r="V253" t="s">
        <v>454</v>
      </c>
      <c r="X253" s="19" t="s">
        <v>80</v>
      </c>
      <c r="Y253" s="19" t="s">
        <v>76</v>
      </c>
      <c r="Z253" s="19" t="s">
        <v>77</v>
      </c>
      <c r="AA253" s="19" t="s">
        <v>74</v>
      </c>
      <c r="AB253" s="19" t="s">
        <v>75</v>
      </c>
      <c r="AC253" s="19" t="s">
        <v>78</v>
      </c>
      <c r="AD253" s="19" t="s">
        <v>79</v>
      </c>
      <c r="AE253" t="s">
        <v>455</v>
      </c>
      <c r="AF253" t="s">
        <v>456</v>
      </c>
      <c r="AG253" t="s">
        <v>457</v>
      </c>
      <c r="AH253" t="s">
        <v>458</v>
      </c>
      <c r="AI253">
        <v>10</v>
      </c>
      <c r="AJ253">
        <f t="shared" si="115"/>
        <v>5</v>
      </c>
      <c r="AK253">
        <f t="shared" si="116"/>
        <v>5</v>
      </c>
      <c r="AL253">
        <v>0</v>
      </c>
      <c r="AM253">
        <f t="shared" si="89"/>
        <v>0</v>
      </c>
      <c r="AN253">
        <f t="shared" si="90"/>
        <v>0</v>
      </c>
      <c r="AO253">
        <v>0</v>
      </c>
      <c r="AP253">
        <f t="shared" si="91"/>
        <v>0</v>
      </c>
      <c r="AQ253">
        <f t="shared" si="92"/>
        <v>0</v>
      </c>
      <c r="AS253">
        <f t="shared" si="113"/>
        <v>0</v>
      </c>
      <c r="AT253">
        <f t="shared" si="114"/>
        <v>0</v>
      </c>
      <c r="BO253" t="s">
        <v>838</v>
      </c>
      <c r="BP253" s="27">
        <f t="shared" si="118"/>
        <v>8.3333333333333339</v>
      </c>
      <c r="BQ253">
        <f t="shared" si="107"/>
        <v>1</v>
      </c>
      <c r="BR253">
        <f t="shared" si="108"/>
        <v>0</v>
      </c>
      <c r="BS253">
        <f t="shared" si="109"/>
        <v>0</v>
      </c>
      <c r="BT253">
        <f t="shared" si="110"/>
        <v>0</v>
      </c>
      <c r="BU253">
        <f t="shared" si="111"/>
        <v>0</v>
      </c>
      <c r="BV253">
        <f t="shared" si="112"/>
        <v>0</v>
      </c>
    </row>
    <row r="254" spans="1:74" x14ac:dyDescent="0.2">
      <c r="A254" t="s">
        <v>477</v>
      </c>
      <c r="B254" t="s">
        <v>472</v>
      </c>
      <c r="C254">
        <v>15</v>
      </c>
      <c r="F254" t="s">
        <v>422</v>
      </c>
      <c r="G254" t="s">
        <v>447</v>
      </c>
      <c r="H254" s="47" t="s">
        <v>434</v>
      </c>
      <c r="I254" t="s">
        <v>481</v>
      </c>
      <c r="J254" t="s">
        <v>518</v>
      </c>
      <c r="L254">
        <v>15</v>
      </c>
      <c r="M254">
        <f>VLOOKUP($H254,'Cooling-Rack'!$A$2:$G$265,5,FALSE)</f>
        <v>7.5</v>
      </c>
      <c r="N254">
        <f>VLOOKUP($H254,'Cooling-Rack'!$A$2:$G$265,7,FALSE)</f>
        <v>7.5</v>
      </c>
      <c r="O254">
        <v>18</v>
      </c>
      <c r="P254" s="100">
        <v>0.5</v>
      </c>
      <c r="Q254" s="100">
        <v>0.5</v>
      </c>
      <c r="R254" t="s">
        <v>448</v>
      </c>
      <c r="T254" s="44" t="s">
        <v>452</v>
      </c>
      <c r="V254" t="s">
        <v>454</v>
      </c>
      <c r="X254" s="19" t="s">
        <v>80</v>
      </c>
      <c r="Y254" s="19" t="s">
        <v>76</v>
      </c>
      <c r="Z254" s="19" t="s">
        <v>77</v>
      </c>
      <c r="AA254" s="19" t="s">
        <v>74</v>
      </c>
      <c r="AB254" s="19" t="s">
        <v>75</v>
      </c>
      <c r="AC254" s="19" t="s">
        <v>78</v>
      </c>
      <c r="AD254" s="19" t="s">
        <v>79</v>
      </c>
      <c r="AE254" t="s">
        <v>455</v>
      </c>
      <c r="AF254" t="s">
        <v>456</v>
      </c>
      <c r="AG254" t="s">
        <v>457</v>
      </c>
      <c r="AH254" t="s">
        <v>458</v>
      </c>
      <c r="AL254">
        <v>0</v>
      </c>
      <c r="AM254">
        <f t="shared" si="89"/>
        <v>0</v>
      </c>
      <c r="AN254">
        <f t="shared" si="90"/>
        <v>0</v>
      </c>
      <c r="AO254">
        <v>0</v>
      </c>
      <c r="AP254">
        <f t="shared" si="91"/>
        <v>0</v>
      </c>
      <c r="AQ254">
        <f t="shared" si="92"/>
        <v>0</v>
      </c>
      <c r="AS254">
        <f t="shared" si="113"/>
        <v>0</v>
      </c>
      <c r="AT254">
        <f t="shared" si="114"/>
        <v>0</v>
      </c>
      <c r="BO254" t="s">
        <v>839</v>
      </c>
      <c r="BP254" s="27">
        <f t="shared" si="118"/>
        <v>8.3333333333333339</v>
      </c>
      <c r="BQ254">
        <f t="shared" si="107"/>
        <v>0</v>
      </c>
      <c r="BR254">
        <f t="shared" si="108"/>
        <v>0</v>
      </c>
      <c r="BS254">
        <f t="shared" si="109"/>
        <v>0</v>
      </c>
      <c r="BT254">
        <f t="shared" si="110"/>
        <v>0</v>
      </c>
      <c r="BU254">
        <f t="shared" si="111"/>
        <v>0</v>
      </c>
      <c r="BV254">
        <f t="shared" si="112"/>
        <v>0</v>
      </c>
    </row>
    <row r="255" spans="1:74" x14ac:dyDescent="0.2">
      <c r="A255" t="s">
        <v>477</v>
      </c>
      <c r="B255" t="s">
        <v>472</v>
      </c>
      <c r="C255">
        <v>15</v>
      </c>
      <c r="F255" t="s">
        <v>422</v>
      </c>
      <c r="G255" t="s">
        <v>447</v>
      </c>
      <c r="H255" s="47" t="s">
        <v>435</v>
      </c>
      <c r="I255" t="s">
        <v>481</v>
      </c>
      <c r="J255" t="s">
        <v>519</v>
      </c>
      <c r="L255">
        <v>15</v>
      </c>
      <c r="M255">
        <f>VLOOKUP($H255,'Cooling-Rack'!$A$2:$G$265,5,FALSE)</f>
        <v>7.5</v>
      </c>
      <c r="N255">
        <f>VLOOKUP($H255,'Cooling-Rack'!$A$2:$G$265,7,FALSE)</f>
        <v>7.5</v>
      </c>
      <c r="O255">
        <v>18</v>
      </c>
      <c r="P255" s="100">
        <v>0.5</v>
      </c>
      <c r="Q255" s="100">
        <v>0.5</v>
      </c>
      <c r="R255" t="s">
        <v>449</v>
      </c>
      <c r="T255" s="44" t="s">
        <v>452</v>
      </c>
      <c r="V255" t="s">
        <v>454</v>
      </c>
      <c r="X255" s="19" t="s">
        <v>80</v>
      </c>
      <c r="Y255" s="19" t="s">
        <v>76</v>
      </c>
      <c r="Z255" s="19" t="s">
        <v>77</v>
      </c>
      <c r="AA255" s="19" t="s">
        <v>74</v>
      </c>
      <c r="AB255" s="19" t="s">
        <v>75</v>
      </c>
      <c r="AC255" s="19" t="s">
        <v>78</v>
      </c>
      <c r="AD255" s="19" t="s">
        <v>79</v>
      </c>
      <c r="AE255" t="s">
        <v>455</v>
      </c>
      <c r="AF255" t="s">
        <v>456</v>
      </c>
      <c r="AG255" t="s">
        <v>457</v>
      </c>
      <c r="AH255" t="s">
        <v>458</v>
      </c>
      <c r="AL255">
        <v>0</v>
      </c>
      <c r="AM255">
        <f t="shared" si="89"/>
        <v>0</v>
      </c>
      <c r="AN255">
        <f t="shared" si="90"/>
        <v>0</v>
      </c>
      <c r="AO255">
        <v>0</v>
      </c>
      <c r="AP255">
        <f t="shared" si="91"/>
        <v>0</v>
      </c>
      <c r="AQ255">
        <f t="shared" si="92"/>
        <v>0</v>
      </c>
      <c r="AS255">
        <f t="shared" si="113"/>
        <v>0</v>
      </c>
      <c r="AT255">
        <f t="shared" si="114"/>
        <v>0</v>
      </c>
      <c r="BO255" t="s">
        <v>840</v>
      </c>
      <c r="BP255" s="27">
        <f t="shared" si="118"/>
        <v>8.3333333333333339</v>
      </c>
      <c r="BQ255">
        <f t="shared" si="107"/>
        <v>0</v>
      </c>
      <c r="BR255">
        <f t="shared" si="108"/>
        <v>0</v>
      </c>
      <c r="BS255">
        <f t="shared" si="109"/>
        <v>0</v>
      </c>
      <c r="BT255">
        <f t="shared" si="110"/>
        <v>0</v>
      </c>
      <c r="BU255">
        <f t="shared" si="111"/>
        <v>0</v>
      </c>
      <c r="BV255">
        <f t="shared" si="112"/>
        <v>0</v>
      </c>
    </row>
    <row r="256" spans="1:74" x14ac:dyDescent="0.2">
      <c r="A256" t="s">
        <v>477</v>
      </c>
      <c r="B256" t="s">
        <v>472</v>
      </c>
      <c r="C256">
        <v>15</v>
      </c>
      <c r="F256" t="s">
        <v>422</v>
      </c>
      <c r="G256" t="s">
        <v>447</v>
      </c>
      <c r="H256" s="47" t="s">
        <v>436</v>
      </c>
      <c r="I256" t="s">
        <v>481</v>
      </c>
      <c r="J256" t="s">
        <v>520</v>
      </c>
      <c r="L256">
        <v>15</v>
      </c>
      <c r="M256">
        <f>VLOOKUP($H256,'Cooling-Rack'!$A$2:$G$265,5,FALSE)</f>
        <v>7.5</v>
      </c>
      <c r="N256">
        <f>VLOOKUP($H256,'Cooling-Rack'!$A$2:$G$265,7,FALSE)</f>
        <v>7.5</v>
      </c>
      <c r="O256">
        <v>18</v>
      </c>
      <c r="P256" s="100">
        <v>0.5</v>
      </c>
      <c r="Q256" s="100">
        <v>0.5</v>
      </c>
      <c r="R256" t="s">
        <v>450</v>
      </c>
      <c r="T256" s="44" t="s">
        <v>453</v>
      </c>
      <c r="V256" t="s">
        <v>454</v>
      </c>
      <c r="X256" s="19" t="s">
        <v>80</v>
      </c>
      <c r="Y256" s="19" t="s">
        <v>76</v>
      </c>
      <c r="Z256" s="19" t="s">
        <v>77</v>
      </c>
      <c r="AA256" s="19" t="s">
        <v>74</v>
      </c>
      <c r="AB256" s="19" t="s">
        <v>75</v>
      </c>
      <c r="AC256" s="19" t="s">
        <v>78</v>
      </c>
      <c r="AD256" s="19" t="s">
        <v>79</v>
      </c>
      <c r="AE256" t="s">
        <v>455</v>
      </c>
      <c r="AF256" t="s">
        <v>456</v>
      </c>
      <c r="AG256" t="s">
        <v>457</v>
      </c>
      <c r="AH256" t="s">
        <v>458</v>
      </c>
      <c r="AL256">
        <v>0</v>
      </c>
      <c r="AM256">
        <f t="shared" si="89"/>
        <v>0</v>
      </c>
      <c r="AN256">
        <f t="shared" si="90"/>
        <v>0</v>
      </c>
      <c r="AO256">
        <v>0</v>
      </c>
      <c r="AP256">
        <f t="shared" si="91"/>
        <v>0</v>
      </c>
      <c r="AQ256">
        <f t="shared" si="92"/>
        <v>0</v>
      </c>
      <c r="AS256">
        <f t="shared" si="113"/>
        <v>0</v>
      </c>
      <c r="AT256">
        <f t="shared" si="114"/>
        <v>0</v>
      </c>
      <c r="BO256" t="s">
        <v>841</v>
      </c>
      <c r="BP256" s="27">
        <f t="shared" si="118"/>
        <v>8.3333333333333339</v>
      </c>
      <c r="BQ256">
        <f t="shared" si="107"/>
        <v>0</v>
      </c>
      <c r="BR256">
        <f t="shared" si="108"/>
        <v>0</v>
      </c>
      <c r="BS256">
        <f t="shared" si="109"/>
        <v>0</v>
      </c>
      <c r="BT256">
        <f t="shared" si="110"/>
        <v>0</v>
      </c>
      <c r="BU256">
        <f t="shared" si="111"/>
        <v>0</v>
      </c>
      <c r="BV256">
        <f t="shared" si="112"/>
        <v>0</v>
      </c>
    </row>
    <row r="257" spans="1:74" x14ac:dyDescent="0.2">
      <c r="A257" t="s">
        <v>477</v>
      </c>
      <c r="B257" t="s">
        <v>472</v>
      </c>
      <c r="C257">
        <v>15</v>
      </c>
      <c r="F257" t="s">
        <v>422</v>
      </c>
      <c r="G257" t="s">
        <v>447</v>
      </c>
      <c r="H257" s="47" t="s">
        <v>437</v>
      </c>
      <c r="I257" t="s">
        <v>481</v>
      </c>
      <c r="J257" t="s">
        <v>521</v>
      </c>
      <c r="L257">
        <v>15</v>
      </c>
      <c r="M257">
        <f>VLOOKUP($H257,'Cooling-Rack'!$A$2:$G$265,5,FALSE)</f>
        <v>7.5</v>
      </c>
      <c r="N257">
        <f>VLOOKUP($H257,'Cooling-Rack'!$A$2:$G$265,7,FALSE)</f>
        <v>7.5</v>
      </c>
      <c r="O257">
        <v>18</v>
      </c>
      <c r="P257" s="100">
        <v>0.5</v>
      </c>
      <c r="Q257" s="100">
        <v>0.5</v>
      </c>
      <c r="R257" t="s">
        <v>451</v>
      </c>
      <c r="T257" s="44" t="s">
        <v>453</v>
      </c>
      <c r="V257" t="s">
        <v>454</v>
      </c>
      <c r="X257" s="19" t="s">
        <v>80</v>
      </c>
      <c r="Y257" s="19" t="s">
        <v>76</v>
      </c>
      <c r="Z257" s="19" t="s">
        <v>77</v>
      </c>
      <c r="AA257" s="19" t="s">
        <v>74</v>
      </c>
      <c r="AB257" s="19" t="s">
        <v>75</v>
      </c>
      <c r="AC257" s="19" t="s">
        <v>78</v>
      </c>
      <c r="AD257" s="19" t="s">
        <v>79</v>
      </c>
      <c r="AE257" t="s">
        <v>455</v>
      </c>
      <c r="AF257" t="s">
        <v>456</v>
      </c>
      <c r="AG257" t="s">
        <v>457</v>
      </c>
      <c r="AH257" t="s">
        <v>458</v>
      </c>
      <c r="AL257">
        <v>0</v>
      </c>
      <c r="AM257">
        <f t="shared" si="89"/>
        <v>0</v>
      </c>
      <c r="AN257">
        <f t="shared" si="90"/>
        <v>0</v>
      </c>
      <c r="AO257">
        <v>0</v>
      </c>
      <c r="AP257">
        <f t="shared" si="91"/>
        <v>0</v>
      </c>
      <c r="AQ257">
        <f t="shared" si="92"/>
        <v>0</v>
      </c>
      <c r="AS257">
        <f t="shared" si="113"/>
        <v>0</v>
      </c>
      <c r="AT257">
        <f t="shared" si="114"/>
        <v>0</v>
      </c>
      <c r="BO257" t="s">
        <v>842</v>
      </c>
      <c r="BP257" s="27">
        <f t="shared" si="118"/>
        <v>8.3333333333333339</v>
      </c>
      <c r="BQ257">
        <f t="shared" si="107"/>
        <v>0</v>
      </c>
      <c r="BR257">
        <f t="shared" si="108"/>
        <v>0</v>
      </c>
      <c r="BS257">
        <f t="shared" si="109"/>
        <v>0</v>
      </c>
      <c r="BT257">
        <f t="shared" si="110"/>
        <v>0</v>
      </c>
      <c r="BU257">
        <f t="shared" si="111"/>
        <v>0</v>
      </c>
      <c r="BV257">
        <f t="shared" si="112"/>
        <v>0</v>
      </c>
    </row>
    <row r="258" spans="1:74" x14ac:dyDescent="0.2">
      <c r="A258" t="s">
        <v>477</v>
      </c>
      <c r="B258" t="s">
        <v>472</v>
      </c>
      <c r="C258">
        <v>15</v>
      </c>
      <c r="F258" t="s">
        <v>422</v>
      </c>
      <c r="G258" t="s">
        <v>447</v>
      </c>
      <c r="H258" s="47" t="s">
        <v>438</v>
      </c>
      <c r="I258" t="s">
        <v>481</v>
      </c>
      <c r="J258" t="s">
        <v>522</v>
      </c>
      <c r="L258">
        <v>15</v>
      </c>
      <c r="M258">
        <f>VLOOKUP($H258,'Cooling-Rack'!$A$2:$G$265,5,FALSE)</f>
        <v>7.5</v>
      </c>
      <c r="N258">
        <f>VLOOKUP($H258,'Cooling-Rack'!$A$2:$G$265,7,FALSE)</f>
        <v>7.5</v>
      </c>
      <c r="O258">
        <v>18</v>
      </c>
      <c r="P258" s="100">
        <v>0.5</v>
      </c>
      <c r="Q258" s="100">
        <v>0.5</v>
      </c>
      <c r="R258" t="s">
        <v>448</v>
      </c>
      <c r="T258" s="44" t="s">
        <v>452</v>
      </c>
      <c r="V258" t="s">
        <v>454</v>
      </c>
      <c r="X258" s="19" t="s">
        <v>80</v>
      </c>
      <c r="Y258" s="19" t="s">
        <v>76</v>
      </c>
      <c r="Z258" s="19" t="s">
        <v>77</v>
      </c>
      <c r="AA258" s="19" t="s">
        <v>74</v>
      </c>
      <c r="AB258" s="19" t="s">
        <v>75</v>
      </c>
      <c r="AC258" s="19" t="s">
        <v>78</v>
      </c>
      <c r="AD258" s="19" t="s">
        <v>79</v>
      </c>
      <c r="AE258" t="s">
        <v>455</v>
      </c>
      <c r="AF258" t="s">
        <v>456</v>
      </c>
      <c r="AG258" t="s">
        <v>457</v>
      </c>
      <c r="AH258" t="s">
        <v>458</v>
      </c>
      <c r="AL258">
        <v>0</v>
      </c>
      <c r="AM258">
        <f t="shared" si="89"/>
        <v>0</v>
      </c>
      <c r="AN258">
        <f t="shared" si="90"/>
        <v>0</v>
      </c>
      <c r="AO258">
        <v>0</v>
      </c>
      <c r="AP258">
        <f t="shared" si="91"/>
        <v>0</v>
      </c>
      <c r="AQ258">
        <f t="shared" si="92"/>
        <v>0</v>
      </c>
      <c r="AS258">
        <f t="shared" si="113"/>
        <v>0</v>
      </c>
      <c r="AT258">
        <f t="shared" si="114"/>
        <v>0</v>
      </c>
      <c r="BO258" t="s">
        <v>843</v>
      </c>
      <c r="BP258" s="27">
        <f t="shared" si="118"/>
        <v>8.3333333333333339</v>
      </c>
      <c r="BQ258">
        <f t="shared" si="107"/>
        <v>0</v>
      </c>
      <c r="BR258">
        <f t="shared" si="108"/>
        <v>0</v>
      </c>
      <c r="BS258">
        <f t="shared" si="109"/>
        <v>0</v>
      </c>
      <c r="BT258">
        <f t="shared" si="110"/>
        <v>0</v>
      </c>
      <c r="BU258">
        <f t="shared" si="111"/>
        <v>0</v>
      </c>
      <c r="BV258">
        <f t="shared" si="112"/>
        <v>0</v>
      </c>
    </row>
    <row r="259" spans="1:74" x14ac:dyDescent="0.2">
      <c r="A259" t="s">
        <v>477</v>
      </c>
      <c r="B259" t="s">
        <v>472</v>
      </c>
      <c r="C259">
        <v>15</v>
      </c>
      <c r="F259" t="s">
        <v>422</v>
      </c>
      <c r="G259" t="s">
        <v>447</v>
      </c>
      <c r="H259" s="47" t="s">
        <v>439</v>
      </c>
      <c r="I259" t="s">
        <v>481</v>
      </c>
      <c r="J259" t="s">
        <v>523</v>
      </c>
      <c r="L259">
        <v>15</v>
      </c>
      <c r="M259">
        <f>VLOOKUP($H259,'Cooling-Rack'!$A$2:$G$265,5,FALSE)</f>
        <v>7.5</v>
      </c>
      <c r="N259">
        <f>VLOOKUP($H259,'Cooling-Rack'!$A$2:$G$265,7,FALSE)</f>
        <v>7.5</v>
      </c>
      <c r="O259">
        <v>18</v>
      </c>
      <c r="P259" s="100">
        <v>0.5</v>
      </c>
      <c r="Q259" s="100">
        <v>0.5</v>
      </c>
      <c r="R259" t="s">
        <v>449</v>
      </c>
      <c r="T259" s="44" t="s">
        <v>452</v>
      </c>
      <c r="V259" t="s">
        <v>454</v>
      </c>
      <c r="X259" s="19" t="s">
        <v>80</v>
      </c>
      <c r="Y259" s="19" t="s">
        <v>76</v>
      </c>
      <c r="Z259" s="19" t="s">
        <v>77</v>
      </c>
      <c r="AA259" s="19" t="s">
        <v>74</v>
      </c>
      <c r="AB259" s="19" t="s">
        <v>75</v>
      </c>
      <c r="AC259" s="19" t="s">
        <v>78</v>
      </c>
      <c r="AD259" s="19" t="s">
        <v>79</v>
      </c>
      <c r="AE259" t="s">
        <v>455</v>
      </c>
      <c r="AF259" t="s">
        <v>456</v>
      </c>
      <c r="AG259" t="s">
        <v>457</v>
      </c>
      <c r="AH259" t="s">
        <v>458</v>
      </c>
      <c r="AL259">
        <v>0</v>
      </c>
      <c r="AM259">
        <f t="shared" ref="AM259:AM265" si="119">AL259/$L259*$M259</f>
        <v>0</v>
      </c>
      <c r="AN259">
        <f t="shared" ref="AN259:AN265" si="120">AL259/$L259*$N259</f>
        <v>0</v>
      </c>
      <c r="AO259">
        <v>0</v>
      </c>
      <c r="AP259">
        <f t="shared" ref="AP259:AP265" si="121">AO259/$L259*$M259</f>
        <v>0</v>
      </c>
      <c r="AQ259">
        <f t="shared" ref="AQ259:AQ265" si="122">AO259/$L259*$N259</f>
        <v>0</v>
      </c>
      <c r="AS259">
        <f t="shared" si="113"/>
        <v>0</v>
      </c>
      <c r="AT259">
        <f t="shared" si="114"/>
        <v>0</v>
      </c>
      <c r="BO259" t="s">
        <v>844</v>
      </c>
      <c r="BP259" s="27">
        <f t="shared" si="118"/>
        <v>8.3333333333333339</v>
      </c>
      <c r="BQ259">
        <f t="shared" ref="BQ259:BQ265" si="123">IF($AI259&gt;0, 1, 0)</f>
        <v>0</v>
      </c>
      <c r="BR259">
        <f t="shared" ref="BR259:BR265" si="124">IF($AL259&gt;0, 1, 0)</f>
        <v>0</v>
      </c>
      <c r="BS259">
        <f t="shared" ref="BS259:BS265" si="125">IF($AO259&gt;0, 1, 0)</f>
        <v>0</v>
      </c>
      <c r="BT259">
        <f t="shared" ref="BT259:BT265" si="126">IF($AR259&gt;0, 1, 0)</f>
        <v>0</v>
      </c>
      <c r="BU259">
        <f t="shared" ref="BU259:BU265" si="127">IF($AU259&gt;0, 1, 0)</f>
        <v>0</v>
      </c>
      <c r="BV259">
        <f t="shared" ref="BV259:BV265" si="128">IF(AX259&gt;0, 1, 0)</f>
        <v>0</v>
      </c>
    </row>
    <row r="260" spans="1:74" x14ac:dyDescent="0.2">
      <c r="A260" t="s">
        <v>477</v>
      </c>
      <c r="B260" t="s">
        <v>473</v>
      </c>
      <c r="C260">
        <v>15</v>
      </c>
      <c r="F260" t="s">
        <v>422</v>
      </c>
      <c r="G260" t="s">
        <v>447</v>
      </c>
      <c r="H260" s="47" t="s">
        <v>440</v>
      </c>
      <c r="I260" t="s">
        <v>481</v>
      </c>
      <c r="J260" t="s">
        <v>524</v>
      </c>
      <c r="L260">
        <v>15</v>
      </c>
      <c r="M260">
        <f>VLOOKUP($H260,'Cooling-Rack'!$A$2:$G$265,5,FALSE)</f>
        <v>7.5</v>
      </c>
      <c r="N260">
        <f>VLOOKUP($H260,'Cooling-Rack'!$A$2:$G$265,7,FALSE)</f>
        <v>7.5</v>
      </c>
      <c r="O260">
        <v>18</v>
      </c>
      <c r="P260" s="100">
        <v>0.5</v>
      </c>
      <c r="Q260" s="100">
        <v>0.5</v>
      </c>
      <c r="R260" t="s">
        <v>450</v>
      </c>
      <c r="T260" s="44" t="s">
        <v>453</v>
      </c>
      <c r="V260" t="s">
        <v>454</v>
      </c>
      <c r="X260" s="19" t="s">
        <v>80</v>
      </c>
      <c r="Y260" s="19" t="s">
        <v>76</v>
      </c>
      <c r="Z260" s="19" t="s">
        <v>77</v>
      </c>
      <c r="AA260" s="19" t="s">
        <v>74</v>
      </c>
      <c r="AB260" s="19" t="s">
        <v>75</v>
      </c>
      <c r="AC260" s="19" t="s">
        <v>78</v>
      </c>
      <c r="AD260" s="19" t="s">
        <v>79</v>
      </c>
      <c r="AE260" t="s">
        <v>455</v>
      </c>
      <c r="AF260" t="s">
        <v>456</v>
      </c>
      <c r="AG260" t="s">
        <v>457</v>
      </c>
      <c r="AH260" t="s">
        <v>458</v>
      </c>
      <c r="AL260">
        <v>0</v>
      </c>
      <c r="AM260">
        <f t="shared" si="119"/>
        <v>0</v>
      </c>
      <c r="AN260">
        <f t="shared" si="120"/>
        <v>0</v>
      </c>
      <c r="AO260">
        <v>0</v>
      </c>
      <c r="AP260">
        <f t="shared" si="121"/>
        <v>0</v>
      </c>
      <c r="AQ260">
        <f t="shared" si="122"/>
        <v>0</v>
      </c>
      <c r="AS260">
        <f t="shared" si="113"/>
        <v>0</v>
      </c>
      <c r="AT260">
        <f t="shared" si="114"/>
        <v>0</v>
      </c>
      <c r="BO260" t="s">
        <v>845</v>
      </c>
      <c r="BP260" s="27">
        <f t="shared" si="118"/>
        <v>8.3333333333333339</v>
      </c>
      <c r="BQ260">
        <f t="shared" si="123"/>
        <v>0</v>
      </c>
      <c r="BR260">
        <f t="shared" si="124"/>
        <v>0</v>
      </c>
      <c r="BS260">
        <f t="shared" si="125"/>
        <v>0</v>
      </c>
      <c r="BT260">
        <f t="shared" si="126"/>
        <v>0</v>
      </c>
      <c r="BU260">
        <f t="shared" si="127"/>
        <v>0</v>
      </c>
      <c r="BV260">
        <f t="shared" si="128"/>
        <v>0</v>
      </c>
    </row>
    <row r="261" spans="1:74" x14ac:dyDescent="0.2">
      <c r="A261" t="s">
        <v>477</v>
      </c>
      <c r="B261" t="s">
        <v>473</v>
      </c>
      <c r="C261">
        <v>15</v>
      </c>
      <c r="F261" t="s">
        <v>422</v>
      </c>
      <c r="G261" t="s">
        <v>447</v>
      </c>
      <c r="H261" s="47" t="s">
        <v>441</v>
      </c>
      <c r="I261" t="s">
        <v>481</v>
      </c>
      <c r="J261" t="s">
        <v>525</v>
      </c>
      <c r="L261">
        <v>15</v>
      </c>
      <c r="M261">
        <f>VLOOKUP($H261,'Cooling-Rack'!$A$2:$G$265,5,FALSE)</f>
        <v>7.5</v>
      </c>
      <c r="N261">
        <f>VLOOKUP($H261,'Cooling-Rack'!$A$2:$G$265,7,FALSE)</f>
        <v>7.5</v>
      </c>
      <c r="O261">
        <v>18</v>
      </c>
      <c r="P261" s="100">
        <v>0.5</v>
      </c>
      <c r="Q261" s="100">
        <v>0.5</v>
      </c>
      <c r="R261" t="s">
        <v>451</v>
      </c>
      <c r="T261" s="44" t="s">
        <v>453</v>
      </c>
      <c r="V261" t="s">
        <v>454</v>
      </c>
      <c r="X261" s="19" t="s">
        <v>80</v>
      </c>
      <c r="Y261" s="19" t="s">
        <v>76</v>
      </c>
      <c r="Z261" s="19" t="s">
        <v>77</v>
      </c>
      <c r="AA261" s="19" t="s">
        <v>74</v>
      </c>
      <c r="AB261" s="19" t="s">
        <v>75</v>
      </c>
      <c r="AC261" s="19" t="s">
        <v>78</v>
      </c>
      <c r="AD261" s="19" t="s">
        <v>79</v>
      </c>
      <c r="AE261" t="s">
        <v>455</v>
      </c>
      <c r="AF261" t="s">
        <v>456</v>
      </c>
      <c r="AG261" t="s">
        <v>457</v>
      </c>
      <c r="AH261" t="s">
        <v>458</v>
      </c>
      <c r="AL261">
        <v>0</v>
      </c>
      <c r="AM261">
        <f t="shared" si="119"/>
        <v>0</v>
      </c>
      <c r="AN261">
        <f t="shared" si="120"/>
        <v>0</v>
      </c>
      <c r="AO261">
        <v>0</v>
      </c>
      <c r="AP261">
        <f t="shared" si="121"/>
        <v>0</v>
      </c>
      <c r="AQ261">
        <f t="shared" si="122"/>
        <v>0</v>
      </c>
      <c r="AS261">
        <f t="shared" si="113"/>
        <v>0</v>
      </c>
      <c r="AT261">
        <f t="shared" si="114"/>
        <v>0</v>
      </c>
      <c r="BO261" t="s">
        <v>846</v>
      </c>
      <c r="BP261" s="27">
        <f t="shared" si="118"/>
        <v>8.3333333333333339</v>
      </c>
      <c r="BQ261">
        <f t="shared" si="123"/>
        <v>0</v>
      </c>
      <c r="BR261">
        <f t="shared" si="124"/>
        <v>0</v>
      </c>
      <c r="BS261">
        <f t="shared" si="125"/>
        <v>0</v>
      </c>
      <c r="BT261">
        <f t="shared" si="126"/>
        <v>0</v>
      </c>
      <c r="BU261">
        <f t="shared" si="127"/>
        <v>0</v>
      </c>
      <c r="BV261">
        <f t="shared" si="128"/>
        <v>0</v>
      </c>
    </row>
    <row r="262" spans="1:74" x14ac:dyDescent="0.2">
      <c r="A262" t="s">
        <v>477</v>
      </c>
      <c r="B262" t="s">
        <v>473</v>
      </c>
      <c r="C262">
        <v>15</v>
      </c>
      <c r="F262" t="s">
        <v>422</v>
      </c>
      <c r="G262" t="s">
        <v>447</v>
      </c>
      <c r="H262" s="47" t="s">
        <v>442</v>
      </c>
      <c r="I262" t="s">
        <v>481</v>
      </c>
      <c r="J262" t="s">
        <v>526</v>
      </c>
      <c r="L262">
        <v>15</v>
      </c>
      <c r="M262">
        <f>VLOOKUP($H262,'Cooling-Rack'!$A$2:$G$265,5,FALSE)</f>
        <v>7.5</v>
      </c>
      <c r="N262">
        <f>VLOOKUP($H262,'Cooling-Rack'!$A$2:$G$265,7,FALSE)</f>
        <v>7.5</v>
      </c>
      <c r="O262">
        <v>18</v>
      </c>
      <c r="P262" s="100">
        <v>0.5</v>
      </c>
      <c r="Q262" s="100">
        <v>0.5</v>
      </c>
      <c r="R262" t="s">
        <v>448</v>
      </c>
      <c r="T262" s="44" t="s">
        <v>452</v>
      </c>
      <c r="V262" t="s">
        <v>454</v>
      </c>
      <c r="X262" s="19" t="s">
        <v>80</v>
      </c>
      <c r="Y262" s="19" t="s">
        <v>76</v>
      </c>
      <c r="Z262" s="19" t="s">
        <v>77</v>
      </c>
      <c r="AA262" s="19" t="s">
        <v>74</v>
      </c>
      <c r="AB262" s="19" t="s">
        <v>75</v>
      </c>
      <c r="AC262" s="19" t="s">
        <v>78</v>
      </c>
      <c r="AD262" s="19" t="s">
        <v>79</v>
      </c>
      <c r="AE262" t="s">
        <v>455</v>
      </c>
      <c r="AF262" t="s">
        <v>456</v>
      </c>
      <c r="AG262" t="s">
        <v>457</v>
      </c>
      <c r="AH262" t="s">
        <v>458</v>
      </c>
      <c r="AL262">
        <v>0</v>
      </c>
      <c r="AM262">
        <f t="shared" si="119"/>
        <v>0</v>
      </c>
      <c r="AN262">
        <f t="shared" si="120"/>
        <v>0</v>
      </c>
      <c r="AO262">
        <v>0</v>
      </c>
      <c r="AP262">
        <f t="shared" si="121"/>
        <v>0</v>
      </c>
      <c r="AQ262">
        <f t="shared" si="122"/>
        <v>0</v>
      </c>
      <c r="AS262">
        <f t="shared" si="113"/>
        <v>0</v>
      </c>
      <c r="AT262">
        <f t="shared" si="114"/>
        <v>0</v>
      </c>
      <c r="BO262" t="s">
        <v>847</v>
      </c>
      <c r="BP262" s="27">
        <f t="shared" si="118"/>
        <v>8.3333333333333339</v>
      </c>
      <c r="BQ262">
        <f t="shared" si="123"/>
        <v>0</v>
      </c>
      <c r="BR262">
        <f t="shared" si="124"/>
        <v>0</v>
      </c>
      <c r="BS262">
        <f t="shared" si="125"/>
        <v>0</v>
      </c>
      <c r="BT262">
        <f t="shared" si="126"/>
        <v>0</v>
      </c>
      <c r="BU262">
        <f t="shared" si="127"/>
        <v>0</v>
      </c>
      <c r="BV262">
        <f t="shared" si="128"/>
        <v>0</v>
      </c>
    </row>
    <row r="263" spans="1:74" x14ac:dyDescent="0.2">
      <c r="A263" t="s">
        <v>477</v>
      </c>
      <c r="B263" t="s">
        <v>473</v>
      </c>
      <c r="C263">
        <v>15</v>
      </c>
      <c r="F263" t="s">
        <v>422</v>
      </c>
      <c r="G263" t="s">
        <v>447</v>
      </c>
      <c r="H263" s="47" t="s">
        <v>443</v>
      </c>
      <c r="I263" t="s">
        <v>481</v>
      </c>
      <c r="J263" t="s">
        <v>527</v>
      </c>
      <c r="L263">
        <v>15</v>
      </c>
      <c r="M263">
        <f>VLOOKUP($H263,'Cooling-Rack'!$A$2:$G$265,5,FALSE)</f>
        <v>7.5</v>
      </c>
      <c r="N263">
        <f>VLOOKUP($H263,'Cooling-Rack'!$A$2:$G$265,7,FALSE)</f>
        <v>7.5</v>
      </c>
      <c r="O263">
        <v>18</v>
      </c>
      <c r="P263" s="100">
        <v>0.5</v>
      </c>
      <c r="Q263" s="100">
        <v>0.5</v>
      </c>
      <c r="R263" t="s">
        <v>449</v>
      </c>
      <c r="T263" s="44" t="s">
        <v>452</v>
      </c>
      <c r="V263" t="s">
        <v>454</v>
      </c>
      <c r="X263" s="19" t="s">
        <v>80</v>
      </c>
      <c r="Y263" s="19" t="s">
        <v>76</v>
      </c>
      <c r="Z263" s="19" t="s">
        <v>77</v>
      </c>
      <c r="AA263" s="19" t="s">
        <v>74</v>
      </c>
      <c r="AB263" s="19" t="s">
        <v>75</v>
      </c>
      <c r="AC263" s="19" t="s">
        <v>78</v>
      </c>
      <c r="AD263" s="19" t="s">
        <v>79</v>
      </c>
      <c r="AE263" t="s">
        <v>455</v>
      </c>
      <c r="AF263" t="s">
        <v>456</v>
      </c>
      <c r="AG263" t="s">
        <v>457</v>
      </c>
      <c r="AH263" t="s">
        <v>458</v>
      </c>
      <c r="AL263">
        <v>0</v>
      </c>
      <c r="AM263">
        <f t="shared" si="119"/>
        <v>0</v>
      </c>
      <c r="AN263">
        <f t="shared" si="120"/>
        <v>0</v>
      </c>
      <c r="AO263">
        <v>0</v>
      </c>
      <c r="AP263">
        <f t="shared" si="121"/>
        <v>0</v>
      </c>
      <c r="AQ263">
        <f t="shared" si="122"/>
        <v>0</v>
      </c>
      <c r="AS263">
        <f t="shared" si="113"/>
        <v>0</v>
      </c>
      <c r="AT263">
        <f t="shared" si="114"/>
        <v>0</v>
      </c>
      <c r="BO263" t="s">
        <v>848</v>
      </c>
      <c r="BP263" s="27">
        <f t="shared" si="118"/>
        <v>8.3333333333333339</v>
      </c>
      <c r="BQ263">
        <f t="shared" si="123"/>
        <v>0</v>
      </c>
      <c r="BR263">
        <f t="shared" si="124"/>
        <v>0</v>
      </c>
      <c r="BS263">
        <f t="shared" si="125"/>
        <v>0</v>
      </c>
      <c r="BT263">
        <f t="shared" si="126"/>
        <v>0</v>
      </c>
      <c r="BU263">
        <f t="shared" si="127"/>
        <v>0</v>
      </c>
      <c r="BV263">
        <f t="shared" si="128"/>
        <v>0</v>
      </c>
    </row>
    <row r="264" spans="1:74" x14ac:dyDescent="0.2">
      <c r="A264" t="s">
        <v>477</v>
      </c>
      <c r="B264" t="s">
        <v>473</v>
      </c>
      <c r="C264">
        <v>15</v>
      </c>
      <c r="F264" t="s">
        <v>422</v>
      </c>
      <c r="G264" t="s">
        <v>447</v>
      </c>
      <c r="H264" s="47" t="s">
        <v>444</v>
      </c>
      <c r="I264" t="s">
        <v>481</v>
      </c>
      <c r="J264" t="s">
        <v>528</v>
      </c>
      <c r="L264">
        <v>15</v>
      </c>
      <c r="M264">
        <f>VLOOKUP($H264,'Cooling-Rack'!$A$2:$G$265,5,FALSE)</f>
        <v>7.5</v>
      </c>
      <c r="N264">
        <f>VLOOKUP($H264,'Cooling-Rack'!$A$2:$G$265,7,FALSE)</f>
        <v>7.5</v>
      </c>
      <c r="O264">
        <v>18</v>
      </c>
      <c r="P264" s="100">
        <v>0.5</v>
      </c>
      <c r="Q264" s="100">
        <v>0.5</v>
      </c>
      <c r="R264" t="s">
        <v>450</v>
      </c>
      <c r="T264" s="44" t="s">
        <v>453</v>
      </c>
      <c r="V264" t="s">
        <v>454</v>
      </c>
      <c r="X264" s="19" t="s">
        <v>80</v>
      </c>
      <c r="Y264" s="19" t="s">
        <v>76</v>
      </c>
      <c r="Z264" s="19" t="s">
        <v>77</v>
      </c>
      <c r="AA264" s="19" t="s">
        <v>74</v>
      </c>
      <c r="AB264" s="19" t="s">
        <v>75</v>
      </c>
      <c r="AC264" s="19" t="s">
        <v>78</v>
      </c>
      <c r="AD264" s="19" t="s">
        <v>79</v>
      </c>
      <c r="AE264" t="s">
        <v>455</v>
      </c>
      <c r="AF264" t="s">
        <v>456</v>
      </c>
      <c r="AG264" t="s">
        <v>457</v>
      </c>
      <c r="AH264" t="s">
        <v>458</v>
      </c>
      <c r="AL264">
        <v>0</v>
      </c>
      <c r="AM264">
        <f t="shared" si="119"/>
        <v>0</v>
      </c>
      <c r="AN264">
        <f t="shared" si="120"/>
        <v>0</v>
      </c>
      <c r="AO264">
        <v>0</v>
      </c>
      <c r="AP264">
        <f t="shared" si="121"/>
        <v>0</v>
      </c>
      <c r="AQ264">
        <f t="shared" si="122"/>
        <v>0</v>
      </c>
      <c r="AS264">
        <f t="shared" si="113"/>
        <v>0</v>
      </c>
      <c r="AT264">
        <f t="shared" si="114"/>
        <v>0</v>
      </c>
      <c r="BO264" t="s">
        <v>849</v>
      </c>
      <c r="BP264" s="27">
        <f t="shared" si="118"/>
        <v>8.3333333333333339</v>
      </c>
      <c r="BQ264">
        <f t="shared" si="123"/>
        <v>0</v>
      </c>
      <c r="BR264">
        <f t="shared" si="124"/>
        <v>0</v>
      </c>
      <c r="BS264">
        <f t="shared" si="125"/>
        <v>0</v>
      </c>
      <c r="BT264">
        <f t="shared" si="126"/>
        <v>0</v>
      </c>
      <c r="BU264">
        <f t="shared" si="127"/>
        <v>0</v>
      </c>
      <c r="BV264">
        <f t="shared" si="128"/>
        <v>0</v>
      </c>
    </row>
    <row r="265" spans="1:74" x14ac:dyDescent="0.2">
      <c r="A265" t="s">
        <v>477</v>
      </c>
      <c r="B265" t="s">
        <v>473</v>
      </c>
      <c r="C265">
        <v>15</v>
      </c>
      <c r="F265" t="s">
        <v>422</v>
      </c>
      <c r="G265" t="s">
        <v>447</v>
      </c>
      <c r="H265" s="47" t="s">
        <v>445</v>
      </c>
      <c r="I265" t="s">
        <v>481</v>
      </c>
      <c r="J265" t="s">
        <v>529</v>
      </c>
      <c r="L265">
        <v>15</v>
      </c>
      <c r="M265">
        <f>VLOOKUP($H265,'Cooling-Rack'!$A$2:$G$265,5,FALSE)</f>
        <v>7.5</v>
      </c>
      <c r="N265">
        <f>VLOOKUP($H265,'Cooling-Rack'!$A$2:$G$265,7,FALSE)</f>
        <v>7.5</v>
      </c>
      <c r="O265">
        <v>18</v>
      </c>
      <c r="P265" s="100">
        <v>0.5</v>
      </c>
      <c r="Q265" s="100">
        <v>0.5</v>
      </c>
      <c r="R265" t="s">
        <v>451</v>
      </c>
      <c r="T265" s="44" t="s">
        <v>453</v>
      </c>
      <c r="V265" t="s">
        <v>454</v>
      </c>
      <c r="X265" s="19" t="s">
        <v>80</v>
      </c>
      <c r="Y265" s="19" t="s">
        <v>76</v>
      </c>
      <c r="Z265" s="19" t="s">
        <v>77</v>
      </c>
      <c r="AA265" s="19" t="s">
        <v>74</v>
      </c>
      <c r="AB265" s="19" t="s">
        <v>75</v>
      </c>
      <c r="AC265" s="19" t="s">
        <v>78</v>
      </c>
      <c r="AD265" s="19" t="s">
        <v>79</v>
      </c>
      <c r="AE265" t="s">
        <v>455</v>
      </c>
      <c r="AF265" t="s">
        <v>456</v>
      </c>
      <c r="AG265" t="s">
        <v>457</v>
      </c>
      <c r="AH265" t="s">
        <v>458</v>
      </c>
      <c r="AL265">
        <v>0</v>
      </c>
      <c r="AM265">
        <f t="shared" si="119"/>
        <v>0</v>
      </c>
      <c r="AN265">
        <f t="shared" si="120"/>
        <v>0</v>
      </c>
      <c r="AO265">
        <v>0</v>
      </c>
      <c r="AP265">
        <f t="shared" si="121"/>
        <v>0</v>
      </c>
      <c r="AQ265">
        <f t="shared" si="122"/>
        <v>0</v>
      </c>
      <c r="AS265">
        <f t="shared" si="113"/>
        <v>0</v>
      </c>
      <c r="AT265">
        <f t="shared" si="114"/>
        <v>0</v>
      </c>
      <c r="BO265" t="s">
        <v>850</v>
      </c>
      <c r="BP265" s="27">
        <f t="shared" si="118"/>
        <v>8.3333333333333339</v>
      </c>
      <c r="BQ265">
        <f t="shared" si="123"/>
        <v>0</v>
      </c>
      <c r="BR265">
        <f t="shared" si="124"/>
        <v>0</v>
      </c>
      <c r="BS265">
        <f t="shared" si="125"/>
        <v>0</v>
      </c>
      <c r="BT265">
        <f t="shared" si="126"/>
        <v>0</v>
      </c>
      <c r="BU265">
        <f t="shared" si="127"/>
        <v>0</v>
      </c>
      <c r="BV265">
        <f t="shared" si="12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2038-6798-D349-8877-997FF76ADF15}">
  <sheetPr>
    <tabColor rgb="FF92D050"/>
  </sheetPr>
  <dimension ref="A1:X421"/>
  <sheetViews>
    <sheetView zoomScale="140" zoomScaleNormal="140" workbookViewId="0">
      <pane xSplit="2" ySplit="1" topLeftCell="D28" activePane="bottomRight" state="frozen"/>
      <selection pane="topRight" activeCell="C1" sqref="C1"/>
      <selection pane="bottomLeft" activeCell="A2" sqref="A2"/>
      <selection pane="bottomRight" activeCell="L41" sqref="L41"/>
    </sheetView>
  </sheetViews>
  <sheetFormatPr baseColWidth="10" defaultRowHeight="16" x14ac:dyDescent="0.2"/>
  <cols>
    <col min="1" max="1" width="15.5" customWidth="1"/>
    <col min="2" max="2" width="21.1640625" customWidth="1"/>
    <col min="3" max="3" width="15" customWidth="1"/>
    <col min="4" max="4" width="20.5" customWidth="1"/>
    <col min="6" max="6" width="17.83203125" style="18" customWidth="1"/>
    <col min="7" max="7" width="15.5" style="18" customWidth="1"/>
    <col min="8" max="8" width="16.6640625" style="18" customWidth="1"/>
    <col min="9" max="9" width="15.33203125" style="18" customWidth="1"/>
    <col min="10" max="11" width="12.83203125" style="18" customWidth="1"/>
    <col min="12" max="12" width="13" customWidth="1"/>
    <col min="13" max="13" width="21.5" customWidth="1"/>
    <col min="14" max="14" width="16" customWidth="1"/>
    <col min="15" max="15" width="21" customWidth="1"/>
    <col min="16" max="16" width="16.6640625" customWidth="1"/>
    <col min="17" max="17" width="21.33203125" customWidth="1"/>
    <col min="18" max="18" width="17.1640625" customWidth="1"/>
    <col min="19" max="19" width="18.1640625" customWidth="1"/>
    <col min="20" max="20" width="15.83203125" customWidth="1"/>
    <col min="21" max="21" width="20.5" customWidth="1"/>
    <col min="22" max="22" width="18" customWidth="1"/>
    <col min="23" max="23" width="17.6640625" customWidth="1"/>
    <col min="24" max="24" width="15" customWidth="1"/>
  </cols>
  <sheetData>
    <row r="1" spans="1:24" s="39" customFormat="1" ht="30" customHeight="1" x14ac:dyDescent="0.2">
      <c r="A1" s="1" t="s">
        <v>644</v>
      </c>
      <c r="B1" s="1" t="s">
        <v>642</v>
      </c>
      <c r="C1" s="1" t="s">
        <v>533</v>
      </c>
      <c r="D1" s="1" t="s">
        <v>1092</v>
      </c>
      <c r="E1" s="1" t="s">
        <v>643</v>
      </c>
      <c r="F1" s="52" t="s">
        <v>636</v>
      </c>
      <c r="G1" s="52" t="s">
        <v>638</v>
      </c>
      <c r="H1" s="52" t="s">
        <v>639</v>
      </c>
      <c r="I1" s="73" t="s">
        <v>637</v>
      </c>
      <c r="J1" s="73" t="s">
        <v>640</v>
      </c>
      <c r="K1" s="73" t="s">
        <v>641</v>
      </c>
      <c r="L1" s="52" t="s">
        <v>635</v>
      </c>
      <c r="M1" s="39" t="s">
        <v>659</v>
      </c>
      <c r="N1" s="58" t="s">
        <v>658</v>
      </c>
      <c r="O1" s="39" t="s">
        <v>681</v>
      </c>
      <c r="P1" s="71" t="s">
        <v>686</v>
      </c>
      <c r="Q1" s="71" t="s">
        <v>687</v>
      </c>
      <c r="R1" s="99" t="s">
        <v>685</v>
      </c>
      <c r="S1" s="94" t="s">
        <v>661</v>
      </c>
      <c r="T1" s="94" t="s">
        <v>709</v>
      </c>
      <c r="U1" s="94" t="s">
        <v>1069</v>
      </c>
      <c r="V1" s="94" t="s">
        <v>1067</v>
      </c>
      <c r="W1" s="94" t="s">
        <v>1070</v>
      </c>
      <c r="X1" s="94" t="s">
        <v>1068</v>
      </c>
    </row>
    <row r="2" spans="1:24" x14ac:dyDescent="0.2">
      <c r="A2" s="74" t="s">
        <v>6</v>
      </c>
      <c r="B2" s="75" t="s">
        <v>466</v>
      </c>
      <c r="C2" s="5"/>
      <c r="D2" s="5"/>
      <c r="E2" s="5" t="b">
        <v>0</v>
      </c>
      <c r="F2" s="18">
        <f>VLOOKUP($B2,Constraints!$C$2:$Z$86,15, FALSE)</f>
        <v>0</v>
      </c>
      <c r="I2" s="18">
        <f>F2/0.8</f>
        <v>0</v>
      </c>
      <c r="L2" s="18">
        <f>VLOOKUP($B2,Constraints!$C$2:$AK$86,26, FALSE)</f>
        <v>0</v>
      </c>
      <c r="M2" s="71"/>
      <c r="N2" s="18"/>
    </row>
    <row r="3" spans="1:24" x14ac:dyDescent="0.2">
      <c r="A3" s="74" t="s">
        <v>6</v>
      </c>
      <c r="B3" s="75" t="s">
        <v>467</v>
      </c>
      <c r="C3" s="5"/>
      <c r="D3" s="5"/>
      <c r="E3" s="5" t="b">
        <v>0</v>
      </c>
      <c r="F3" s="18">
        <f>VLOOKUP($B3,Constraints!$C$2:$Z$86,15, FALSE)</f>
        <v>0</v>
      </c>
      <c r="I3" s="18">
        <f t="shared" ref="I3:K53" si="0">F3/0.8</f>
        <v>0</v>
      </c>
      <c r="L3" s="18">
        <f>VLOOKUP($B3,Constraints!$C$2:$AK$86,26, FALSE)</f>
        <v>0</v>
      </c>
      <c r="M3" s="71"/>
      <c r="N3" s="18"/>
    </row>
    <row r="4" spans="1:24" x14ac:dyDescent="0.2">
      <c r="A4" s="74" t="s">
        <v>6</v>
      </c>
      <c r="B4" s="75" t="s">
        <v>468</v>
      </c>
      <c r="C4" s="5"/>
      <c r="D4" s="5"/>
      <c r="E4" s="5" t="b">
        <v>0</v>
      </c>
      <c r="F4" s="18">
        <f>VLOOKUP($B4,Constraints!$C$2:$Z$86,15, FALSE)</f>
        <v>0</v>
      </c>
      <c r="I4" s="18">
        <f t="shared" si="0"/>
        <v>0</v>
      </c>
      <c r="L4" s="18">
        <f>VLOOKUP($B4,Constraints!$C$2:$AK$86,26, FALSE)</f>
        <v>0</v>
      </c>
      <c r="M4" s="71"/>
      <c r="N4" s="18"/>
    </row>
    <row r="5" spans="1:24" x14ac:dyDescent="0.2">
      <c r="A5" s="74" t="s">
        <v>6</v>
      </c>
      <c r="B5" s="75" t="s">
        <v>469</v>
      </c>
      <c r="C5" s="5"/>
      <c r="D5" s="5"/>
      <c r="E5" s="5" t="b">
        <v>0</v>
      </c>
      <c r="F5" s="18">
        <f>VLOOKUP($B5,Constraints!$C$2:$Z$86,15, FALSE)</f>
        <v>0</v>
      </c>
      <c r="I5" s="18">
        <f t="shared" si="0"/>
        <v>0</v>
      </c>
      <c r="L5" s="18">
        <f>VLOOKUP($B5,Constraints!$C$2:$AK$86,26, FALSE)</f>
        <v>0</v>
      </c>
      <c r="M5" s="71"/>
      <c r="N5" s="18"/>
    </row>
    <row r="6" spans="1:24" x14ac:dyDescent="0.2">
      <c r="A6" s="74" t="s">
        <v>6</v>
      </c>
      <c r="B6" s="75" t="s">
        <v>470</v>
      </c>
      <c r="C6" s="5"/>
      <c r="D6" s="5"/>
      <c r="E6" s="5" t="b">
        <v>0</v>
      </c>
      <c r="F6" s="18">
        <f>VLOOKUP($B6,Constraints!$C$2:$Z$86,15, FALSE)</f>
        <v>0</v>
      </c>
      <c r="I6" s="18">
        <f t="shared" si="0"/>
        <v>0</v>
      </c>
      <c r="L6" s="18">
        <f>VLOOKUP($B6,Constraints!$C$2:$AK$86,26, FALSE)</f>
        <v>0</v>
      </c>
      <c r="M6" s="71"/>
      <c r="N6" s="18"/>
    </row>
    <row r="7" spans="1:24" x14ac:dyDescent="0.2">
      <c r="A7" s="74" t="s">
        <v>6</v>
      </c>
      <c r="B7" s="75" t="s">
        <v>471</v>
      </c>
      <c r="C7" s="5"/>
      <c r="D7" s="5"/>
      <c r="E7" s="5" t="b">
        <v>0</v>
      </c>
      <c r="F7" s="18">
        <f>VLOOKUP($B7,Constraints!$C$2:$Z$86,15, FALSE)</f>
        <v>0</v>
      </c>
      <c r="I7" s="18">
        <f t="shared" si="0"/>
        <v>0</v>
      </c>
      <c r="L7" s="18">
        <f>VLOOKUP($B7,Constraints!$C$2:$AK$86,26, FALSE)</f>
        <v>0</v>
      </c>
      <c r="M7" s="71"/>
      <c r="N7" s="18"/>
    </row>
    <row r="8" spans="1:24" x14ac:dyDescent="0.2">
      <c r="A8" s="74" t="s">
        <v>6</v>
      </c>
      <c r="B8" s="75" t="s">
        <v>472</v>
      </c>
      <c r="C8" s="5"/>
      <c r="D8" s="5"/>
      <c r="E8" s="5" t="b">
        <v>0</v>
      </c>
      <c r="F8" s="18">
        <f>VLOOKUP($B8,Constraints!$C$2:$Z$86,15, FALSE)</f>
        <v>0</v>
      </c>
      <c r="I8" s="18">
        <f t="shared" si="0"/>
        <v>0</v>
      </c>
      <c r="L8" s="18">
        <f>VLOOKUP($B8,Constraints!$C$2:$AK$86,26, FALSE)</f>
        <v>0</v>
      </c>
      <c r="M8" s="71"/>
      <c r="N8" s="18"/>
    </row>
    <row r="9" spans="1:24" x14ac:dyDescent="0.2">
      <c r="A9" s="74" t="s">
        <v>6</v>
      </c>
      <c r="B9" s="75" t="s">
        <v>473</v>
      </c>
      <c r="C9" s="5"/>
      <c r="D9" s="5"/>
      <c r="E9" s="5" t="b">
        <v>0</v>
      </c>
      <c r="F9" s="18">
        <f>VLOOKUP($B9,Constraints!$C$2:$Z$86,15, FALSE)</f>
        <v>0</v>
      </c>
      <c r="I9" s="18">
        <f t="shared" si="0"/>
        <v>0</v>
      </c>
      <c r="L9" s="18">
        <f>VLOOKUP($B9,Constraints!$C$2:$AK$86,26, FALSE)</f>
        <v>0</v>
      </c>
      <c r="M9" s="71"/>
      <c r="N9" s="18"/>
    </row>
    <row r="10" spans="1:24" x14ac:dyDescent="0.2">
      <c r="A10" s="74" t="s">
        <v>6</v>
      </c>
      <c r="B10" s="75" t="s">
        <v>84</v>
      </c>
      <c r="C10" s="5"/>
      <c r="D10" s="5"/>
      <c r="E10" s="5" t="b">
        <v>0</v>
      </c>
      <c r="F10" s="18">
        <f>VLOOKUP($B10,Constraints!$C$2:$Z$86,15, FALSE)</f>
        <v>360</v>
      </c>
      <c r="I10" s="18">
        <f t="shared" si="0"/>
        <v>450</v>
      </c>
      <c r="L10" s="18">
        <f>VLOOKUP($B10,Constraints!$C$2:$AK$86,26, FALSE)</f>
        <v>12</v>
      </c>
      <c r="M10" s="71"/>
      <c r="N10" s="18"/>
    </row>
    <row r="11" spans="1:24" x14ac:dyDescent="0.2">
      <c r="A11" s="74" t="s">
        <v>6</v>
      </c>
      <c r="B11" s="75" t="s">
        <v>97</v>
      </c>
      <c r="C11" s="5"/>
      <c r="D11" s="5"/>
      <c r="E11" s="5" t="b">
        <v>0</v>
      </c>
      <c r="F11" s="18">
        <f>VLOOKUP($B11,Constraints!$C$2:$Z$86,15, FALSE)</f>
        <v>120</v>
      </c>
      <c r="I11" s="18">
        <f t="shared" si="0"/>
        <v>150</v>
      </c>
      <c r="L11" s="18">
        <f>VLOOKUP($B11,Constraints!$C$2:$AK$86,26, FALSE)</f>
        <v>4</v>
      </c>
      <c r="M11" s="71"/>
      <c r="N11" s="18"/>
    </row>
    <row r="12" spans="1:24" x14ac:dyDescent="0.2">
      <c r="A12" s="74" t="s">
        <v>6</v>
      </c>
      <c r="B12" s="75" t="s">
        <v>111</v>
      </c>
      <c r="C12" s="5"/>
      <c r="D12" s="5"/>
      <c r="E12" s="5" t="b">
        <v>0</v>
      </c>
      <c r="F12" s="18">
        <f>VLOOKUP($B12,Constraints!$C$2:$Z$86,15, FALSE)</f>
        <v>360</v>
      </c>
      <c r="I12" s="18">
        <f t="shared" si="0"/>
        <v>450</v>
      </c>
      <c r="L12" s="18">
        <f>VLOOKUP($B12,Constraints!$C$2:$AK$86,26, FALSE)</f>
        <v>12</v>
      </c>
      <c r="M12" s="71"/>
      <c r="N12" s="18"/>
    </row>
    <row r="13" spans="1:24" x14ac:dyDescent="0.2">
      <c r="A13" s="74" t="s">
        <v>6</v>
      </c>
      <c r="B13" s="75" t="s">
        <v>124</v>
      </c>
      <c r="C13" s="5"/>
      <c r="D13" s="5"/>
      <c r="E13" s="5" t="b">
        <v>0</v>
      </c>
      <c r="F13" s="18">
        <f>VLOOKUP($B13,Constraints!$C$2:$Z$86,15, FALSE)</f>
        <v>360</v>
      </c>
      <c r="I13" s="18">
        <f t="shared" si="0"/>
        <v>450</v>
      </c>
      <c r="L13" s="18">
        <f>VLOOKUP($B13,Constraints!$C$2:$AK$86,26, FALSE)</f>
        <v>12</v>
      </c>
      <c r="M13" s="71"/>
      <c r="N13" s="18"/>
    </row>
    <row r="14" spans="1:24" x14ac:dyDescent="0.2">
      <c r="A14" s="74" t="s">
        <v>6</v>
      </c>
      <c r="B14" s="75" t="s">
        <v>138</v>
      </c>
      <c r="C14" s="5"/>
      <c r="D14" s="5"/>
      <c r="E14" s="5" t="b">
        <v>0</v>
      </c>
      <c r="F14" s="18">
        <f>VLOOKUP($B14,Constraints!$C$2:$Z$86,15, FALSE)</f>
        <v>360</v>
      </c>
      <c r="I14" s="18">
        <f t="shared" si="0"/>
        <v>450</v>
      </c>
      <c r="L14" s="18">
        <f>VLOOKUP($B14,Constraints!$C$2:$AK$86,26, FALSE)</f>
        <v>12</v>
      </c>
      <c r="M14" s="71"/>
      <c r="N14" s="18"/>
    </row>
    <row r="15" spans="1:24" x14ac:dyDescent="0.2">
      <c r="A15" s="74" t="s">
        <v>6</v>
      </c>
      <c r="B15" s="75" t="s">
        <v>151</v>
      </c>
      <c r="C15" s="5"/>
      <c r="D15" s="5"/>
      <c r="E15" s="5" t="b">
        <v>0</v>
      </c>
      <c r="F15" s="18">
        <f>VLOOKUP($B15,Constraints!$C$2:$Z$86,15, FALSE)</f>
        <v>0</v>
      </c>
      <c r="I15" s="18">
        <f t="shared" si="0"/>
        <v>0</v>
      </c>
      <c r="L15" s="18">
        <f>VLOOKUP($B15,Constraints!$C$2:$AK$86,26, FALSE)</f>
        <v>0</v>
      </c>
      <c r="M15" s="71"/>
      <c r="N15" s="18"/>
    </row>
    <row r="16" spans="1:24" x14ac:dyDescent="0.2">
      <c r="A16" s="74" t="s">
        <v>6</v>
      </c>
      <c r="B16" s="75" t="s">
        <v>165</v>
      </c>
      <c r="C16" s="5"/>
      <c r="D16" s="5"/>
      <c r="E16" s="5" t="b">
        <v>0</v>
      </c>
      <c r="F16" s="18">
        <f>VLOOKUP($B16,Constraints!$C$2:$Z$86,15, FALSE)</f>
        <v>0</v>
      </c>
      <c r="I16" s="18">
        <f t="shared" si="0"/>
        <v>0</v>
      </c>
      <c r="L16" s="18">
        <f>VLOOKUP($B16,Constraints!$C$2:$AK$86,26, FALSE)</f>
        <v>0</v>
      </c>
      <c r="M16" s="71"/>
      <c r="N16" s="18"/>
    </row>
    <row r="17" spans="1:18" x14ac:dyDescent="0.2">
      <c r="A17" s="74" t="s">
        <v>6</v>
      </c>
      <c r="B17" s="75" t="s">
        <v>178</v>
      </c>
      <c r="C17" s="5"/>
      <c r="D17" s="5"/>
      <c r="E17" s="5" t="b">
        <v>0</v>
      </c>
      <c r="F17" s="18">
        <f>VLOOKUP($B17,Constraints!$C$2:$Z$86,15, FALSE)</f>
        <v>0</v>
      </c>
      <c r="I17" s="18">
        <f t="shared" si="0"/>
        <v>0</v>
      </c>
      <c r="L17" s="18">
        <f>VLOOKUP($B17,Constraints!$C$2:$AK$86,26, FALSE)</f>
        <v>0</v>
      </c>
      <c r="M17" s="71"/>
      <c r="N17" s="18"/>
    </row>
    <row r="18" spans="1:18" x14ac:dyDescent="0.2">
      <c r="A18" s="74" t="s">
        <v>6</v>
      </c>
      <c r="B18" s="75" t="s">
        <v>192</v>
      </c>
      <c r="C18" s="5"/>
      <c r="D18" s="5"/>
      <c r="E18" s="5" t="b">
        <v>0</v>
      </c>
      <c r="F18" s="18">
        <f>VLOOKUP($B18,Constraints!$C$2:$Z$86,15, FALSE)</f>
        <v>0</v>
      </c>
      <c r="I18" s="18">
        <f t="shared" si="0"/>
        <v>0</v>
      </c>
      <c r="L18" s="18">
        <f>VLOOKUP($B18,Constraints!$C$2:$AK$86,26, FALSE)</f>
        <v>0</v>
      </c>
      <c r="M18" s="71"/>
      <c r="N18" s="18"/>
    </row>
    <row r="19" spans="1:18" x14ac:dyDescent="0.2">
      <c r="A19" s="74" t="s">
        <v>6</v>
      </c>
      <c r="B19" s="75" t="s">
        <v>205</v>
      </c>
      <c r="C19" s="5"/>
      <c r="D19" s="5"/>
      <c r="E19" s="5" t="b">
        <v>0</v>
      </c>
      <c r="F19" s="18">
        <f>VLOOKUP($B19,Constraints!$C$2:$Z$86,15, FALSE)</f>
        <v>0</v>
      </c>
      <c r="I19" s="18">
        <f t="shared" si="0"/>
        <v>0</v>
      </c>
      <c r="L19" s="18">
        <f>VLOOKUP($B19,Constraints!$C$2:$AK$86,26, FALSE)</f>
        <v>0</v>
      </c>
      <c r="M19" s="71"/>
      <c r="N19" s="18"/>
    </row>
    <row r="20" spans="1:18" x14ac:dyDescent="0.2">
      <c r="A20" s="74" t="s">
        <v>6</v>
      </c>
      <c r="B20" s="75" t="s">
        <v>219</v>
      </c>
      <c r="C20" s="5"/>
      <c r="D20" s="5"/>
      <c r="E20" s="5" t="b">
        <v>0</v>
      </c>
      <c r="F20" s="18">
        <f>VLOOKUP($B20,Constraints!$C$2:$Z$86,15, FALSE)</f>
        <v>0</v>
      </c>
      <c r="I20" s="18">
        <f t="shared" si="0"/>
        <v>0</v>
      </c>
      <c r="L20" s="18">
        <f>VLOOKUP($B20,Constraints!$C$2:$AK$86,26, FALSE)</f>
        <v>0</v>
      </c>
      <c r="M20" s="71"/>
      <c r="N20" s="18"/>
    </row>
    <row r="21" spans="1:18" x14ac:dyDescent="0.2">
      <c r="A21" s="74" t="s">
        <v>6</v>
      </c>
      <c r="B21" s="75" t="s">
        <v>232</v>
      </c>
      <c r="C21" s="5"/>
      <c r="D21" s="5"/>
      <c r="E21" s="5" t="b">
        <v>0</v>
      </c>
      <c r="F21" s="18">
        <f>VLOOKUP($B21,Constraints!$C$2:$Z$86,15, FALSE)</f>
        <v>0</v>
      </c>
      <c r="I21" s="18">
        <f t="shared" si="0"/>
        <v>0</v>
      </c>
      <c r="L21" s="18">
        <f>VLOOKUP($B21,Constraints!$C$2:$AK$86,26, FALSE)</f>
        <v>0</v>
      </c>
      <c r="M21" s="71"/>
      <c r="N21" s="18"/>
    </row>
    <row r="22" spans="1:18" x14ac:dyDescent="0.2">
      <c r="A22" s="74" t="s">
        <v>6</v>
      </c>
      <c r="B22" s="75" t="s">
        <v>38</v>
      </c>
      <c r="C22" s="5"/>
      <c r="D22" s="5"/>
      <c r="E22" s="5" t="b">
        <v>0</v>
      </c>
      <c r="F22" s="18">
        <f>VLOOKUP($B22,Constraints!$C$2:$Z$86,15, FALSE)</f>
        <v>0</v>
      </c>
      <c r="I22" s="18">
        <f t="shared" si="0"/>
        <v>0</v>
      </c>
      <c r="L22" s="18">
        <f>VLOOKUP($B22,Constraints!$C$2:$AK$86,26, FALSE)</f>
        <v>0</v>
      </c>
      <c r="M22" s="71"/>
      <c r="N22" s="18"/>
    </row>
    <row r="23" spans="1:18" x14ac:dyDescent="0.2">
      <c r="A23" s="74" t="s">
        <v>6</v>
      </c>
      <c r="B23" s="75" t="s">
        <v>302</v>
      </c>
      <c r="C23" s="5"/>
      <c r="D23" s="5"/>
      <c r="E23" s="5" t="b">
        <v>0</v>
      </c>
      <c r="F23" s="18">
        <f>VLOOKUP($B23,Constraints!$C$2:$Z$86,15, FALSE)</f>
        <v>0</v>
      </c>
      <c r="I23" s="18">
        <f t="shared" si="0"/>
        <v>0</v>
      </c>
      <c r="L23" s="18">
        <f>VLOOKUP($B23,Constraints!$C$2:$AK$86,26, FALSE)</f>
        <v>0</v>
      </c>
      <c r="M23" s="71"/>
      <c r="N23" s="18"/>
    </row>
    <row r="24" spans="1:18" x14ac:dyDescent="0.2">
      <c r="A24" s="74" t="s">
        <v>6</v>
      </c>
      <c r="B24" s="75" t="s">
        <v>379</v>
      </c>
      <c r="C24" s="5"/>
      <c r="D24" s="5"/>
      <c r="E24" s="5" t="b">
        <v>0</v>
      </c>
      <c r="F24" s="18">
        <f>VLOOKUP($B24,Constraints!$C$2:$Z$86,15, FALSE)</f>
        <v>0</v>
      </c>
      <c r="I24" s="18">
        <f t="shared" si="0"/>
        <v>0</v>
      </c>
      <c r="L24" s="18">
        <f>VLOOKUP($B24,Constraints!$C$2:$AK$86,26, FALSE)</f>
        <v>0</v>
      </c>
      <c r="M24" s="71"/>
      <c r="N24" s="18"/>
    </row>
    <row r="25" spans="1:18" x14ac:dyDescent="0.2">
      <c r="A25" s="74" t="s">
        <v>6</v>
      </c>
      <c r="B25" s="75" t="s">
        <v>380</v>
      </c>
      <c r="C25" s="5"/>
      <c r="D25" s="5"/>
      <c r="E25" s="5" t="b">
        <v>0</v>
      </c>
      <c r="F25" s="18">
        <f>VLOOKUP($B25,Constraints!$C$2:$Z$86,15, FALSE)</f>
        <v>0</v>
      </c>
      <c r="I25" s="18">
        <f t="shared" si="0"/>
        <v>0</v>
      </c>
      <c r="L25" s="18">
        <f>VLOOKUP($B25,Constraints!$C$2:$AK$86,26, FALSE)</f>
        <v>0</v>
      </c>
      <c r="M25" s="71"/>
      <c r="N25" s="18"/>
    </row>
    <row r="26" spans="1:18" x14ac:dyDescent="0.2">
      <c r="A26" s="74" t="s">
        <v>6</v>
      </c>
      <c r="B26" s="75" t="s">
        <v>381</v>
      </c>
      <c r="C26" s="5"/>
      <c r="D26" s="5"/>
      <c r="E26" s="5" t="b">
        <v>0</v>
      </c>
      <c r="F26" s="18">
        <f>VLOOKUP($B26,Constraints!$C$2:$Z$86,15, FALSE)</f>
        <v>0</v>
      </c>
      <c r="I26" s="18">
        <f t="shared" si="0"/>
        <v>0</v>
      </c>
      <c r="L26" s="18">
        <f>VLOOKUP($B26,Constraints!$C$2:$AK$86,26, FALSE)</f>
        <v>0</v>
      </c>
      <c r="M26" s="71"/>
      <c r="N26" s="18"/>
    </row>
    <row r="27" spans="1:18" x14ac:dyDescent="0.2">
      <c r="A27" s="74" t="s">
        <v>6</v>
      </c>
      <c r="B27" s="75" t="s">
        <v>382</v>
      </c>
      <c r="C27" s="5"/>
      <c r="D27" s="5"/>
      <c r="E27" s="5" t="b">
        <v>0</v>
      </c>
      <c r="F27" s="18">
        <f>VLOOKUP($B27,Constraints!$C$2:$Z$86,15, FALSE)</f>
        <v>0</v>
      </c>
      <c r="I27" s="18">
        <f t="shared" si="0"/>
        <v>0</v>
      </c>
      <c r="L27" s="18">
        <f>VLOOKUP($B27,Constraints!$C$2:$AK$86,26, FALSE)</f>
        <v>0</v>
      </c>
      <c r="M27" s="71"/>
      <c r="N27" s="18"/>
    </row>
    <row r="28" spans="1:18" x14ac:dyDescent="0.2">
      <c r="A28" s="74" t="s">
        <v>530</v>
      </c>
      <c r="B28" s="75" t="s">
        <v>448</v>
      </c>
      <c r="C28" s="5"/>
      <c r="D28" s="5"/>
      <c r="E28" s="5" t="b">
        <v>0</v>
      </c>
      <c r="F28" s="18">
        <f>VLOOKUP($B28,Constraints!$C$2:$Z$86,15, FALSE)</f>
        <v>0</v>
      </c>
      <c r="I28" s="18">
        <f t="shared" si="0"/>
        <v>0</v>
      </c>
      <c r="L28" s="18">
        <f>VLOOKUP($B28,Constraints!$C$2:$AK$86,26, FALSE)</f>
        <v>0</v>
      </c>
      <c r="M28" t="s">
        <v>664</v>
      </c>
      <c r="N28" s="18">
        <f>VLOOKUP($B28,Constraints!$C$28:$F$86,4,FALSE)</f>
        <v>230</v>
      </c>
      <c r="O28" t="str">
        <f>VLOOKUP($A28,'Capacity Name Ref'!$A$2:$G$16,6,FALSE)</f>
        <v>Device_Capacity_Margin</v>
      </c>
      <c r="P28">
        <f>N28-F28</f>
        <v>230</v>
      </c>
      <c r="Q28" t="str">
        <f>O28&amp;"%"</f>
        <v>Device_Capacity_Margin%</v>
      </c>
      <c r="R28" s="100">
        <f>P28/N28</f>
        <v>1</v>
      </c>
    </row>
    <row r="29" spans="1:18" x14ac:dyDescent="0.2">
      <c r="A29" s="74" t="s">
        <v>530</v>
      </c>
      <c r="B29" s="75" t="s">
        <v>449</v>
      </c>
      <c r="C29" s="5"/>
      <c r="D29" s="5"/>
      <c r="E29" s="5" t="b">
        <v>0</v>
      </c>
      <c r="F29" s="18">
        <f>VLOOKUP($B29,Constraints!$C$2:$Z$86,15, FALSE)</f>
        <v>0</v>
      </c>
      <c r="I29" s="18">
        <f t="shared" si="0"/>
        <v>0</v>
      </c>
      <c r="L29" s="18">
        <f>VLOOKUP($B29,Constraints!$C$2:$AK$86,26, FALSE)</f>
        <v>0</v>
      </c>
      <c r="M29" t="s">
        <v>664</v>
      </c>
      <c r="N29" s="18">
        <f>VLOOKUP($B29,Constraints!$C$28:$F$86,4,FALSE)</f>
        <v>230</v>
      </c>
      <c r="O29" t="str">
        <f>VLOOKUP($A29,'Capacity Name Ref'!$A$2:$G$16,6,FALSE)</f>
        <v>Device_Capacity_Margin</v>
      </c>
      <c r="P29">
        <f t="shared" ref="P29:P51" si="1">N29-F29</f>
        <v>230</v>
      </c>
      <c r="Q29" t="str">
        <f t="shared" ref="Q29:Q85" si="2">O29&amp;"%"</f>
        <v>Device_Capacity_Margin%</v>
      </c>
      <c r="R29" s="100">
        <f t="shared" ref="R29:R85" si="3">P29/N29</f>
        <v>1</v>
      </c>
    </row>
    <row r="30" spans="1:18" x14ac:dyDescent="0.2">
      <c r="A30" s="74" t="s">
        <v>530</v>
      </c>
      <c r="B30" s="75" t="s">
        <v>450</v>
      </c>
      <c r="C30" s="5"/>
      <c r="D30" s="5"/>
      <c r="E30" s="5" t="b">
        <v>0</v>
      </c>
      <c r="F30" s="18">
        <f>VLOOKUP($B30,Constraints!$C$2:$Z$86,15, FALSE)</f>
        <v>0</v>
      </c>
      <c r="I30" s="18">
        <f t="shared" si="0"/>
        <v>0</v>
      </c>
      <c r="L30" s="18">
        <f>VLOOKUP($B30,Constraints!$C$2:$AK$86,26, FALSE)</f>
        <v>0</v>
      </c>
      <c r="M30" t="s">
        <v>664</v>
      </c>
      <c r="N30" s="18">
        <f>VLOOKUP($B30,Constraints!$C$28:$F$86,4,FALSE)</f>
        <v>230</v>
      </c>
      <c r="O30" t="str">
        <f>VLOOKUP($A30,'Capacity Name Ref'!$A$2:$G$16,6,FALSE)</f>
        <v>Device_Capacity_Margin</v>
      </c>
      <c r="P30">
        <f t="shared" si="1"/>
        <v>230</v>
      </c>
      <c r="Q30" t="str">
        <f t="shared" si="2"/>
        <v>Device_Capacity_Margin%</v>
      </c>
      <c r="R30" s="100">
        <f t="shared" si="3"/>
        <v>1</v>
      </c>
    </row>
    <row r="31" spans="1:18" x14ac:dyDescent="0.2">
      <c r="A31" s="74" t="s">
        <v>530</v>
      </c>
      <c r="B31" s="75" t="s">
        <v>451</v>
      </c>
      <c r="C31" s="5"/>
      <c r="D31" s="5"/>
      <c r="E31" s="5" t="b">
        <v>0</v>
      </c>
      <c r="F31" s="18">
        <f>VLOOKUP($B31,Constraints!$C$2:$Z$86,15, FALSE)</f>
        <v>0</v>
      </c>
      <c r="I31" s="18">
        <f t="shared" si="0"/>
        <v>0</v>
      </c>
      <c r="L31" s="18">
        <f>VLOOKUP($B31,Constraints!$C$2:$AK$86,26, FALSE)</f>
        <v>0</v>
      </c>
      <c r="M31" t="s">
        <v>664</v>
      </c>
      <c r="N31" s="18">
        <f>VLOOKUP($B31,Constraints!$C$28:$F$86,4,FALSE)</f>
        <v>230</v>
      </c>
      <c r="O31" t="str">
        <f>VLOOKUP($A31,'Capacity Name Ref'!$A$2:$G$16,6,FALSE)</f>
        <v>Device_Capacity_Margin</v>
      </c>
      <c r="P31">
        <f t="shared" si="1"/>
        <v>230</v>
      </c>
      <c r="Q31" t="str">
        <f t="shared" si="2"/>
        <v>Device_Capacity_Margin%</v>
      </c>
      <c r="R31" s="100">
        <f t="shared" si="3"/>
        <v>1</v>
      </c>
    </row>
    <row r="32" spans="1:18" x14ac:dyDescent="0.2">
      <c r="A32" s="74" t="s">
        <v>530</v>
      </c>
      <c r="B32" s="75" t="s">
        <v>27</v>
      </c>
      <c r="C32" s="5"/>
      <c r="D32" s="5"/>
      <c r="E32" s="5" t="b">
        <v>0</v>
      </c>
      <c r="F32" s="18">
        <f>VLOOKUP($B32,Constraints!$C$2:$Z$86,15, FALSE)</f>
        <v>960</v>
      </c>
      <c r="I32" s="18">
        <f t="shared" si="0"/>
        <v>1200</v>
      </c>
      <c r="L32" s="18">
        <f>VLOOKUP($B32,Constraints!$C$2:$AK$86,26, FALSE)</f>
        <v>32</v>
      </c>
      <c r="M32" t="s">
        <v>664</v>
      </c>
      <c r="N32" s="18">
        <f>VLOOKUP($B32,Constraints!$C$28:$F$86,4,FALSE)</f>
        <v>920</v>
      </c>
      <c r="O32" t="str">
        <f>VLOOKUP($A32,'Capacity Name Ref'!$A$2:$G$16,6,FALSE)</f>
        <v>Device_Capacity_Margin</v>
      </c>
      <c r="P32">
        <f t="shared" si="1"/>
        <v>-40</v>
      </c>
      <c r="Q32" t="str">
        <f t="shared" si="2"/>
        <v>Device_Capacity_Margin%</v>
      </c>
      <c r="R32" s="100">
        <f t="shared" si="3"/>
        <v>-4.3478260869565216E-2</v>
      </c>
    </row>
    <row r="33" spans="1:18" x14ac:dyDescent="0.2">
      <c r="A33" s="74" t="s">
        <v>530</v>
      </c>
      <c r="B33" s="75" t="s">
        <v>30</v>
      </c>
      <c r="C33" s="5"/>
      <c r="D33" s="5"/>
      <c r="E33" s="5" t="b">
        <v>0</v>
      </c>
      <c r="F33" s="18">
        <f>VLOOKUP($B33,Constraints!$C$2:$Z$86,15, FALSE)</f>
        <v>600</v>
      </c>
      <c r="I33" s="18">
        <f t="shared" si="0"/>
        <v>750</v>
      </c>
      <c r="L33" s="18">
        <f>VLOOKUP($B33,Constraints!$C$2:$AK$86,26, FALSE)</f>
        <v>20</v>
      </c>
      <c r="M33" t="s">
        <v>664</v>
      </c>
      <c r="N33" s="18">
        <f>VLOOKUP($B33,Constraints!$C$28:$F$86,4,FALSE)</f>
        <v>920</v>
      </c>
      <c r="O33" t="str">
        <f>VLOOKUP($A33,'Capacity Name Ref'!$A$2:$G$16,6,FALSE)</f>
        <v>Device_Capacity_Margin</v>
      </c>
      <c r="P33">
        <f t="shared" si="1"/>
        <v>320</v>
      </c>
      <c r="Q33" t="str">
        <f t="shared" si="2"/>
        <v>Device_Capacity_Margin%</v>
      </c>
      <c r="R33" s="100">
        <f t="shared" si="3"/>
        <v>0.34782608695652173</v>
      </c>
    </row>
    <row r="34" spans="1:18" x14ac:dyDescent="0.2">
      <c r="A34" s="74" t="s">
        <v>530</v>
      </c>
      <c r="B34" s="75" t="s">
        <v>32</v>
      </c>
      <c r="C34" s="5"/>
      <c r="D34" s="5"/>
      <c r="E34" s="5" t="b">
        <v>0</v>
      </c>
      <c r="F34" s="18">
        <f>VLOOKUP($B34,Constraints!$C$2:$Z$86,15, FALSE)</f>
        <v>0</v>
      </c>
      <c r="I34" s="18">
        <f t="shared" si="0"/>
        <v>0</v>
      </c>
      <c r="L34" s="18">
        <f>VLOOKUP($B34,Constraints!$C$2:$AK$86,26, FALSE)</f>
        <v>0</v>
      </c>
      <c r="M34" t="s">
        <v>664</v>
      </c>
      <c r="N34" s="18">
        <f>VLOOKUP($B34,Constraints!$C$28:$F$86,4,FALSE)</f>
        <v>920</v>
      </c>
      <c r="O34" t="str">
        <f>VLOOKUP($A34,'Capacity Name Ref'!$A$2:$G$16,6,FALSE)</f>
        <v>Device_Capacity_Margin</v>
      </c>
      <c r="P34">
        <f t="shared" si="1"/>
        <v>920</v>
      </c>
      <c r="Q34" t="str">
        <f t="shared" si="2"/>
        <v>Device_Capacity_Margin%</v>
      </c>
      <c r="R34" s="100">
        <f t="shared" si="3"/>
        <v>1</v>
      </c>
    </row>
    <row r="35" spans="1:18" x14ac:dyDescent="0.2">
      <c r="A35" s="74" t="s">
        <v>530</v>
      </c>
      <c r="B35" s="75" t="s">
        <v>33</v>
      </c>
      <c r="C35" s="5"/>
      <c r="D35" s="5"/>
      <c r="E35" s="5" t="b">
        <v>0</v>
      </c>
      <c r="F35" s="18">
        <f>VLOOKUP($B35,Constraints!$C$2:$Z$86,15, FALSE)</f>
        <v>0</v>
      </c>
      <c r="I35" s="18">
        <f t="shared" si="0"/>
        <v>0</v>
      </c>
      <c r="L35" s="18">
        <f>VLOOKUP($B35,Constraints!$C$2:$AK$86,26, FALSE)</f>
        <v>0</v>
      </c>
      <c r="M35" t="s">
        <v>664</v>
      </c>
      <c r="N35" s="18">
        <f>VLOOKUP($B35,Constraints!$C$28:$F$86,4,FALSE)</f>
        <v>920</v>
      </c>
      <c r="O35" t="str">
        <f>VLOOKUP($A35,'Capacity Name Ref'!$A$2:$G$16,6,FALSE)</f>
        <v>Device_Capacity_Margin</v>
      </c>
      <c r="P35">
        <f t="shared" si="1"/>
        <v>920</v>
      </c>
      <c r="Q35" t="str">
        <f t="shared" si="2"/>
        <v>Device_Capacity_Margin%</v>
      </c>
      <c r="R35" s="100">
        <f t="shared" si="3"/>
        <v>1</v>
      </c>
    </row>
    <row r="36" spans="1:18" x14ac:dyDescent="0.2">
      <c r="A36" s="74" t="s">
        <v>530</v>
      </c>
      <c r="B36" s="75" t="s">
        <v>64</v>
      </c>
      <c r="C36" s="5"/>
      <c r="D36" s="5"/>
      <c r="E36" s="5" t="b">
        <v>0</v>
      </c>
      <c r="F36" s="18">
        <f>VLOOKUP($B36,Constraints!$C$2:$Z$86,15, FALSE)</f>
        <v>0</v>
      </c>
      <c r="I36" s="18">
        <f t="shared" si="0"/>
        <v>0</v>
      </c>
      <c r="L36" s="18">
        <f>VLOOKUP($B36,Constraints!$C$2:$AK$86,26, FALSE)</f>
        <v>0</v>
      </c>
      <c r="M36" t="s">
        <v>664</v>
      </c>
      <c r="N36" s="18">
        <f>VLOOKUP($B36,Constraints!$C$28:$F$86,4,FALSE)</f>
        <v>345</v>
      </c>
      <c r="O36" t="str">
        <f>VLOOKUP($A36,'Capacity Name Ref'!$A$2:$G$16,6,FALSE)</f>
        <v>Device_Capacity_Margin</v>
      </c>
      <c r="P36">
        <f t="shared" si="1"/>
        <v>345</v>
      </c>
      <c r="Q36" t="str">
        <f t="shared" si="2"/>
        <v>Device_Capacity_Margin%</v>
      </c>
      <c r="R36" s="100">
        <f t="shared" si="3"/>
        <v>1</v>
      </c>
    </row>
    <row r="37" spans="1:18" x14ac:dyDescent="0.2">
      <c r="A37" s="74" t="s">
        <v>530</v>
      </c>
      <c r="B37" s="75" t="s">
        <v>65</v>
      </c>
      <c r="C37" s="5"/>
      <c r="D37" s="5"/>
      <c r="E37" s="5" t="b">
        <v>0</v>
      </c>
      <c r="F37" s="18">
        <f>VLOOKUP($B37,Constraints!$C$2:$Z$86,15, FALSE)</f>
        <v>0</v>
      </c>
      <c r="I37" s="18">
        <f t="shared" si="0"/>
        <v>0</v>
      </c>
      <c r="L37" s="18">
        <f>VLOOKUP($B37,Constraints!$C$2:$AK$86,26, FALSE)</f>
        <v>0</v>
      </c>
      <c r="M37" t="s">
        <v>664</v>
      </c>
      <c r="N37" s="18">
        <f>VLOOKUP($B37,Constraints!$C$28:$F$86,4,FALSE)</f>
        <v>345</v>
      </c>
      <c r="O37" t="str">
        <f>VLOOKUP($A37,'Capacity Name Ref'!$A$2:$G$16,6,FALSE)</f>
        <v>Device_Capacity_Margin</v>
      </c>
      <c r="P37">
        <f t="shared" si="1"/>
        <v>345</v>
      </c>
      <c r="Q37" t="str">
        <f t="shared" si="2"/>
        <v>Device_Capacity_Margin%</v>
      </c>
      <c r="R37" s="100">
        <f t="shared" si="3"/>
        <v>1</v>
      </c>
    </row>
    <row r="38" spans="1:18" x14ac:dyDescent="0.2">
      <c r="A38" s="74" t="s">
        <v>530</v>
      </c>
      <c r="B38" s="75" t="s">
        <v>305</v>
      </c>
      <c r="C38" s="5"/>
      <c r="D38" s="5"/>
      <c r="E38" s="5" t="b">
        <v>0</v>
      </c>
      <c r="F38" s="18">
        <f>VLOOKUP($B38,Constraints!$C$2:$Z$86,15, FALSE)</f>
        <v>0</v>
      </c>
      <c r="I38" s="18">
        <f t="shared" si="0"/>
        <v>0</v>
      </c>
      <c r="L38" s="18">
        <f>VLOOKUP($B38,Constraints!$C$2:$AK$86,26, FALSE)</f>
        <v>0</v>
      </c>
      <c r="M38" t="s">
        <v>664</v>
      </c>
      <c r="N38" s="18">
        <f>VLOOKUP($B38,Constraints!$C$28:$F$86,4,FALSE)</f>
        <v>920</v>
      </c>
      <c r="O38" t="str">
        <f>VLOOKUP($A38,'Capacity Name Ref'!$A$2:$G$16,6,FALSE)</f>
        <v>Device_Capacity_Margin</v>
      </c>
      <c r="P38">
        <f t="shared" si="1"/>
        <v>920</v>
      </c>
      <c r="Q38" t="str">
        <f t="shared" si="2"/>
        <v>Device_Capacity_Margin%</v>
      </c>
      <c r="R38" s="100">
        <f t="shared" si="3"/>
        <v>1</v>
      </c>
    </row>
    <row r="39" spans="1:18" x14ac:dyDescent="0.2">
      <c r="A39" s="74" t="s">
        <v>530</v>
      </c>
      <c r="B39" s="75" t="s">
        <v>307</v>
      </c>
      <c r="C39" s="5"/>
      <c r="D39" s="5"/>
      <c r="E39" s="5" t="b">
        <v>0</v>
      </c>
      <c r="F39" s="18">
        <f>VLOOKUP($B39,Constraints!$C$2:$Z$86,15, FALSE)</f>
        <v>0</v>
      </c>
      <c r="I39" s="18">
        <f t="shared" si="0"/>
        <v>0</v>
      </c>
      <c r="L39" s="18">
        <f>VLOOKUP($B39,Constraints!$C$2:$AK$86,26, FALSE)</f>
        <v>0</v>
      </c>
      <c r="M39" t="s">
        <v>664</v>
      </c>
      <c r="N39" s="18">
        <f>VLOOKUP($B39,Constraints!$C$28:$F$86,4,FALSE)</f>
        <v>920</v>
      </c>
      <c r="O39" t="str">
        <f>VLOOKUP($A39,'Capacity Name Ref'!$A$2:$G$16,6,FALSE)</f>
        <v>Device_Capacity_Margin</v>
      </c>
      <c r="P39">
        <f t="shared" si="1"/>
        <v>920</v>
      </c>
      <c r="Q39" t="str">
        <f t="shared" si="2"/>
        <v>Device_Capacity_Margin%</v>
      </c>
      <c r="R39" s="100">
        <f t="shared" si="3"/>
        <v>1</v>
      </c>
    </row>
    <row r="40" spans="1:18" x14ac:dyDescent="0.2">
      <c r="A40" s="74" t="s">
        <v>530</v>
      </c>
      <c r="B40" s="75" t="s">
        <v>309</v>
      </c>
      <c r="C40" s="5"/>
      <c r="D40" s="5"/>
      <c r="E40" s="5" t="b">
        <v>0</v>
      </c>
      <c r="F40" s="18">
        <f>VLOOKUP($B40,Constraints!$C$2:$Z$86,15, FALSE)</f>
        <v>0</v>
      </c>
      <c r="I40" s="18">
        <f t="shared" si="0"/>
        <v>0</v>
      </c>
      <c r="L40" s="18">
        <f>VLOOKUP($B40,Constraints!$C$2:$AK$86,26, FALSE)</f>
        <v>0</v>
      </c>
      <c r="M40" t="s">
        <v>664</v>
      </c>
      <c r="N40" s="18">
        <f>VLOOKUP($B40,Constraints!$C$28:$F$86,4,FALSE)</f>
        <v>920</v>
      </c>
      <c r="O40" t="str">
        <f>VLOOKUP($A40,'Capacity Name Ref'!$A$2:$G$16,6,FALSE)</f>
        <v>Device_Capacity_Margin</v>
      </c>
      <c r="P40">
        <f t="shared" si="1"/>
        <v>920</v>
      </c>
      <c r="Q40" t="str">
        <f t="shared" si="2"/>
        <v>Device_Capacity_Margin%</v>
      </c>
      <c r="R40" s="100">
        <f t="shared" si="3"/>
        <v>1</v>
      </c>
    </row>
    <row r="41" spans="1:18" x14ac:dyDescent="0.2">
      <c r="A41" s="74" t="s">
        <v>530</v>
      </c>
      <c r="B41" s="75" t="s">
        <v>311</v>
      </c>
      <c r="C41" s="5"/>
      <c r="D41" s="5"/>
      <c r="E41" s="5" t="b">
        <v>0</v>
      </c>
      <c r="F41" s="18">
        <f>VLOOKUP($B41,Constraints!$C$2:$Z$86,15, FALSE)</f>
        <v>0</v>
      </c>
      <c r="I41" s="18">
        <f t="shared" si="0"/>
        <v>0</v>
      </c>
      <c r="L41" s="18">
        <f>VLOOKUP($B41,Constraints!$C$2:$AK$86,26, FALSE)</f>
        <v>0</v>
      </c>
      <c r="M41" t="s">
        <v>664</v>
      </c>
      <c r="N41" s="18">
        <f>VLOOKUP($B41,Constraints!$C$28:$F$86,4,FALSE)</f>
        <v>920</v>
      </c>
      <c r="O41" t="str">
        <f>VLOOKUP($A41,'Capacity Name Ref'!$A$2:$G$16,6,FALSE)</f>
        <v>Device_Capacity_Margin</v>
      </c>
      <c r="P41">
        <f t="shared" si="1"/>
        <v>920</v>
      </c>
      <c r="Q41" t="str">
        <f t="shared" si="2"/>
        <v>Device_Capacity_Margin%</v>
      </c>
      <c r="R41" s="100">
        <f t="shared" si="3"/>
        <v>1</v>
      </c>
    </row>
    <row r="42" spans="1:18" x14ac:dyDescent="0.2">
      <c r="A42" s="74" t="s">
        <v>530</v>
      </c>
      <c r="B42" s="75" t="s">
        <v>29</v>
      </c>
      <c r="C42" s="5"/>
      <c r="D42" s="5"/>
      <c r="E42" s="5" t="b">
        <v>0</v>
      </c>
      <c r="F42" s="18">
        <f>VLOOKUP($B42,Constraints!$C$2:$Z$86,15, FALSE)</f>
        <v>360</v>
      </c>
      <c r="I42" s="18">
        <f t="shared" si="0"/>
        <v>450</v>
      </c>
      <c r="L42" s="18">
        <f>VLOOKUP($B42,Constraints!$C$2:$AK$86,26, FALSE)</f>
        <v>0</v>
      </c>
      <c r="M42" t="s">
        <v>664</v>
      </c>
      <c r="N42" s="18">
        <f>VLOOKUP($B42,Constraints!$C$28:$F$86,4,FALSE)</f>
        <v>1380</v>
      </c>
      <c r="O42" t="str">
        <f>VLOOKUP($A42,'Capacity Name Ref'!$A$2:$G$16,6,FALSE)</f>
        <v>Device_Capacity_Margin</v>
      </c>
      <c r="P42">
        <f t="shared" si="1"/>
        <v>1020</v>
      </c>
      <c r="Q42" t="str">
        <f t="shared" si="2"/>
        <v>Device_Capacity_Margin%</v>
      </c>
      <c r="R42" s="100">
        <f t="shared" si="3"/>
        <v>0.73913043478260865</v>
      </c>
    </row>
    <row r="43" spans="1:18" x14ac:dyDescent="0.2">
      <c r="A43" s="74" t="s">
        <v>530</v>
      </c>
      <c r="B43" s="75" t="s">
        <v>28</v>
      </c>
      <c r="C43" s="5"/>
      <c r="D43" s="5"/>
      <c r="E43" s="5" t="b">
        <v>0</v>
      </c>
      <c r="F43" s="18">
        <f>VLOOKUP($B43,Constraints!$C$2:$Z$86,15, FALSE)</f>
        <v>420</v>
      </c>
      <c r="I43" s="18">
        <f t="shared" si="0"/>
        <v>525</v>
      </c>
      <c r="L43" s="18">
        <f>VLOOKUP($B43,Constraints!$C$2:$AK$86,26, FALSE)</f>
        <v>0</v>
      </c>
      <c r="M43" t="s">
        <v>664</v>
      </c>
      <c r="N43" s="18">
        <f>VLOOKUP($B43,Constraints!$C$28:$F$86,4,FALSE)</f>
        <v>1380</v>
      </c>
      <c r="O43" t="str">
        <f>VLOOKUP($A43,'Capacity Name Ref'!$A$2:$G$16,6,FALSE)</f>
        <v>Device_Capacity_Margin</v>
      </c>
      <c r="P43">
        <f t="shared" si="1"/>
        <v>960</v>
      </c>
      <c r="Q43" t="str">
        <f t="shared" si="2"/>
        <v>Device_Capacity_Margin%</v>
      </c>
      <c r="R43" s="100">
        <f t="shared" si="3"/>
        <v>0.69565217391304346</v>
      </c>
    </row>
    <row r="44" spans="1:18" x14ac:dyDescent="0.2">
      <c r="A44" s="74" t="s">
        <v>530</v>
      </c>
      <c r="B44" s="75" t="s">
        <v>31</v>
      </c>
      <c r="C44" s="5"/>
      <c r="D44" s="5"/>
      <c r="E44" s="5" t="b">
        <v>0</v>
      </c>
      <c r="F44" s="18">
        <f>VLOOKUP($B44,Constraints!$C$2:$Z$86,15, FALSE)</f>
        <v>780</v>
      </c>
      <c r="I44" s="18">
        <f t="shared" si="0"/>
        <v>975</v>
      </c>
      <c r="L44" s="18">
        <f>VLOOKUP($B44,Constraints!$C$2:$AK$86,26, FALSE)</f>
        <v>0</v>
      </c>
      <c r="M44" t="s">
        <v>664</v>
      </c>
      <c r="N44" s="18">
        <f>VLOOKUP($B44,Constraints!$C$28:$F$86,4,FALSE)</f>
        <v>920</v>
      </c>
      <c r="O44" t="str">
        <f>VLOOKUP($A44,'Capacity Name Ref'!$A$2:$G$16,6,FALSE)</f>
        <v>Device_Capacity_Margin</v>
      </c>
      <c r="P44">
        <f t="shared" si="1"/>
        <v>140</v>
      </c>
      <c r="Q44" t="str">
        <f t="shared" si="2"/>
        <v>Device_Capacity_Margin%</v>
      </c>
      <c r="R44" s="100">
        <f t="shared" si="3"/>
        <v>0.15217391304347827</v>
      </c>
    </row>
    <row r="45" spans="1:18" x14ac:dyDescent="0.2">
      <c r="A45" s="74" t="s">
        <v>530</v>
      </c>
      <c r="B45" s="75" t="s">
        <v>34</v>
      </c>
      <c r="C45" s="5"/>
      <c r="D45" s="5"/>
      <c r="E45" s="5" t="b">
        <v>0</v>
      </c>
      <c r="F45" s="18">
        <f>VLOOKUP($B45,Constraints!$C$2:$Z$86,15, FALSE)</f>
        <v>0</v>
      </c>
      <c r="I45" s="18">
        <f t="shared" si="0"/>
        <v>0</v>
      </c>
      <c r="L45" s="18">
        <f>VLOOKUP($B45,Constraints!$C$2:$AK$86,26, FALSE)</f>
        <v>0</v>
      </c>
      <c r="M45" t="s">
        <v>664</v>
      </c>
      <c r="N45" s="18">
        <f>VLOOKUP($B45,Constraints!$C$28:$F$86,4,FALSE)</f>
        <v>1380</v>
      </c>
      <c r="O45" t="str">
        <f>VLOOKUP($A45,'Capacity Name Ref'!$A$2:$G$16,6,FALSE)</f>
        <v>Device_Capacity_Margin</v>
      </c>
      <c r="P45">
        <f t="shared" si="1"/>
        <v>1380</v>
      </c>
      <c r="Q45" t="str">
        <f t="shared" si="2"/>
        <v>Device_Capacity_Margin%</v>
      </c>
      <c r="R45" s="100">
        <f t="shared" si="3"/>
        <v>1</v>
      </c>
    </row>
    <row r="46" spans="1:18" x14ac:dyDescent="0.2">
      <c r="A46" s="74" t="s">
        <v>530</v>
      </c>
      <c r="B46" s="75" t="s">
        <v>66</v>
      </c>
      <c r="C46" s="5"/>
      <c r="D46" s="5"/>
      <c r="E46" s="5" t="b">
        <v>0</v>
      </c>
      <c r="F46" s="18">
        <f>VLOOKUP($B46,Constraints!$C$2:$Z$86,15, FALSE)</f>
        <v>0</v>
      </c>
      <c r="I46" s="18">
        <f t="shared" si="0"/>
        <v>0</v>
      </c>
      <c r="L46" s="18">
        <f>VLOOKUP($B46,Constraints!$C$2:$AK$86,26, FALSE)</f>
        <v>0</v>
      </c>
      <c r="M46" t="s">
        <v>664</v>
      </c>
      <c r="N46" s="18">
        <f>VLOOKUP($B46,Constraints!$C$28:$F$86,4,FALSE)</f>
        <v>345</v>
      </c>
      <c r="O46" t="str">
        <f>VLOOKUP($A46,'Capacity Name Ref'!$A$2:$G$16,6,FALSE)</f>
        <v>Device_Capacity_Margin</v>
      </c>
      <c r="P46">
        <f t="shared" si="1"/>
        <v>345</v>
      </c>
      <c r="Q46" t="str">
        <f t="shared" si="2"/>
        <v>Device_Capacity_Margin%</v>
      </c>
      <c r="R46" s="100">
        <f t="shared" si="3"/>
        <v>1</v>
      </c>
    </row>
    <row r="47" spans="1:18" x14ac:dyDescent="0.2">
      <c r="A47" s="74" t="s">
        <v>530</v>
      </c>
      <c r="B47" s="75" t="s">
        <v>67</v>
      </c>
      <c r="C47" s="5"/>
      <c r="D47" s="5"/>
      <c r="E47" s="5" t="b">
        <v>0</v>
      </c>
      <c r="F47" s="18">
        <f>VLOOKUP($B47,Constraints!$C$2:$Z$86,15, FALSE)</f>
        <v>0</v>
      </c>
      <c r="I47" s="18">
        <f t="shared" si="0"/>
        <v>0</v>
      </c>
      <c r="L47" s="18">
        <f>VLOOKUP($B47,Constraints!$C$2:$AK$86,26, FALSE)</f>
        <v>0</v>
      </c>
      <c r="M47" t="s">
        <v>664</v>
      </c>
      <c r="N47" s="18">
        <f>VLOOKUP($B47,Constraints!$C$28:$F$86,4,FALSE)</f>
        <v>345</v>
      </c>
      <c r="O47" t="str">
        <f>VLOOKUP($A47,'Capacity Name Ref'!$A$2:$G$16,6,FALSE)</f>
        <v>Device_Capacity_Margin</v>
      </c>
      <c r="P47">
        <f t="shared" si="1"/>
        <v>345</v>
      </c>
      <c r="Q47" t="str">
        <f t="shared" si="2"/>
        <v>Device_Capacity_Margin%</v>
      </c>
      <c r="R47" s="100">
        <f t="shared" si="3"/>
        <v>1</v>
      </c>
    </row>
    <row r="48" spans="1:18" x14ac:dyDescent="0.2">
      <c r="A48" s="74" t="s">
        <v>530</v>
      </c>
      <c r="B48" s="75" t="s">
        <v>306</v>
      </c>
      <c r="C48" s="5"/>
      <c r="D48" s="5"/>
      <c r="E48" s="5" t="b">
        <v>0</v>
      </c>
      <c r="F48" s="18">
        <f>VLOOKUP($B48,Constraints!$C$2:$Z$86,15, FALSE)</f>
        <v>0</v>
      </c>
      <c r="I48" s="18">
        <f t="shared" si="0"/>
        <v>0</v>
      </c>
      <c r="L48" s="18">
        <f>VLOOKUP($B48,Constraints!$C$2:$AK$86,26, FALSE)</f>
        <v>0</v>
      </c>
      <c r="M48" t="s">
        <v>664</v>
      </c>
      <c r="N48" s="18">
        <f>VLOOKUP($B48,Constraints!$C$28:$F$86,4,FALSE)</f>
        <v>920</v>
      </c>
      <c r="O48" t="str">
        <f>VLOOKUP($A48,'Capacity Name Ref'!$A$2:$G$16,6,FALSE)</f>
        <v>Device_Capacity_Margin</v>
      </c>
      <c r="P48">
        <f t="shared" si="1"/>
        <v>920</v>
      </c>
      <c r="Q48" t="str">
        <f t="shared" si="2"/>
        <v>Device_Capacity_Margin%</v>
      </c>
      <c r="R48" s="100">
        <f t="shared" si="3"/>
        <v>1</v>
      </c>
    </row>
    <row r="49" spans="1:18" x14ac:dyDescent="0.2">
      <c r="A49" s="74" t="s">
        <v>530</v>
      </c>
      <c r="B49" s="75" t="s">
        <v>308</v>
      </c>
      <c r="C49" s="5"/>
      <c r="D49" s="5"/>
      <c r="E49" s="5" t="b">
        <v>0</v>
      </c>
      <c r="F49" s="18">
        <f>VLOOKUP($B49,Constraints!$C$2:$Z$86,15, FALSE)</f>
        <v>0</v>
      </c>
      <c r="I49" s="18">
        <f t="shared" si="0"/>
        <v>0</v>
      </c>
      <c r="L49" s="18">
        <f>VLOOKUP($B49,Constraints!$C$2:$AK$86,26, FALSE)</f>
        <v>0</v>
      </c>
      <c r="M49" t="s">
        <v>664</v>
      </c>
      <c r="N49" s="18">
        <f>VLOOKUP($B49,Constraints!$C$28:$F$86,4,FALSE)</f>
        <v>920</v>
      </c>
      <c r="O49" t="str">
        <f>VLOOKUP($A49,'Capacity Name Ref'!$A$2:$G$16,6,FALSE)</f>
        <v>Device_Capacity_Margin</v>
      </c>
      <c r="P49">
        <f t="shared" si="1"/>
        <v>920</v>
      </c>
      <c r="Q49" t="str">
        <f t="shared" si="2"/>
        <v>Device_Capacity_Margin%</v>
      </c>
      <c r="R49" s="100">
        <f t="shared" si="3"/>
        <v>1</v>
      </c>
    </row>
    <row r="50" spans="1:18" x14ac:dyDescent="0.2">
      <c r="A50" s="74" t="s">
        <v>530</v>
      </c>
      <c r="B50" s="75" t="s">
        <v>310</v>
      </c>
      <c r="C50" s="5"/>
      <c r="D50" s="5"/>
      <c r="E50" s="5" t="b">
        <v>0</v>
      </c>
      <c r="F50" s="18">
        <f>VLOOKUP($B50,Constraints!$C$2:$Z$86,15, FALSE)</f>
        <v>0</v>
      </c>
      <c r="I50" s="18">
        <f t="shared" si="0"/>
        <v>0</v>
      </c>
      <c r="L50" s="18">
        <f>VLOOKUP($B50,Constraints!$C$2:$AK$86,26, FALSE)</f>
        <v>0</v>
      </c>
      <c r="M50" t="s">
        <v>664</v>
      </c>
      <c r="N50" s="18">
        <f>VLOOKUP($B50,Constraints!$C$28:$F$86,4,FALSE)</f>
        <v>920</v>
      </c>
      <c r="O50" t="str">
        <f>VLOOKUP($A50,'Capacity Name Ref'!$A$2:$G$16,6,FALSE)</f>
        <v>Device_Capacity_Margin</v>
      </c>
      <c r="P50">
        <f t="shared" si="1"/>
        <v>920</v>
      </c>
      <c r="Q50" t="str">
        <f t="shared" si="2"/>
        <v>Device_Capacity_Margin%</v>
      </c>
      <c r="R50" s="100">
        <f t="shared" si="3"/>
        <v>1</v>
      </c>
    </row>
    <row r="51" spans="1:18" x14ac:dyDescent="0.2">
      <c r="A51" s="74" t="s">
        <v>530</v>
      </c>
      <c r="B51" s="75" t="s">
        <v>312</v>
      </c>
      <c r="C51" s="5"/>
      <c r="D51" s="5"/>
      <c r="E51" s="5" t="b">
        <v>0</v>
      </c>
      <c r="F51" s="18">
        <f>VLOOKUP($B51,Constraints!$C$2:$Z$86,15, FALSE)</f>
        <v>0</v>
      </c>
      <c r="I51" s="18">
        <f t="shared" si="0"/>
        <v>0</v>
      </c>
      <c r="L51" s="18">
        <f>VLOOKUP($B51,Constraints!$C$2:$AK$86,26, FALSE)</f>
        <v>0</v>
      </c>
      <c r="M51" t="s">
        <v>664</v>
      </c>
      <c r="N51" s="18">
        <f>VLOOKUP($B51,Constraints!$C$28:$F$86,4,FALSE)</f>
        <v>920</v>
      </c>
      <c r="O51" t="str">
        <f>VLOOKUP($A51,'Capacity Name Ref'!$A$2:$G$16,6,FALSE)</f>
        <v>Device_Capacity_Margin</v>
      </c>
      <c r="P51">
        <f t="shared" si="1"/>
        <v>920</v>
      </c>
      <c r="Q51" t="str">
        <f t="shared" si="2"/>
        <v>Device_Capacity_Margin%</v>
      </c>
      <c r="R51" s="100">
        <f t="shared" si="3"/>
        <v>1</v>
      </c>
    </row>
    <row r="52" spans="1:18" x14ac:dyDescent="0.2">
      <c r="A52" s="74" t="s">
        <v>1</v>
      </c>
      <c r="B52" s="75" t="s">
        <v>397</v>
      </c>
      <c r="C52" s="5"/>
      <c r="D52" s="5"/>
      <c r="E52" s="5" t="b">
        <v>0</v>
      </c>
      <c r="H52" s="18">
        <f>VLOOKUP($B52,Constraints!$C$2:$Z$86,15, FALSE)</f>
        <v>0</v>
      </c>
      <c r="K52" s="18">
        <f>H52/0.8</f>
        <v>0</v>
      </c>
      <c r="L52" s="18">
        <f>VLOOKUP($B52,Constraints!$C$2:$AK$86,26, FALSE)</f>
        <v>0</v>
      </c>
      <c r="M52" t="s">
        <v>668</v>
      </c>
      <c r="N52" s="18">
        <f>VLOOKUP($B52,Constraints!$C$28:$F$86,4,FALSE)</f>
        <v>200</v>
      </c>
      <c r="O52" t="str">
        <f>VLOOKUP($A52,'Capacity Name Ref'!$A$2:$G$16,6,FALSE)</f>
        <v>Local_Capacity_Margin</v>
      </c>
      <c r="P52">
        <f>N52-H52</f>
        <v>200</v>
      </c>
      <c r="Q52" t="str">
        <f t="shared" si="2"/>
        <v>Local_Capacity_Margin%</v>
      </c>
      <c r="R52" s="100">
        <f t="shared" si="3"/>
        <v>1</v>
      </c>
    </row>
    <row r="53" spans="1:18" x14ac:dyDescent="0.2">
      <c r="A53" s="74" t="s">
        <v>1</v>
      </c>
      <c r="B53" s="75" t="s">
        <v>422</v>
      </c>
      <c r="C53" s="5"/>
      <c r="D53" s="5"/>
      <c r="E53" s="5" t="b">
        <v>0</v>
      </c>
      <c r="H53" s="18">
        <f>VLOOKUP($B53,Constraints!$C$2:$Z$86,15, FALSE)</f>
        <v>0</v>
      </c>
      <c r="K53" s="18">
        <f t="shared" si="0"/>
        <v>0</v>
      </c>
      <c r="L53" s="18">
        <f>VLOOKUP($B53,Constraints!$C$2:$AK$86,26, FALSE)</f>
        <v>0</v>
      </c>
      <c r="M53" t="s">
        <v>668</v>
      </c>
      <c r="N53" s="18">
        <f>VLOOKUP($B53,Constraints!$C$28:$F$86,4,FALSE)</f>
        <v>200</v>
      </c>
      <c r="O53" t="str">
        <f>VLOOKUP($A53,'Capacity Name Ref'!$A$2:$G$16,6,FALSE)</f>
        <v>Local_Capacity_Margin</v>
      </c>
      <c r="P53">
        <f t="shared" ref="P53:P58" si="4">N53-H53</f>
        <v>200</v>
      </c>
      <c r="Q53" t="str">
        <f t="shared" si="2"/>
        <v>Local_Capacity_Margin%</v>
      </c>
      <c r="R53" s="100">
        <f t="shared" si="3"/>
        <v>1</v>
      </c>
    </row>
    <row r="54" spans="1:18" x14ac:dyDescent="0.2">
      <c r="A54" s="74" t="s">
        <v>1</v>
      </c>
      <c r="B54" s="75" t="s">
        <v>247</v>
      </c>
      <c r="C54" s="5"/>
      <c r="D54" s="5"/>
      <c r="E54" s="5" t="b">
        <v>0</v>
      </c>
      <c r="H54" s="18">
        <f>VLOOKUP($B54,Constraints!$C$2:$Z$86,15, FALSE)</f>
        <v>0</v>
      </c>
      <c r="K54" s="18">
        <f t="shared" ref="J54:K67" si="5">H54/0.8</f>
        <v>0</v>
      </c>
      <c r="L54" s="18">
        <f>VLOOKUP($B54,Constraints!$C$2:$AK$86,26, FALSE)</f>
        <v>0</v>
      </c>
      <c r="M54" t="s">
        <v>668</v>
      </c>
      <c r="N54" s="18">
        <f>VLOOKUP($B54,Constraints!$C$28:$F$86,4,FALSE)</f>
        <v>2000</v>
      </c>
      <c r="O54" t="str">
        <f>VLOOKUP($A54,'Capacity Name Ref'!$A$2:$G$16,6,FALSE)</f>
        <v>Local_Capacity_Margin</v>
      </c>
      <c r="P54">
        <f t="shared" si="4"/>
        <v>2000</v>
      </c>
      <c r="Q54" t="str">
        <f t="shared" si="2"/>
        <v>Local_Capacity_Margin%</v>
      </c>
      <c r="R54" s="100">
        <f t="shared" si="3"/>
        <v>1</v>
      </c>
    </row>
    <row r="55" spans="1:18" x14ac:dyDescent="0.2">
      <c r="A55" s="74" t="s">
        <v>1</v>
      </c>
      <c r="B55" s="75" t="s">
        <v>246</v>
      </c>
      <c r="C55" s="5"/>
      <c r="D55" s="5"/>
      <c r="E55" s="5" t="b">
        <v>0</v>
      </c>
      <c r="H55" s="18">
        <f>VLOOKUP($B55,Constraints!$C$2:$Z$86,15, FALSE)</f>
        <v>1170</v>
      </c>
      <c r="K55" s="18">
        <f t="shared" si="5"/>
        <v>1462.5</v>
      </c>
      <c r="L55" s="18">
        <f>VLOOKUP($B55,Constraints!$C$2:$AK$86,26, FALSE)</f>
        <v>52</v>
      </c>
      <c r="M55" t="s">
        <v>668</v>
      </c>
      <c r="N55" s="18">
        <f>VLOOKUP($B55,Constraints!$C$28:$F$86,4,FALSE)</f>
        <v>1000</v>
      </c>
      <c r="O55" t="str">
        <f>VLOOKUP($A55,'Capacity Name Ref'!$A$2:$G$16,6,FALSE)</f>
        <v>Local_Capacity_Margin</v>
      </c>
      <c r="P55">
        <f t="shared" si="4"/>
        <v>-170</v>
      </c>
      <c r="Q55" t="str">
        <f t="shared" si="2"/>
        <v>Local_Capacity_Margin%</v>
      </c>
      <c r="R55" s="100">
        <f t="shared" si="3"/>
        <v>-0.17</v>
      </c>
    </row>
    <row r="56" spans="1:18" x14ac:dyDescent="0.2">
      <c r="A56" s="74" t="s">
        <v>1</v>
      </c>
      <c r="B56" s="75" t="s">
        <v>252</v>
      </c>
      <c r="C56" s="5"/>
      <c r="D56" s="5"/>
      <c r="E56" s="5" t="b">
        <v>0</v>
      </c>
      <c r="H56" s="18">
        <f>VLOOKUP($B56,Constraints!$C$2:$Z$86,15, FALSE)</f>
        <v>0</v>
      </c>
      <c r="K56" s="18">
        <f t="shared" si="5"/>
        <v>0</v>
      </c>
      <c r="L56" s="18">
        <f>VLOOKUP($B56,Constraints!$C$2:$AK$86,26, FALSE)</f>
        <v>0</v>
      </c>
      <c r="M56" t="s">
        <v>668</v>
      </c>
      <c r="N56" s="18">
        <f>VLOOKUP($B56,Constraints!$C$28:$F$86,4,FALSE)</f>
        <v>500</v>
      </c>
      <c r="O56" t="str">
        <f>VLOOKUP($A56,'Capacity Name Ref'!$A$2:$G$16,6,FALSE)</f>
        <v>Local_Capacity_Margin</v>
      </c>
      <c r="P56">
        <f t="shared" si="4"/>
        <v>500</v>
      </c>
      <c r="Q56" t="str">
        <f t="shared" si="2"/>
        <v>Local_Capacity_Margin%</v>
      </c>
      <c r="R56" s="100">
        <f t="shared" si="3"/>
        <v>1</v>
      </c>
    </row>
    <row r="57" spans="1:18" x14ac:dyDescent="0.2">
      <c r="A57" s="74" t="s">
        <v>1</v>
      </c>
      <c r="B57" s="75" t="s">
        <v>318</v>
      </c>
      <c r="C57" s="5"/>
      <c r="D57" s="5"/>
      <c r="E57" s="5" t="b">
        <v>0</v>
      </c>
      <c r="H57" s="18">
        <f>VLOOKUP($B57,Constraints!$C$2:$Z$86,15, FALSE)</f>
        <v>0</v>
      </c>
      <c r="K57" s="18">
        <f t="shared" si="5"/>
        <v>0</v>
      </c>
      <c r="L57" s="18">
        <f>VLOOKUP($B57,Constraints!$C$2:$AK$86,26, FALSE)</f>
        <v>0</v>
      </c>
      <c r="M57" t="s">
        <v>668</v>
      </c>
      <c r="N57" s="18">
        <f>VLOOKUP($B57,Constraints!$C$28:$F$86,4,FALSE)</f>
        <v>1500</v>
      </c>
      <c r="O57" t="str">
        <f>VLOOKUP($A57,'Capacity Name Ref'!$A$2:$G$16,6,FALSE)</f>
        <v>Local_Capacity_Margin</v>
      </c>
      <c r="P57">
        <f t="shared" si="4"/>
        <v>1500</v>
      </c>
      <c r="Q57" t="str">
        <f t="shared" si="2"/>
        <v>Local_Capacity_Margin%</v>
      </c>
      <c r="R57" s="100">
        <f t="shared" si="3"/>
        <v>1</v>
      </c>
    </row>
    <row r="58" spans="1:18" x14ac:dyDescent="0.2">
      <c r="A58" s="74" t="s">
        <v>1</v>
      </c>
      <c r="B58" s="75" t="s">
        <v>317</v>
      </c>
      <c r="C58" s="5"/>
      <c r="D58" s="5"/>
      <c r="E58" s="5" t="b">
        <v>0</v>
      </c>
      <c r="H58" s="18">
        <f>VLOOKUP($B58,Constraints!$C$2:$Z$86,15, FALSE)</f>
        <v>0</v>
      </c>
      <c r="K58" s="18">
        <f t="shared" si="5"/>
        <v>0</v>
      </c>
      <c r="L58" s="18">
        <f>VLOOKUP($B58,Constraints!$C$2:$AK$86,26, FALSE)</f>
        <v>0</v>
      </c>
      <c r="M58" t="s">
        <v>668</v>
      </c>
      <c r="N58" s="18">
        <f>VLOOKUP($B58,Constraints!$C$28:$F$86,4,FALSE)</f>
        <v>1500</v>
      </c>
      <c r="O58" t="str">
        <f>VLOOKUP($A58,'Capacity Name Ref'!$A$2:$G$16,6,FALSE)</f>
        <v>Local_Capacity_Margin</v>
      </c>
      <c r="P58">
        <f t="shared" si="4"/>
        <v>1500</v>
      </c>
      <c r="Q58" t="str">
        <f t="shared" si="2"/>
        <v>Local_Capacity_Margin%</v>
      </c>
      <c r="R58" s="100">
        <f t="shared" si="3"/>
        <v>1</v>
      </c>
    </row>
    <row r="59" spans="1:18" x14ac:dyDescent="0.2">
      <c r="A59" s="74" t="s">
        <v>245</v>
      </c>
      <c r="B59" s="75" t="s">
        <v>446</v>
      </c>
      <c r="C59" s="5"/>
      <c r="D59" s="5"/>
      <c r="E59" s="5" t="b">
        <v>0</v>
      </c>
      <c r="G59" s="18">
        <f>VLOOKUP($B59,Constraints!$C$2:$Z$86,15, FALSE)</f>
        <v>0</v>
      </c>
      <c r="J59" s="18">
        <f>G59/0.8</f>
        <v>0</v>
      </c>
      <c r="L59" s="18">
        <f>VLOOKUP($B59,Constraints!$C$2:$AK$86,26, FALSE)</f>
        <v>0</v>
      </c>
      <c r="M59" t="s">
        <v>667</v>
      </c>
      <c r="N59" s="18">
        <f>VLOOKUP($B59,Constraints!$C$28:$F$86,4,FALSE)</f>
        <v>270</v>
      </c>
      <c r="O59" t="str">
        <f>VLOOKUP($A59,'Capacity Name Ref'!$A$2:$G$16,6,FALSE)</f>
        <v>Local_Capacity_Margin</v>
      </c>
      <c r="P59">
        <f>N59-G59</f>
        <v>270</v>
      </c>
      <c r="Q59" t="str">
        <f t="shared" si="2"/>
        <v>Local_Capacity_Margin%</v>
      </c>
      <c r="R59" s="100">
        <f t="shared" si="3"/>
        <v>1</v>
      </c>
    </row>
    <row r="60" spans="1:18" x14ac:dyDescent="0.2">
      <c r="A60" s="74" t="s">
        <v>245</v>
      </c>
      <c r="B60" s="75" t="s">
        <v>447</v>
      </c>
      <c r="C60" s="5"/>
      <c r="D60" s="5"/>
      <c r="E60" s="5" t="b">
        <v>0</v>
      </c>
      <c r="G60" s="18">
        <f>VLOOKUP($B60,Constraints!$C$2:$Z$86,15, FALSE)</f>
        <v>0</v>
      </c>
      <c r="J60" s="18">
        <f t="shared" si="5"/>
        <v>0</v>
      </c>
      <c r="L60" s="18">
        <f>VLOOKUP($B60,Constraints!$C$2:$AK$86,26, FALSE)</f>
        <v>0</v>
      </c>
      <c r="M60" t="s">
        <v>667</v>
      </c>
      <c r="N60" s="18">
        <f>VLOOKUP($B60,Constraints!$C$28:$F$86,4,FALSE)</f>
        <v>270</v>
      </c>
      <c r="O60" t="str">
        <f>VLOOKUP($A60,'Capacity Name Ref'!$A$2:$G$16,6,FALSE)</f>
        <v>Local_Capacity_Margin</v>
      </c>
      <c r="P60">
        <f t="shared" ref="P60:P67" si="6">N60-G60</f>
        <v>270</v>
      </c>
      <c r="Q60" t="str">
        <f t="shared" si="2"/>
        <v>Local_Capacity_Margin%</v>
      </c>
      <c r="R60" s="100">
        <f t="shared" si="3"/>
        <v>1</v>
      </c>
    </row>
    <row r="61" spans="1:18" x14ac:dyDescent="0.2">
      <c r="A61" s="74" t="s">
        <v>245</v>
      </c>
      <c r="B61" s="75" t="s">
        <v>250</v>
      </c>
      <c r="C61" s="5"/>
      <c r="D61" s="5"/>
      <c r="E61" s="5" t="b">
        <v>0</v>
      </c>
      <c r="G61" s="18">
        <f>VLOOKUP($B61,Constraints!$C$2:$Z$86,15, FALSE)</f>
        <v>0</v>
      </c>
      <c r="J61" s="18">
        <f t="shared" si="5"/>
        <v>0</v>
      </c>
      <c r="L61" s="18">
        <f>VLOOKUP($B61,Constraints!$C$2:$AK$86,26, FALSE)</f>
        <v>0</v>
      </c>
      <c r="M61" t="s">
        <v>667</v>
      </c>
      <c r="N61" s="18">
        <f>VLOOKUP($B61,Constraints!$C$28:$F$86,4,FALSE)</f>
        <v>240</v>
      </c>
      <c r="O61" t="str">
        <f>VLOOKUP($A61,'Capacity Name Ref'!$A$2:$G$16,6,FALSE)</f>
        <v>Local_Capacity_Margin</v>
      </c>
      <c r="P61">
        <f t="shared" si="6"/>
        <v>240</v>
      </c>
      <c r="Q61" t="str">
        <f t="shared" si="2"/>
        <v>Local_Capacity_Margin%</v>
      </c>
      <c r="R61" s="100">
        <f t="shared" si="3"/>
        <v>1</v>
      </c>
    </row>
    <row r="62" spans="1:18" x14ac:dyDescent="0.2">
      <c r="A62" s="74" t="s">
        <v>245</v>
      </c>
      <c r="B62" s="75" t="s">
        <v>251</v>
      </c>
      <c r="C62" s="5"/>
      <c r="D62" s="5"/>
      <c r="E62" s="5" t="b">
        <v>0</v>
      </c>
      <c r="G62" s="18">
        <f>VLOOKUP($B62,Constraints!$C$2:$Z$86,15, FALSE)</f>
        <v>0</v>
      </c>
      <c r="J62" s="18">
        <f t="shared" si="5"/>
        <v>0</v>
      </c>
      <c r="L62" s="18">
        <f>VLOOKUP($B62,Constraints!$C$2:$AK$86,26, FALSE)</f>
        <v>0</v>
      </c>
      <c r="M62" t="s">
        <v>667</v>
      </c>
      <c r="N62" s="18">
        <f>VLOOKUP($B62,Constraints!$C$28:$F$86,4,FALSE)</f>
        <v>180</v>
      </c>
      <c r="O62" t="str">
        <f>VLOOKUP($A62,'Capacity Name Ref'!$A$2:$G$16,6,FALSE)</f>
        <v>Local_Capacity_Margin</v>
      </c>
      <c r="P62">
        <f t="shared" si="6"/>
        <v>180</v>
      </c>
      <c r="Q62" t="str">
        <f t="shared" si="2"/>
        <v>Local_Capacity_Margin%</v>
      </c>
      <c r="R62" s="100">
        <f t="shared" si="3"/>
        <v>1</v>
      </c>
    </row>
    <row r="63" spans="1:18" x14ac:dyDescent="0.2">
      <c r="A63" s="74" t="s">
        <v>245</v>
      </c>
      <c r="B63" s="75" t="s">
        <v>248</v>
      </c>
      <c r="C63" s="5"/>
      <c r="D63" s="5"/>
      <c r="E63" s="5" t="b">
        <v>0</v>
      </c>
      <c r="G63" s="18">
        <f>VLOOKUP($B63,Constraints!$C$2:$Z$86,15, FALSE)</f>
        <v>300</v>
      </c>
      <c r="J63" s="18">
        <f t="shared" si="5"/>
        <v>375</v>
      </c>
      <c r="L63" s="18">
        <f>VLOOKUP($B63,Constraints!$C$2:$AK$86,26, FALSE)</f>
        <v>40</v>
      </c>
      <c r="M63" t="s">
        <v>667</v>
      </c>
      <c r="N63" s="18">
        <f>VLOOKUP($B63,Constraints!$C$28:$F$86,4,FALSE)</f>
        <v>240</v>
      </c>
      <c r="O63" t="str">
        <f>VLOOKUP($A63,'Capacity Name Ref'!$A$2:$G$16,6,FALSE)</f>
        <v>Local_Capacity_Margin</v>
      </c>
      <c r="P63">
        <f t="shared" si="6"/>
        <v>-60</v>
      </c>
      <c r="Q63" t="str">
        <f t="shared" si="2"/>
        <v>Local_Capacity_Margin%</v>
      </c>
      <c r="R63" s="100">
        <f t="shared" si="3"/>
        <v>-0.25</v>
      </c>
    </row>
    <row r="64" spans="1:18" x14ac:dyDescent="0.2">
      <c r="A64" s="74" t="s">
        <v>245</v>
      </c>
      <c r="B64" s="75" t="s">
        <v>249</v>
      </c>
      <c r="C64" s="5"/>
      <c r="D64" s="5"/>
      <c r="E64" s="5" t="b">
        <v>0</v>
      </c>
      <c r="G64" s="18">
        <f>VLOOKUP($B64,Constraints!$C$2:$Z$86,15, FALSE)</f>
        <v>90</v>
      </c>
      <c r="J64" s="18">
        <f t="shared" si="5"/>
        <v>112.5</v>
      </c>
      <c r="L64" s="18">
        <f>VLOOKUP($B64,Constraints!$C$2:$AK$86,26, FALSE)</f>
        <v>12</v>
      </c>
      <c r="M64" t="s">
        <v>667</v>
      </c>
      <c r="N64" s="18">
        <f>VLOOKUP($B64,Constraints!$C$28:$F$86,4,FALSE)</f>
        <v>180</v>
      </c>
      <c r="O64" t="str">
        <f>VLOOKUP($A64,'Capacity Name Ref'!$A$2:$G$16,6,FALSE)</f>
        <v>Local_Capacity_Margin</v>
      </c>
      <c r="P64">
        <f t="shared" si="6"/>
        <v>90</v>
      </c>
      <c r="Q64" t="str">
        <f t="shared" si="2"/>
        <v>Local_Capacity_Margin%</v>
      </c>
      <c r="R64" s="100">
        <f t="shared" si="3"/>
        <v>0.5</v>
      </c>
    </row>
    <row r="65" spans="1:24" x14ac:dyDescent="0.2">
      <c r="A65" s="74" t="s">
        <v>245</v>
      </c>
      <c r="B65" s="75" t="s">
        <v>253</v>
      </c>
      <c r="C65" s="5"/>
      <c r="D65" s="5"/>
      <c r="E65" s="5" t="b">
        <v>0</v>
      </c>
      <c r="G65" s="18">
        <f>VLOOKUP($B65,Constraints!$C$2:$Z$86,15, FALSE)</f>
        <v>0</v>
      </c>
      <c r="J65" s="18">
        <f t="shared" si="5"/>
        <v>0</v>
      </c>
      <c r="L65" s="18">
        <f>VLOOKUP($B65,Constraints!$C$2:$AK$86,26, FALSE)</f>
        <v>0</v>
      </c>
      <c r="M65" t="s">
        <v>667</v>
      </c>
      <c r="N65" s="18">
        <f>VLOOKUP($B65,Constraints!$C$28:$F$86,4,FALSE)</f>
        <v>180</v>
      </c>
      <c r="O65" t="str">
        <f>VLOOKUP($A65,'Capacity Name Ref'!$A$2:$G$16,6,FALSE)</f>
        <v>Local_Capacity_Margin</v>
      </c>
      <c r="P65">
        <f t="shared" si="6"/>
        <v>180</v>
      </c>
      <c r="Q65" t="str">
        <f t="shared" si="2"/>
        <v>Local_Capacity_Margin%</v>
      </c>
      <c r="R65" s="100">
        <f t="shared" si="3"/>
        <v>1</v>
      </c>
    </row>
    <row r="66" spans="1:24" x14ac:dyDescent="0.2">
      <c r="A66" s="74" t="s">
        <v>245</v>
      </c>
      <c r="B66" s="75" t="s">
        <v>320</v>
      </c>
      <c r="C66" s="5"/>
      <c r="D66" s="5"/>
      <c r="E66" s="5" t="b">
        <v>0</v>
      </c>
      <c r="G66" s="18">
        <f>VLOOKUP($B66,Constraints!$C$2:$Z$86,15, FALSE)</f>
        <v>0</v>
      </c>
      <c r="J66" s="18">
        <f>G66/0.8</f>
        <v>0</v>
      </c>
      <c r="L66" s="18">
        <f>VLOOKUP($B66,Constraints!$C$2:$AK$86,26, FALSE)</f>
        <v>0</v>
      </c>
      <c r="M66" t="s">
        <v>667</v>
      </c>
      <c r="N66" s="18">
        <f>VLOOKUP($B66,Constraints!$C$28:$F$86,4,FALSE)</f>
        <v>270</v>
      </c>
      <c r="O66" t="str">
        <f>VLOOKUP($A66,'Capacity Name Ref'!$A$2:$G$16,6,FALSE)</f>
        <v>Local_Capacity_Margin</v>
      </c>
      <c r="P66">
        <f t="shared" si="6"/>
        <v>270</v>
      </c>
      <c r="Q66" t="str">
        <f t="shared" si="2"/>
        <v>Local_Capacity_Margin%</v>
      </c>
      <c r="R66" s="100">
        <f t="shared" si="3"/>
        <v>1</v>
      </c>
    </row>
    <row r="67" spans="1:24" x14ac:dyDescent="0.2">
      <c r="A67" s="74" t="s">
        <v>245</v>
      </c>
      <c r="B67" s="75" t="s">
        <v>319</v>
      </c>
      <c r="C67" s="5"/>
      <c r="D67" s="5"/>
      <c r="E67" s="5" t="b">
        <v>0</v>
      </c>
      <c r="G67" s="18">
        <f>VLOOKUP($B67,Constraints!$C$2:$Z$86,15, FALSE)</f>
        <v>0</v>
      </c>
      <c r="J67" s="18">
        <f t="shared" si="5"/>
        <v>0</v>
      </c>
      <c r="L67" s="18">
        <f>VLOOKUP($B67,Constraints!$C$2:$AK$86,26, FALSE)</f>
        <v>0</v>
      </c>
      <c r="M67" t="s">
        <v>667</v>
      </c>
      <c r="N67" s="18">
        <f>VLOOKUP($B67,Constraints!$C$28:$F$86,4,FALSE)</f>
        <v>270</v>
      </c>
      <c r="O67" t="str">
        <f>VLOOKUP($A67,'Capacity Name Ref'!$A$2:$G$16,6,FALSE)</f>
        <v>Local_Capacity_Margin</v>
      </c>
      <c r="P67">
        <f t="shared" si="6"/>
        <v>270</v>
      </c>
      <c r="Q67" t="str">
        <f t="shared" si="2"/>
        <v>Local_Capacity_Margin%</v>
      </c>
      <c r="R67" s="100">
        <f t="shared" si="3"/>
        <v>1</v>
      </c>
    </row>
    <row r="68" spans="1:24" x14ac:dyDescent="0.2">
      <c r="A68" s="74" t="s">
        <v>645</v>
      </c>
      <c r="B68" s="75" t="s">
        <v>452</v>
      </c>
      <c r="C68" s="5"/>
      <c r="D68" s="5"/>
      <c r="E68" s="5" t="b">
        <v>0</v>
      </c>
      <c r="F68" s="18">
        <f>VLOOKUP($B68,Constraints!$C$2:$Z$86,15, FALSE)</f>
        <v>0</v>
      </c>
      <c r="I68" s="18">
        <f t="shared" ref="I68:I85" si="7">F68/0.8</f>
        <v>0</v>
      </c>
      <c r="L68" s="18">
        <f>VLOOKUP($B68,Constraints!$C$2:$AK$86,26, FALSE)</f>
        <v>0</v>
      </c>
      <c r="M68" t="s">
        <v>670</v>
      </c>
      <c r="N68" s="18">
        <f>VLOOKUP($B68,Constraints!$C$28:$F$86,4,FALSE)</f>
        <v>400</v>
      </c>
      <c r="O68" t="str">
        <f>VLOOKUP($A68,'Capacity Name Ref'!$A$2:$G$16,6,FALSE)</f>
        <v>Local_Capacity_Margin</v>
      </c>
      <c r="P68">
        <f>N68-F68</f>
        <v>400</v>
      </c>
      <c r="Q68" t="str">
        <f t="shared" si="2"/>
        <v>Local_Capacity_Margin%</v>
      </c>
      <c r="R68" s="100">
        <f t="shared" si="3"/>
        <v>1</v>
      </c>
      <c r="S68" s="71" t="s">
        <v>671</v>
      </c>
      <c r="T68">
        <f>VLOOKUP($B68,Constraints!$C$68:$H$78,6,FALSE)</f>
        <v>480</v>
      </c>
      <c r="U68" s="71" t="s">
        <v>682</v>
      </c>
      <c r="V68">
        <f>T68-F68</f>
        <v>480</v>
      </c>
      <c r="W68" s="71" t="s">
        <v>688</v>
      </c>
      <c r="X68" s="100">
        <f>V68/T68</f>
        <v>1</v>
      </c>
    </row>
    <row r="69" spans="1:24" x14ac:dyDescent="0.2">
      <c r="A69" s="74" t="s">
        <v>645</v>
      </c>
      <c r="B69" s="75" t="s">
        <v>453</v>
      </c>
      <c r="C69" s="5"/>
      <c r="D69" s="5"/>
      <c r="E69" s="5" t="b">
        <v>0</v>
      </c>
      <c r="F69" s="18">
        <f>VLOOKUP($B69,Constraints!$C$2:$Z$86,15, FALSE)</f>
        <v>0</v>
      </c>
      <c r="I69" s="18">
        <f t="shared" si="7"/>
        <v>0</v>
      </c>
      <c r="L69" s="18">
        <f>VLOOKUP($B69,Constraints!$C$2:$AK$86,26, FALSE)</f>
        <v>0</v>
      </c>
      <c r="M69" t="s">
        <v>670</v>
      </c>
      <c r="N69" s="18">
        <f>VLOOKUP($B69,Constraints!$C$28:$F$86,4,FALSE)</f>
        <v>400</v>
      </c>
      <c r="O69" t="str">
        <f>VLOOKUP($A69,'Capacity Name Ref'!$A$2:$G$16,6,FALSE)</f>
        <v>Local_Capacity_Margin</v>
      </c>
      <c r="P69">
        <f t="shared" ref="P69:P85" si="8">N69-F69</f>
        <v>400</v>
      </c>
      <c r="Q69" t="str">
        <f t="shared" si="2"/>
        <v>Local_Capacity_Margin%</v>
      </c>
      <c r="R69" s="100">
        <f t="shared" si="3"/>
        <v>1</v>
      </c>
      <c r="S69" s="71" t="s">
        <v>671</v>
      </c>
      <c r="T69">
        <f>VLOOKUP($B69,Constraints!$C$68:$H$78,6,FALSE)</f>
        <v>480</v>
      </c>
      <c r="U69" s="71" t="s">
        <v>682</v>
      </c>
      <c r="V69">
        <f t="shared" ref="V69:V78" si="9">T69-F69</f>
        <v>480</v>
      </c>
      <c r="W69" s="71" t="s">
        <v>688</v>
      </c>
      <c r="X69" s="100">
        <f t="shared" ref="X69:X78" si="10">V69/T69</f>
        <v>1</v>
      </c>
    </row>
    <row r="70" spans="1:24" x14ac:dyDescent="0.2">
      <c r="A70" s="74" t="s">
        <v>645</v>
      </c>
      <c r="B70" s="75" t="s">
        <v>70</v>
      </c>
      <c r="C70" s="5"/>
      <c r="D70" s="5"/>
      <c r="E70" s="5" t="b">
        <v>0</v>
      </c>
      <c r="F70" s="18">
        <f>VLOOKUP($B70,Constraints!$C$2:$Z$86,15, FALSE)</f>
        <v>1560</v>
      </c>
      <c r="I70" s="18">
        <f t="shared" si="7"/>
        <v>1950</v>
      </c>
      <c r="L70" s="18">
        <f>VLOOKUP($B70,Constraints!$C$2:$AK$86,26, FALSE)</f>
        <v>52</v>
      </c>
      <c r="M70" t="s">
        <v>670</v>
      </c>
      <c r="N70" s="18">
        <f>VLOOKUP($B70,Constraints!$C$28:$F$86,4,FALSE)</f>
        <v>4000</v>
      </c>
      <c r="O70" t="str">
        <f>VLOOKUP($A70,'Capacity Name Ref'!$A$2:$G$16,6,FALSE)</f>
        <v>Local_Capacity_Margin</v>
      </c>
      <c r="P70">
        <f t="shared" si="8"/>
        <v>2440</v>
      </c>
      <c r="Q70" t="str">
        <f t="shared" si="2"/>
        <v>Local_Capacity_Margin%</v>
      </c>
      <c r="R70" s="100">
        <f t="shared" si="3"/>
        <v>0.61</v>
      </c>
      <c r="S70" s="71" t="s">
        <v>671</v>
      </c>
      <c r="T70">
        <f>VLOOKUP($B70,Constraints!$C$68:$H$78,6,FALSE)</f>
        <v>4000</v>
      </c>
      <c r="U70" s="71" t="s">
        <v>682</v>
      </c>
      <c r="V70">
        <f t="shared" si="9"/>
        <v>2440</v>
      </c>
      <c r="W70" s="71" t="s">
        <v>688</v>
      </c>
      <c r="X70" s="100">
        <f t="shared" si="10"/>
        <v>0.61</v>
      </c>
    </row>
    <row r="71" spans="1:24" x14ac:dyDescent="0.2">
      <c r="A71" s="74" t="s">
        <v>645</v>
      </c>
      <c r="B71" s="75" t="s">
        <v>73</v>
      </c>
      <c r="C71" s="5"/>
      <c r="D71" s="5"/>
      <c r="E71" s="5" t="b">
        <v>0</v>
      </c>
      <c r="F71" s="18">
        <f>VLOOKUP($B71,Constraints!$C$2:$Z$86,15, FALSE)</f>
        <v>0</v>
      </c>
      <c r="I71" s="18">
        <f t="shared" si="7"/>
        <v>0</v>
      </c>
      <c r="L71" s="18">
        <f>VLOOKUP($B71,Constraints!$C$2:$AK$86,26, FALSE)</f>
        <v>0</v>
      </c>
      <c r="M71" t="s">
        <v>670</v>
      </c>
      <c r="N71" s="18">
        <f>VLOOKUP($B71,Constraints!$C$28:$F$86,4,FALSE)</f>
        <v>2500</v>
      </c>
      <c r="O71" t="str">
        <f>VLOOKUP($A71,'Capacity Name Ref'!$A$2:$G$16,6,FALSE)</f>
        <v>Local_Capacity_Margin</v>
      </c>
      <c r="P71">
        <f t="shared" si="8"/>
        <v>2500</v>
      </c>
      <c r="Q71" t="str">
        <f t="shared" si="2"/>
        <v>Local_Capacity_Margin%</v>
      </c>
      <c r="R71" s="100">
        <f t="shared" si="3"/>
        <v>1</v>
      </c>
      <c r="S71" s="71" t="s">
        <v>671</v>
      </c>
      <c r="T71">
        <f>VLOOKUP($B71,Constraints!$C$68:$H$78,6,FALSE)</f>
        <v>3200</v>
      </c>
      <c r="U71" s="71" t="s">
        <v>682</v>
      </c>
      <c r="V71">
        <f t="shared" si="9"/>
        <v>3200</v>
      </c>
      <c r="W71" s="71" t="s">
        <v>688</v>
      </c>
      <c r="X71" s="100">
        <f t="shared" si="10"/>
        <v>1</v>
      </c>
    </row>
    <row r="72" spans="1:24" x14ac:dyDescent="0.2">
      <c r="A72" s="74" t="s">
        <v>645</v>
      </c>
      <c r="B72" s="75" t="s">
        <v>313</v>
      </c>
      <c r="C72" s="5"/>
      <c r="D72" s="5"/>
      <c r="E72" s="5" t="b">
        <v>0</v>
      </c>
      <c r="F72" s="18">
        <f>VLOOKUP($B72,Constraints!$C$2:$Z$86,15, FALSE)</f>
        <v>0</v>
      </c>
      <c r="I72" s="18">
        <f t="shared" si="7"/>
        <v>0</v>
      </c>
      <c r="L72" s="18">
        <f>VLOOKUP($B72,Constraints!$C$2:$AK$86,26, FALSE)</f>
        <v>0</v>
      </c>
      <c r="M72" t="s">
        <v>670</v>
      </c>
      <c r="N72" s="18">
        <f>VLOOKUP($B72,Constraints!$C$28:$F$86,4,FALSE)</f>
        <v>3000</v>
      </c>
      <c r="O72" t="str">
        <f>VLOOKUP($A72,'Capacity Name Ref'!$A$2:$G$16,6,FALSE)</f>
        <v>Local_Capacity_Margin</v>
      </c>
      <c r="P72">
        <f t="shared" si="8"/>
        <v>3000</v>
      </c>
      <c r="Q72" t="str">
        <f t="shared" si="2"/>
        <v>Local_Capacity_Margin%</v>
      </c>
      <c r="R72" s="100">
        <f t="shared" si="3"/>
        <v>1</v>
      </c>
      <c r="S72" s="71" t="s">
        <v>671</v>
      </c>
      <c r="T72">
        <f>VLOOKUP($B72,Constraints!$C$68:$H$78,6,FALSE)</f>
        <v>3200</v>
      </c>
      <c r="U72" s="71" t="s">
        <v>682</v>
      </c>
      <c r="V72">
        <f t="shared" si="9"/>
        <v>3200</v>
      </c>
      <c r="W72" s="71" t="s">
        <v>688</v>
      </c>
      <c r="X72" s="100">
        <f t="shared" si="10"/>
        <v>1</v>
      </c>
    </row>
    <row r="73" spans="1:24" x14ac:dyDescent="0.2">
      <c r="A73" s="74" t="s">
        <v>645</v>
      </c>
      <c r="B73" s="75" t="s">
        <v>71</v>
      </c>
      <c r="C73" s="5"/>
      <c r="D73" s="5"/>
      <c r="E73" s="5" t="b">
        <v>0</v>
      </c>
      <c r="F73" s="18">
        <f>VLOOKUP($B73,Constraints!$C$2:$Z$86,15, FALSE)</f>
        <v>780</v>
      </c>
      <c r="I73" s="18">
        <f t="shared" si="7"/>
        <v>975</v>
      </c>
      <c r="L73" s="18">
        <f>VLOOKUP($B73,Constraints!$C$2:$AK$86,26, FALSE)</f>
        <v>0</v>
      </c>
      <c r="M73" t="s">
        <v>670</v>
      </c>
      <c r="N73" s="18">
        <f>VLOOKUP($B73,Constraints!$C$28:$F$86,4,FALSE)</f>
        <v>960</v>
      </c>
      <c r="O73" t="str">
        <f>VLOOKUP($A73,'Capacity Name Ref'!$A$2:$G$16,6,FALSE)</f>
        <v>Local_Capacity_Margin</v>
      </c>
      <c r="P73">
        <f t="shared" si="8"/>
        <v>180</v>
      </c>
      <c r="Q73" t="str">
        <f t="shared" si="2"/>
        <v>Local_Capacity_Margin%</v>
      </c>
      <c r="R73" s="100">
        <f t="shared" si="3"/>
        <v>0.1875</v>
      </c>
      <c r="S73" s="71" t="s">
        <v>671</v>
      </c>
      <c r="T73">
        <f>VLOOKUP($B73,Constraints!$C$68:$H$78,6,FALSE)</f>
        <v>960</v>
      </c>
      <c r="U73" s="71" t="s">
        <v>682</v>
      </c>
      <c r="V73">
        <f t="shared" si="9"/>
        <v>180</v>
      </c>
      <c r="W73" s="71" t="s">
        <v>688</v>
      </c>
      <c r="X73" s="100">
        <f t="shared" si="10"/>
        <v>0.1875</v>
      </c>
    </row>
    <row r="74" spans="1:24" x14ac:dyDescent="0.2">
      <c r="A74" s="74" t="s">
        <v>645</v>
      </c>
      <c r="B74" s="75" t="s">
        <v>72</v>
      </c>
      <c r="C74" s="5"/>
      <c r="D74" s="5"/>
      <c r="E74" s="5" t="b">
        <v>0</v>
      </c>
      <c r="F74" s="18">
        <f>VLOOKUP($B74,Constraints!$C$2:$Z$86,15, FALSE)</f>
        <v>780</v>
      </c>
      <c r="I74" s="18">
        <f t="shared" si="7"/>
        <v>975</v>
      </c>
      <c r="L74" s="18">
        <f>VLOOKUP($B74,Constraints!$C$2:$AK$86,26, FALSE)</f>
        <v>0</v>
      </c>
      <c r="M74" t="s">
        <v>670</v>
      </c>
      <c r="N74" s="18">
        <f>VLOOKUP($B74,Constraints!$C$28:$F$86,4,FALSE)</f>
        <v>4000</v>
      </c>
      <c r="O74" t="str">
        <f>VLOOKUP($A74,'Capacity Name Ref'!$A$2:$G$16,6,FALSE)</f>
        <v>Local_Capacity_Margin</v>
      </c>
      <c r="P74">
        <f t="shared" si="8"/>
        <v>3220</v>
      </c>
      <c r="Q74" t="str">
        <f t="shared" si="2"/>
        <v>Local_Capacity_Margin%</v>
      </c>
      <c r="R74" s="100">
        <f t="shared" si="3"/>
        <v>0.80500000000000005</v>
      </c>
      <c r="S74" s="71" t="s">
        <v>671</v>
      </c>
      <c r="T74">
        <f>VLOOKUP($B74,Constraints!$C$68:$H$78,6,FALSE)</f>
        <v>4000</v>
      </c>
      <c r="U74" s="71" t="s">
        <v>682</v>
      </c>
      <c r="V74">
        <f t="shared" si="9"/>
        <v>3220</v>
      </c>
      <c r="W74" s="71" t="s">
        <v>688</v>
      </c>
      <c r="X74" s="100">
        <f t="shared" si="10"/>
        <v>0.80500000000000005</v>
      </c>
    </row>
    <row r="75" spans="1:24" x14ac:dyDescent="0.2">
      <c r="A75" s="74" t="s">
        <v>645</v>
      </c>
      <c r="B75" s="75" t="s">
        <v>314</v>
      </c>
      <c r="C75" s="5"/>
      <c r="D75" s="5"/>
      <c r="E75" s="5" t="b">
        <v>0</v>
      </c>
      <c r="F75" s="18">
        <f>VLOOKUP($B75,Constraints!$C$2:$Z$86,15, FALSE)</f>
        <v>0</v>
      </c>
      <c r="I75" s="18">
        <f t="shared" si="7"/>
        <v>0</v>
      </c>
      <c r="L75" s="18">
        <f>VLOOKUP($B75,Constraints!$C$2:$AK$86,26, FALSE)</f>
        <v>0</v>
      </c>
      <c r="M75" t="s">
        <v>670</v>
      </c>
      <c r="N75" s="18">
        <f>VLOOKUP($B75,Constraints!$C$28:$F$86,4,FALSE)</f>
        <v>3000</v>
      </c>
      <c r="O75" t="str">
        <f>VLOOKUP($A75,'Capacity Name Ref'!$A$2:$G$16,6,FALSE)</f>
        <v>Local_Capacity_Margin</v>
      </c>
      <c r="P75">
        <f t="shared" si="8"/>
        <v>3000</v>
      </c>
      <c r="Q75" t="str">
        <f t="shared" si="2"/>
        <v>Local_Capacity_Margin%</v>
      </c>
      <c r="R75" s="100">
        <f t="shared" si="3"/>
        <v>1</v>
      </c>
      <c r="S75" s="71" t="s">
        <v>671</v>
      </c>
      <c r="T75">
        <f>VLOOKUP($B75,Constraints!$C$68:$H$78,6,FALSE)</f>
        <v>3200</v>
      </c>
      <c r="U75" s="71" t="s">
        <v>682</v>
      </c>
      <c r="V75">
        <f t="shared" si="9"/>
        <v>3200</v>
      </c>
      <c r="W75" s="71" t="s">
        <v>688</v>
      </c>
      <c r="X75" s="100">
        <f t="shared" si="10"/>
        <v>1</v>
      </c>
    </row>
    <row r="76" spans="1:24" x14ac:dyDescent="0.2">
      <c r="A76" s="74" t="s">
        <v>531</v>
      </c>
      <c r="B76" s="75" t="s">
        <v>454</v>
      </c>
      <c r="C76" s="5"/>
      <c r="D76" s="5"/>
      <c r="E76" s="5" t="b">
        <v>0</v>
      </c>
      <c r="F76" s="18">
        <f>VLOOKUP($B76,Constraints!$C$2:$Z$86,15, FALSE)</f>
        <v>0</v>
      </c>
      <c r="I76" s="18">
        <f t="shared" si="7"/>
        <v>0</v>
      </c>
      <c r="L76" s="18">
        <f>VLOOKUP($B76,Constraints!$C$2:$AK$86,26, FALSE)</f>
        <v>0</v>
      </c>
      <c r="M76" t="s">
        <v>675</v>
      </c>
      <c r="N76" s="18">
        <f>VLOOKUP($B76,Constraints!$C$28:$F$86,4,FALSE)</f>
        <v>780</v>
      </c>
      <c r="O76" t="str">
        <f>VLOOKUP($A76,'Capacity Name Ref'!$A$2:$G$16,6,FALSE)</f>
        <v>Local_Capacity_Margin</v>
      </c>
      <c r="P76">
        <f t="shared" si="8"/>
        <v>780</v>
      </c>
      <c r="Q76" t="str">
        <f t="shared" si="2"/>
        <v>Local_Capacity_Margin%</v>
      </c>
      <c r="R76" s="100">
        <f t="shared" si="3"/>
        <v>1</v>
      </c>
      <c r="S76" s="71" t="s">
        <v>674</v>
      </c>
      <c r="T76">
        <f>VLOOKUP($B76,Constraints!$C$68:$H$78,6,FALSE)</f>
        <v>800</v>
      </c>
      <c r="U76" s="71" t="s">
        <v>682</v>
      </c>
      <c r="V76">
        <f t="shared" si="9"/>
        <v>800</v>
      </c>
      <c r="W76" s="71" t="s">
        <v>688</v>
      </c>
      <c r="X76" s="100">
        <f t="shared" si="10"/>
        <v>1</v>
      </c>
    </row>
    <row r="77" spans="1:24" x14ac:dyDescent="0.2">
      <c r="A77" s="74" t="s">
        <v>531</v>
      </c>
      <c r="B77" s="75" t="s">
        <v>293</v>
      </c>
      <c r="C77" s="5"/>
      <c r="D77" s="5"/>
      <c r="E77" s="5" t="b">
        <v>0</v>
      </c>
      <c r="F77" s="18">
        <f>VLOOKUP($B77,Constraints!$C$2:$Z$86,15, FALSE)</f>
        <v>1560</v>
      </c>
      <c r="I77" s="18">
        <f t="shared" si="7"/>
        <v>1950</v>
      </c>
      <c r="L77" s="18">
        <f>VLOOKUP($B77,Constraints!$C$2:$AK$86,26, FALSE)</f>
        <v>52</v>
      </c>
      <c r="M77" t="s">
        <v>675</v>
      </c>
      <c r="N77" s="18">
        <f>VLOOKUP($B77,Constraints!$C$28:$F$86,4,FALSE)</f>
        <v>9000</v>
      </c>
      <c r="O77" t="str">
        <f>VLOOKUP($A77,'Capacity Name Ref'!$A$2:$G$16,6,FALSE)</f>
        <v>Local_Capacity_Margin</v>
      </c>
      <c r="P77">
        <f t="shared" si="8"/>
        <v>7440</v>
      </c>
      <c r="Q77" t="str">
        <f t="shared" si="2"/>
        <v>Local_Capacity_Margin%</v>
      </c>
      <c r="R77" s="100">
        <f t="shared" si="3"/>
        <v>0.82666666666666666</v>
      </c>
      <c r="S77" s="71" t="s">
        <v>674</v>
      </c>
      <c r="T77">
        <f>VLOOKUP($B77,Constraints!$C$68:$H$78,6,FALSE)</f>
        <v>9600</v>
      </c>
      <c r="U77" s="71" t="s">
        <v>682</v>
      </c>
      <c r="V77">
        <f t="shared" si="9"/>
        <v>8040</v>
      </c>
      <c r="W77" s="71" t="s">
        <v>688</v>
      </c>
      <c r="X77" s="100">
        <f t="shared" si="10"/>
        <v>0.83750000000000002</v>
      </c>
    </row>
    <row r="78" spans="1:24" x14ac:dyDescent="0.2">
      <c r="A78" s="74" t="s">
        <v>531</v>
      </c>
      <c r="B78" s="75" t="s">
        <v>294</v>
      </c>
      <c r="C78" s="5"/>
      <c r="D78" s="5"/>
      <c r="E78" s="5" t="b">
        <v>0</v>
      </c>
      <c r="F78" s="18">
        <f>VLOOKUP($B78,Constraints!$C$2:$Z$86,15, FALSE)</f>
        <v>1560</v>
      </c>
      <c r="I78" s="18">
        <f t="shared" si="7"/>
        <v>1950</v>
      </c>
      <c r="L78" s="18">
        <f>VLOOKUP($B78,Constraints!$C$2:$AK$86,26, FALSE)</f>
        <v>0</v>
      </c>
      <c r="M78" t="s">
        <v>675</v>
      </c>
      <c r="N78" s="18">
        <f>VLOOKUP($B78,Constraints!$C$28:$F$86,4,FALSE)</f>
        <v>9000</v>
      </c>
      <c r="O78" t="str">
        <f>VLOOKUP($A78,'Capacity Name Ref'!$A$2:$G$16,6,FALSE)</f>
        <v>Local_Capacity_Margin</v>
      </c>
      <c r="P78">
        <f t="shared" si="8"/>
        <v>7440</v>
      </c>
      <c r="Q78" t="str">
        <f t="shared" si="2"/>
        <v>Local_Capacity_Margin%</v>
      </c>
      <c r="R78" s="100">
        <f t="shared" si="3"/>
        <v>0.82666666666666666</v>
      </c>
      <c r="S78" s="71" t="s">
        <v>674</v>
      </c>
      <c r="T78">
        <f>VLOOKUP($B78,Constraints!$C$68:$H$78,6,FALSE)</f>
        <v>9600</v>
      </c>
      <c r="U78" s="71" t="s">
        <v>682</v>
      </c>
      <c r="V78">
        <f t="shared" si="9"/>
        <v>8040</v>
      </c>
      <c r="W78" s="71" t="s">
        <v>688</v>
      </c>
      <c r="X78" s="100">
        <f t="shared" si="10"/>
        <v>0.83750000000000002</v>
      </c>
    </row>
    <row r="79" spans="1:24" x14ac:dyDescent="0.2">
      <c r="A79" s="74" t="s">
        <v>259</v>
      </c>
      <c r="B79" s="5" t="s">
        <v>281</v>
      </c>
      <c r="C79" s="5"/>
      <c r="D79" s="5"/>
      <c r="E79" s="5" t="b">
        <v>0</v>
      </c>
      <c r="G79" s="18">
        <f>VLOOKUP($B79,Constraints!$C$2:$Z$86,15, FALSE)</f>
        <v>1170</v>
      </c>
      <c r="J79" s="18">
        <f>G79/0.8</f>
        <v>1462.5</v>
      </c>
      <c r="L79" s="18">
        <f>VLOOKUP($B79,Constraints!$C$2:$AK$86,26, FALSE)</f>
        <v>52</v>
      </c>
      <c r="N79" s="18">
        <f>VLOOKUP($B79,Constraints!$C$28:$F$86,4,FALSE)</f>
        <v>2000</v>
      </c>
      <c r="O79" t="str">
        <f>VLOOKUP($A79,'Capacity Name Ref'!$A$2:$G$16,6,FALSE)</f>
        <v>Local_Capacity_Margin</v>
      </c>
      <c r="P79">
        <f t="shared" si="8"/>
        <v>2000</v>
      </c>
      <c r="Q79" t="str">
        <f t="shared" si="2"/>
        <v>Local_Capacity_Margin%</v>
      </c>
      <c r="R79" s="100">
        <f t="shared" si="3"/>
        <v>1</v>
      </c>
    </row>
    <row r="80" spans="1:24" x14ac:dyDescent="0.2">
      <c r="A80" s="74" t="s">
        <v>259</v>
      </c>
      <c r="B80" s="5" t="s">
        <v>283</v>
      </c>
      <c r="C80" s="5"/>
      <c r="D80" s="5"/>
      <c r="E80" s="5" t="b">
        <v>0</v>
      </c>
      <c r="H80" s="18">
        <f>VLOOKUP($B80,Constraints!$C$2:$Z$86,15, FALSE)</f>
        <v>390</v>
      </c>
      <c r="K80" s="18">
        <f>H80/0.8</f>
        <v>487.5</v>
      </c>
      <c r="L80" s="18">
        <f>VLOOKUP($B80,Constraints!$C$2:$AK$86,26, FALSE)</f>
        <v>52</v>
      </c>
      <c r="N80" s="18">
        <f>VLOOKUP($B80,Constraints!$C$28:$F$86,4,FALSE)</f>
        <v>7000</v>
      </c>
      <c r="O80" t="str">
        <f>VLOOKUP($A80,'Capacity Name Ref'!$A$2:$G$16,6,FALSE)</f>
        <v>Local_Capacity_Margin</v>
      </c>
      <c r="P80">
        <f t="shared" si="8"/>
        <v>7000</v>
      </c>
      <c r="Q80" t="str">
        <f t="shared" si="2"/>
        <v>Local_Capacity_Margin%</v>
      </c>
      <c r="R80" s="100">
        <f t="shared" si="3"/>
        <v>1</v>
      </c>
    </row>
    <row r="81" spans="1:18" x14ac:dyDescent="0.2">
      <c r="A81" s="74" t="s">
        <v>295</v>
      </c>
      <c r="B81" s="76" t="s">
        <v>455</v>
      </c>
      <c r="C81" s="5"/>
      <c r="D81" s="5"/>
      <c r="E81" s="5" t="b">
        <v>0</v>
      </c>
      <c r="F81" s="18">
        <f>VLOOKUP($B81,Constraints!$C$2:$Z$86,15, FALSE)</f>
        <v>0</v>
      </c>
      <c r="I81" s="18">
        <f t="shared" si="7"/>
        <v>0</v>
      </c>
      <c r="L81" s="18">
        <f>VLOOKUP($B81,Constraints!$C$2:$AK$86,26, FALSE)</f>
        <v>0</v>
      </c>
      <c r="M81" t="s">
        <v>676</v>
      </c>
      <c r="N81" s="18">
        <f>VLOOKUP($B81,Constraints!$C$28:$F$86,4,FALSE)</f>
        <v>920</v>
      </c>
      <c r="O81" t="str">
        <f>VLOOKUP($A81,'Capacity Name Ref'!$A$2:$G$16,6,FALSE)</f>
        <v>Cell_Margin</v>
      </c>
      <c r="P81">
        <f t="shared" si="8"/>
        <v>920</v>
      </c>
      <c r="Q81" t="str">
        <f t="shared" si="2"/>
        <v>Cell_Margin%</v>
      </c>
      <c r="R81" s="100">
        <f t="shared" si="3"/>
        <v>1</v>
      </c>
    </row>
    <row r="82" spans="1:18" x14ac:dyDescent="0.2">
      <c r="A82" s="74" t="s">
        <v>295</v>
      </c>
      <c r="B82" s="76" t="s">
        <v>385</v>
      </c>
      <c r="C82" s="5"/>
      <c r="D82" s="5"/>
      <c r="E82" s="5" t="b">
        <v>0</v>
      </c>
      <c r="F82" s="18">
        <f>VLOOKUP($B82,Constraints!$C$2:$Z$86,15, FALSE)</f>
        <v>1560</v>
      </c>
      <c r="I82" s="18">
        <f t="shared" si="7"/>
        <v>1950</v>
      </c>
      <c r="L82" s="18">
        <f>VLOOKUP($B82,Constraints!$C$2:$AK$86,26, FALSE)</f>
        <v>52</v>
      </c>
      <c r="M82" t="s">
        <v>676</v>
      </c>
      <c r="N82" s="18">
        <f>VLOOKUP($B82,Constraints!$C$28:$F$86,4,FALSE)</f>
        <v>3680</v>
      </c>
      <c r="O82" t="str">
        <f>VLOOKUP($A82,'Capacity Name Ref'!$A$2:$G$16,6,FALSE)</f>
        <v>Cell_Margin</v>
      </c>
      <c r="P82">
        <f t="shared" si="8"/>
        <v>2120</v>
      </c>
      <c r="Q82" t="str">
        <f t="shared" si="2"/>
        <v>Cell_Margin%</v>
      </c>
      <c r="R82" s="100">
        <f t="shared" si="3"/>
        <v>0.57608695652173914</v>
      </c>
    </row>
    <row r="83" spans="1:18" x14ac:dyDescent="0.2">
      <c r="A83" s="74" t="s">
        <v>295</v>
      </c>
      <c r="B83" s="76" t="s">
        <v>386</v>
      </c>
      <c r="C83" s="5"/>
      <c r="D83" s="5"/>
      <c r="E83" s="5" t="b">
        <v>0</v>
      </c>
      <c r="F83" s="18">
        <f>VLOOKUP($B83,Constraints!$C$2:$Z$86,15, FALSE)</f>
        <v>0</v>
      </c>
      <c r="I83" s="18">
        <f t="shared" si="7"/>
        <v>0</v>
      </c>
      <c r="L83" s="18">
        <f>VLOOKUP($B83,Constraints!$C$2:$AK$86,26, FALSE)</f>
        <v>0</v>
      </c>
      <c r="M83" t="s">
        <v>676</v>
      </c>
      <c r="N83" s="18">
        <f>VLOOKUP($B83,Constraints!$C$28:$F$86,4,FALSE)</f>
        <v>680</v>
      </c>
      <c r="O83" t="str">
        <f>VLOOKUP($A83,'Capacity Name Ref'!$A$2:$G$16,6,FALSE)</f>
        <v>Cell_Margin</v>
      </c>
      <c r="P83">
        <f t="shared" si="8"/>
        <v>680</v>
      </c>
      <c r="Q83" t="str">
        <f t="shared" si="2"/>
        <v>Cell_Margin%</v>
      </c>
      <c r="R83" s="100">
        <f t="shared" si="3"/>
        <v>1</v>
      </c>
    </row>
    <row r="84" spans="1:18" x14ac:dyDescent="0.2">
      <c r="A84" s="74" t="s">
        <v>295</v>
      </c>
      <c r="B84" s="76" t="s">
        <v>388</v>
      </c>
      <c r="C84" s="5"/>
      <c r="D84" s="5"/>
      <c r="E84" s="5" t="b">
        <v>0</v>
      </c>
      <c r="F84" s="18">
        <f>VLOOKUP($B84,Constraints!$C$2:$Z$86,15, FALSE)</f>
        <v>0</v>
      </c>
      <c r="I84" s="18">
        <f t="shared" si="7"/>
        <v>0</v>
      </c>
      <c r="L84" s="18">
        <f>VLOOKUP($B84,Constraints!$C$2:$AK$86,26, FALSE)</f>
        <v>0</v>
      </c>
      <c r="M84" t="s">
        <v>676</v>
      </c>
      <c r="N84" s="18">
        <f>VLOOKUP($B84,Constraints!$C$28:$F$86,4,FALSE)</f>
        <v>1770</v>
      </c>
      <c r="O84" t="str">
        <f>VLOOKUP($A84,'Capacity Name Ref'!$A$2:$G$16,6,FALSE)</f>
        <v>Cell_Margin</v>
      </c>
      <c r="P84">
        <f t="shared" si="8"/>
        <v>1770</v>
      </c>
      <c r="Q84" t="str">
        <f t="shared" si="2"/>
        <v>Cell_Margin%</v>
      </c>
      <c r="R84" s="100">
        <f t="shared" si="3"/>
        <v>1</v>
      </c>
    </row>
    <row r="85" spans="1:18" x14ac:dyDescent="0.2">
      <c r="A85" s="74" t="s">
        <v>295</v>
      </c>
      <c r="B85" s="76" t="s">
        <v>387</v>
      </c>
      <c r="C85" s="5"/>
      <c r="D85" s="5"/>
      <c r="E85" s="5" t="b">
        <v>0</v>
      </c>
      <c r="F85" s="18">
        <f>VLOOKUP($B85,Constraints!$C$2:$Z$86,15, FALSE)</f>
        <v>0</v>
      </c>
      <c r="I85" s="18">
        <f t="shared" si="7"/>
        <v>0</v>
      </c>
      <c r="L85" s="18">
        <f>VLOOKUP($B85,Constraints!$C$2:$AK$86,26, FALSE)</f>
        <v>0</v>
      </c>
      <c r="M85" t="s">
        <v>676</v>
      </c>
      <c r="N85" s="18">
        <f>VLOOKUP($B85,Constraints!$C$28:$F$86,4,FALSE)</f>
        <v>1770</v>
      </c>
      <c r="O85" t="str">
        <f>VLOOKUP($A85,'Capacity Name Ref'!$A$2:$G$16,6,FALSE)</f>
        <v>Cell_Margin</v>
      </c>
      <c r="P85">
        <f t="shared" si="8"/>
        <v>1770</v>
      </c>
      <c r="Q85" t="str">
        <f t="shared" si="2"/>
        <v>Cell_Margin%</v>
      </c>
      <c r="R85" s="100">
        <f t="shared" si="3"/>
        <v>1</v>
      </c>
    </row>
    <row r="86" spans="1:18" x14ac:dyDescent="0.2">
      <c r="A86" s="77" t="s">
        <v>6</v>
      </c>
      <c r="B86" s="78" t="s">
        <v>466</v>
      </c>
      <c r="C86" s="79" t="s">
        <v>535</v>
      </c>
      <c r="D86" s="79" t="s">
        <v>539</v>
      </c>
      <c r="E86" s="79" t="b">
        <v>1</v>
      </c>
      <c r="F86" s="18">
        <f>VLOOKUP($B86,Constraints!$C$2:$Z$86,16, FALSE)</f>
        <v>0</v>
      </c>
      <c r="I86" s="18">
        <f>F86/0.8</f>
        <v>0</v>
      </c>
      <c r="L86" s="18">
        <f>VLOOKUP($B86,Constraints!$C$2:$AK$86,27, FALSE)</f>
        <v>0</v>
      </c>
      <c r="N86" s="18"/>
    </row>
    <row r="87" spans="1:18" x14ac:dyDescent="0.2">
      <c r="A87" s="77" t="s">
        <v>6</v>
      </c>
      <c r="B87" s="78" t="s">
        <v>467</v>
      </c>
      <c r="C87" s="79" t="s">
        <v>535</v>
      </c>
      <c r="D87" s="79" t="s">
        <v>539</v>
      </c>
      <c r="E87" s="79" t="b">
        <v>1</v>
      </c>
      <c r="F87" s="18">
        <f>VLOOKUP($B87,Constraints!$C$2:$Z$86,16, FALSE)</f>
        <v>0</v>
      </c>
      <c r="I87" s="18">
        <f t="shared" ref="I87:I135" si="11">F87/0.8</f>
        <v>0</v>
      </c>
      <c r="L87" s="18">
        <f>VLOOKUP($B87,Constraints!$C$2:$AK$86,27, FALSE)</f>
        <v>0</v>
      </c>
      <c r="N87" s="18"/>
    </row>
    <row r="88" spans="1:18" x14ac:dyDescent="0.2">
      <c r="A88" s="77" t="s">
        <v>6</v>
      </c>
      <c r="B88" s="78" t="s">
        <v>468</v>
      </c>
      <c r="C88" s="79" t="s">
        <v>535</v>
      </c>
      <c r="D88" s="79" t="s">
        <v>539</v>
      </c>
      <c r="E88" s="79" t="b">
        <v>1</v>
      </c>
      <c r="F88" s="18">
        <f>VLOOKUP($B88,Constraints!$C$2:$Z$86,16, FALSE)</f>
        <v>0</v>
      </c>
      <c r="I88" s="18">
        <f t="shared" si="11"/>
        <v>0</v>
      </c>
      <c r="L88" s="18">
        <f>VLOOKUP($B88,Constraints!$C$2:$AK$86,27, FALSE)</f>
        <v>0</v>
      </c>
      <c r="N88" s="18"/>
    </row>
    <row r="89" spans="1:18" x14ac:dyDescent="0.2">
      <c r="A89" s="77" t="s">
        <v>6</v>
      </c>
      <c r="B89" s="78" t="s">
        <v>469</v>
      </c>
      <c r="C89" s="79" t="s">
        <v>535</v>
      </c>
      <c r="D89" s="79" t="s">
        <v>539</v>
      </c>
      <c r="E89" s="79" t="b">
        <v>1</v>
      </c>
      <c r="F89" s="18">
        <f>VLOOKUP($B89,Constraints!$C$2:$Z$86,16, FALSE)</f>
        <v>0</v>
      </c>
      <c r="I89" s="18">
        <f t="shared" si="11"/>
        <v>0</v>
      </c>
      <c r="L89" s="18">
        <f>VLOOKUP($B89,Constraints!$C$2:$AK$86,27, FALSE)</f>
        <v>0</v>
      </c>
      <c r="N89" s="18"/>
    </row>
    <row r="90" spans="1:18" x14ac:dyDescent="0.2">
      <c r="A90" s="77" t="s">
        <v>6</v>
      </c>
      <c r="B90" s="78" t="s">
        <v>470</v>
      </c>
      <c r="C90" s="79" t="s">
        <v>535</v>
      </c>
      <c r="D90" s="79" t="s">
        <v>539</v>
      </c>
      <c r="E90" s="79" t="b">
        <v>1</v>
      </c>
      <c r="F90" s="18">
        <f>VLOOKUP($B90,Constraints!$C$2:$Z$86,16, FALSE)</f>
        <v>0</v>
      </c>
      <c r="I90" s="18">
        <f t="shared" si="11"/>
        <v>0</v>
      </c>
      <c r="L90" s="18">
        <f>VLOOKUP($B90,Constraints!$C$2:$AK$86,27, FALSE)</f>
        <v>0</v>
      </c>
      <c r="N90" s="18"/>
    </row>
    <row r="91" spans="1:18" x14ac:dyDescent="0.2">
      <c r="A91" s="77" t="s">
        <v>6</v>
      </c>
      <c r="B91" s="78" t="s">
        <v>471</v>
      </c>
      <c r="C91" s="79" t="s">
        <v>535</v>
      </c>
      <c r="D91" s="79" t="s">
        <v>539</v>
      </c>
      <c r="E91" s="79" t="b">
        <v>1</v>
      </c>
      <c r="F91" s="18">
        <f>VLOOKUP($B91,Constraints!$C$2:$Z$86,16, FALSE)</f>
        <v>0</v>
      </c>
      <c r="I91" s="18">
        <f t="shared" si="11"/>
        <v>0</v>
      </c>
      <c r="L91" s="18">
        <f>VLOOKUP($B91,Constraints!$C$2:$AK$86,27, FALSE)</f>
        <v>0</v>
      </c>
      <c r="N91" s="18"/>
    </row>
    <row r="92" spans="1:18" x14ac:dyDescent="0.2">
      <c r="A92" s="77" t="s">
        <v>6</v>
      </c>
      <c r="B92" s="78" t="s">
        <v>472</v>
      </c>
      <c r="C92" s="79" t="s">
        <v>535</v>
      </c>
      <c r="D92" s="79" t="s">
        <v>539</v>
      </c>
      <c r="E92" s="79" t="b">
        <v>1</v>
      </c>
      <c r="F92" s="18">
        <f>VLOOKUP($B92,Constraints!$C$2:$Z$86,16, FALSE)</f>
        <v>0</v>
      </c>
      <c r="I92" s="18">
        <f t="shared" si="11"/>
        <v>0</v>
      </c>
      <c r="L92" s="18">
        <f>VLOOKUP($B92,Constraints!$C$2:$AK$86,27, FALSE)</f>
        <v>0</v>
      </c>
      <c r="N92" s="18"/>
    </row>
    <row r="93" spans="1:18" x14ac:dyDescent="0.2">
      <c r="A93" s="77" t="s">
        <v>6</v>
      </c>
      <c r="B93" s="78" t="s">
        <v>473</v>
      </c>
      <c r="C93" s="79" t="s">
        <v>535</v>
      </c>
      <c r="D93" s="79" t="s">
        <v>539</v>
      </c>
      <c r="E93" s="79" t="b">
        <v>1</v>
      </c>
      <c r="F93" s="18">
        <f>VLOOKUP($B93,Constraints!$C$2:$Z$86,16, FALSE)</f>
        <v>0</v>
      </c>
      <c r="I93" s="18">
        <f t="shared" si="11"/>
        <v>0</v>
      </c>
      <c r="L93" s="18">
        <f>VLOOKUP($B93,Constraints!$C$2:$AK$86,27, FALSE)</f>
        <v>0</v>
      </c>
      <c r="N93" s="18"/>
    </row>
    <row r="94" spans="1:18" x14ac:dyDescent="0.2">
      <c r="A94" s="77" t="s">
        <v>6</v>
      </c>
      <c r="B94" s="78" t="s">
        <v>84</v>
      </c>
      <c r="C94" s="79" t="s">
        <v>535</v>
      </c>
      <c r="D94" s="79" t="s">
        <v>539</v>
      </c>
      <c r="E94" s="79" t="b">
        <v>1</v>
      </c>
      <c r="F94" s="18">
        <f>VLOOKUP($B94,Constraints!$C$2:$Z$86,16, FALSE)</f>
        <v>240</v>
      </c>
      <c r="I94" s="18">
        <f t="shared" si="11"/>
        <v>300</v>
      </c>
      <c r="L94" s="18">
        <f>VLOOKUP($B94,Constraints!$C$2:$AK$86,27, FALSE)</f>
        <v>8</v>
      </c>
      <c r="N94" s="18"/>
    </row>
    <row r="95" spans="1:18" x14ac:dyDescent="0.2">
      <c r="A95" s="77" t="s">
        <v>6</v>
      </c>
      <c r="B95" s="78" t="s">
        <v>97</v>
      </c>
      <c r="C95" s="79" t="s">
        <v>535</v>
      </c>
      <c r="D95" s="79" t="s">
        <v>539</v>
      </c>
      <c r="E95" s="79" t="b">
        <v>1</v>
      </c>
      <c r="F95" s="18">
        <f>VLOOKUP($B95,Constraints!$C$2:$Z$86,16, FALSE)</f>
        <v>300</v>
      </c>
      <c r="I95" s="18">
        <f t="shared" si="11"/>
        <v>375</v>
      </c>
      <c r="L95" s="18">
        <f>VLOOKUP($B95,Constraints!$C$2:$AK$86,27, FALSE)</f>
        <v>10</v>
      </c>
      <c r="N95" s="18"/>
    </row>
    <row r="96" spans="1:18" x14ac:dyDescent="0.2">
      <c r="A96" s="77" t="s">
        <v>6</v>
      </c>
      <c r="B96" s="78" t="s">
        <v>111</v>
      </c>
      <c r="C96" s="79" t="s">
        <v>535</v>
      </c>
      <c r="D96" s="79" t="s">
        <v>539</v>
      </c>
      <c r="E96" s="79" t="b">
        <v>1</v>
      </c>
      <c r="F96" s="18">
        <f>VLOOKUP($B96,Constraints!$C$2:$Z$86,16, FALSE)</f>
        <v>240</v>
      </c>
      <c r="I96" s="18">
        <f t="shared" si="11"/>
        <v>300</v>
      </c>
      <c r="L96" s="18">
        <f>VLOOKUP($B96,Constraints!$C$2:$AK$86,27, FALSE)</f>
        <v>8</v>
      </c>
      <c r="N96" s="18"/>
    </row>
    <row r="97" spans="1:18" x14ac:dyDescent="0.2">
      <c r="A97" s="77" t="s">
        <v>6</v>
      </c>
      <c r="B97" s="78" t="s">
        <v>124</v>
      </c>
      <c r="C97" s="79" t="s">
        <v>535</v>
      </c>
      <c r="D97" s="79" t="s">
        <v>539</v>
      </c>
      <c r="E97" s="79" t="b">
        <v>1</v>
      </c>
      <c r="F97" s="18">
        <f>VLOOKUP($B97,Constraints!$C$2:$Z$86,16, FALSE)</f>
        <v>120</v>
      </c>
      <c r="I97" s="18">
        <f t="shared" si="11"/>
        <v>150</v>
      </c>
      <c r="L97" s="18">
        <f>VLOOKUP($B97,Constraints!$C$2:$AK$86,27, FALSE)</f>
        <v>4</v>
      </c>
      <c r="N97" s="18"/>
    </row>
    <row r="98" spans="1:18" x14ac:dyDescent="0.2">
      <c r="A98" s="77" t="s">
        <v>6</v>
      </c>
      <c r="B98" s="78" t="s">
        <v>138</v>
      </c>
      <c r="C98" s="79" t="s">
        <v>535</v>
      </c>
      <c r="D98" s="79" t="s">
        <v>539</v>
      </c>
      <c r="E98" s="79" t="b">
        <v>1</v>
      </c>
      <c r="F98" s="18">
        <f>VLOOKUP($B98,Constraints!$C$2:$Z$86,16, FALSE)</f>
        <v>360</v>
      </c>
      <c r="I98" s="18">
        <f t="shared" si="11"/>
        <v>450</v>
      </c>
      <c r="L98" s="18">
        <f>VLOOKUP($B98,Constraints!$C$2:$AK$86,27, FALSE)</f>
        <v>12</v>
      </c>
      <c r="N98" s="18"/>
    </row>
    <row r="99" spans="1:18" x14ac:dyDescent="0.2">
      <c r="A99" s="77" t="s">
        <v>6</v>
      </c>
      <c r="B99" s="78" t="s">
        <v>151</v>
      </c>
      <c r="C99" s="79" t="s">
        <v>535</v>
      </c>
      <c r="D99" s="79" t="s">
        <v>539</v>
      </c>
      <c r="E99" s="79" t="b">
        <v>1</v>
      </c>
      <c r="F99" s="18">
        <f>VLOOKUP($B99,Constraints!$C$2:$Z$86,16, FALSE)</f>
        <v>300</v>
      </c>
      <c r="I99" s="18">
        <f t="shared" si="11"/>
        <v>375</v>
      </c>
      <c r="L99" s="18">
        <f>VLOOKUP($B99,Constraints!$C$2:$AK$86,27, FALSE)</f>
        <v>10</v>
      </c>
      <c r="N99" s="18"/>
    </row>
    <row r="100" spans="1:18" x14ac:dyDescent="0.2">
      <c r="A100" s="77" t="s">
        <v>6</v>
      </c>
      <c r="B100" s="78" t="s">
        <v>165</v>
      </c>
      <c r="C100" s="79" t="s">
        <v>535</v>
      </c>
      <c r="D100" s="79" t="s">
        <v>539</v>
      </c>
      <c r="E100" s="79" t="b">
        <v>1</v>
      </c>
      <c r="F100" s="18">
        <f>VLOOKUP($B100,Constraints!$C$2:$Z$86,16, FALSE)</f>
        <v>0</v>
      </c>
      <c r="I100" s="18">
        <f t="shared" si="11"/>
        <v>0</v>
      </c>
      <c r="L100" s="18">
        <f>VLOOKUP($B100,Constraints!$C$2:$AK$86,27, FALSE)</f>
        <v>0</v>
      </c>
      <c r="N100" s="18"/>
    </row>
    <row r="101" spans="1:18" x14ac:dyDescent="0.2">
      <c r="A101" s="77" t="s">
        <v>6</v>
      </c>
      <c r="B101" s="78" t="s">
        <v>178</v>
      </c>
      <c r="C101" s="79" t="s">
        <v>535</v>
      </c>
      <c r="D101" s="79" t="s">
        <v>539</v>
      </c>
      <c r="E101" s="79" t="b">
        <v>1</v>
      </c>
      <c r="F101" s="18">
        <f>VLOOKUP($B101,Constraints!$C$2:$Z$86,16, FALSE)</f>
        <v>0</v>
      </c>
      <c r="I101" s="18">
        <f t="shared" si="11"/>
        <v>0</v>
      </c>
      <c r="L101" s="18">
        <f>VLOOKUP($B101,Constraints!$C$2:$AK$86,27, FALSE)</f>
        <v>0</v>
      </c>
      <c r="N101" s="18"/>
    </row>
    <row r="102" spans="1:18" x14ac:dyDescent="0.2">
      <c r="A102" s="77" t="s">
        <v>6</v>
      </c>
      <c r="B102" s="78" t="s">
        <v>192</v>
      </c>
      <c r="C102" s="79" t="s">
        <v>535</v>
      </c>
      <c r="D102" s="79" t="s">
        <v>539</v>
      </c>
      <c r="E102" s="79" t="b">
        <v>1</v>
      </c>
      <c r="F102" s="18">
        <f>VLOOKUP($B102,Constraints!$C$2:$Z$86,16, FALSE)</f>
        <v>0</v>
      </c>
      <c r="I102" s="18">
        <f t="shared" si="11"/>
        <v>0</v>
      </c>
      <c r="L102" s="18">
        <f>VLOOKUP($B102,Constraints!$C$2:$AK$86,27, FALSE)</f>
        <v>0</v>
      </c>
      <c r="N102" s="18"/>
    </row>
    <row r="103" spans="1:18" x14ac:dyDescent="0.2">
      <c r="A103" s="77" t="s">
        <v>6</v>
      </c>
      <c r="B103" s="78" t="s">
        <v>205</v>
      </c>
      <c r="C103" s="79" t="s">
        <v>535</v>
      </c>
      <c r="D103" s="79" t="s">
        <v>539</v>
      </c>
      <c r="E103" s="79" t="b">
        <v>1</v>
      </c>
      <c r="F103" s="18">
        <f>VLOOKUP($B103,Constraints!$C$2:$Z$86,16, FALSE)</f>
        <v>0</v>
      </c>
      <c r="I103" s="18">
        <f t="shared" si="11"/>
        <v>0</v>
      </c>
      <c r="L103" s="18">
        <f>VLOOKUP($B103,Constraints!$C$2:$AK$86,27, FALSE)</f>
        <v>0</v>
      </c>
      <c r="N103" s="18"/>
    </row>
    <row r="104" spans="1:18" x14ac:dyDescent="0.2">
      <c r="A104" s="77" t="s">
        <v>6</v>
      </c>
      <c r="B104" s="78" t="s">
        <v>219</v>
      </c>
      <c r="C104" s="79" t="s">
        <v>535</v>
      </c>
      <c r="D104" s="79" t="s">
        <v>539</v>
      </c>
      <c r="E104" s="79" t="b">
        <v>1</v>
      </c>
      <c r="F104" s="18">
        <f>VLOOKUP($B104,Constraints!$C$2:$Z$86,16, FALSE)</f>
        <v>0</v>
      </c>
      <c r="I104" s="18">
        <f t="shared" si="11"/>
        <v>0</v>
      </c>
      <c r="L104" s="18">
        <f>VLOOKUP($B104,Constraints!$C$2:$AK$86,27, FALSE)</f>
        <v>0</v>
      </c>
      <c r="N104" s="18"/>
    </row>
    <row r="105" spans="1:18" x14ac:dyDescent="0.2">
      <c r="A105" s="77" t="s">
        <v>6</v>
      </c>
      <c r="B105" s="78" t="s">
        <v>232</v>
      </c>
      <c r="C105" s="79" t="s">
        <v>535</v>
      </c>
      <c r="D105" s="79" t="s">
        <v>539</v>
      </c>
      <c r="E105" s="79" t="b">
        <v>1</v>
      </c>
      <c r="F105" s="18">
        <f>VLOOKUP($B105,Constraints!$C$2:$Z$86,16, FALSE)</f>
        <v>0</v>
      </c>
      <c r="I105" s="18">
        <f t="shared" si="11"/>
        <v>0</v>
      </c>
      <c r="L105" s="18">
        <f>VLOOKUP($B105,Constraints!$C$2:$AK$86,27, FALSE)</f>
        <v>0</v>
      </c>
      <c r="N105" s="18"/>
    </row>
    <row r="106" spans="1:18" x14ac:dyDescent="0.2">
      <c r="A106" s="77" t="s">
        <v>6</v>
      </c>
      <c r="B106" s="78" t="s">
        <v>38</v>
      </c>
      <c r="C106" s="79" t="s">
        <v>535</v>
      </c>
      <c r="D106" s="79" t="s">
        <v>539</v>
      </c>
      <c r="E106" s="79" t="b">
        <v>1</v>
      </c>
      <c r="F106" s="18">
        <f>VLOOKUP($B106,Constraints!$C$2:$Z$86,16, FALSE)</f>
        <v>0</v>
      </c>
      <c r="I106" s="18">
        <f t="shared" si="11"/>
        <v>0</v>
      </c>
      <c r="L106" s="18">
        <f>VLOOKUP($B106,Constraints!$C$2:$AK$86,27, FALSE)</f>
        <v>0</v>
      </c>
      <c r="N106" s="18"/>
    </row>
    <row r="107" spans="1:18" x14ac:dyDescent="0.2">
      <c r="A107" s="77" t="s">
        <v>6</v>
      </c>
      <c r="B107" s="78" t="s">
        <v>302</v>
      </c>
      <c r="C107" s="79" t="s">
        <v>535</v>
      </c>
      <c r="D107" s="79" t="s">
        <v>539</v>
      </c>
      <c r="E107" s="79" t="b">
        <v>1</v>
      </c>
      <c r="F107" s="18">
        <f>VLOOKUP($B107,Constraints!$C$2:$Z$86,16, FALSE)</f>
        <v>0</v>
      </c>
      <c r="I107" s="18">
        <f t="shared" si="11"/>
        <v>0</v>
      </c>
      <c r="L107" s="18">
        <f>VLOOKUP($B107,Constraints!$C$2:$AK$86,27, FALSE)</f>
        <v>0</v>
      </c>
      <c r="N107" s="18"/>
    </row>
    <row r="108" spans="1:18" x14ac:dyDescent="0.2">
      <c r="A108" s="77" t="s">
        <v>6</v>
      </c>
      <c r="B108" s="78" t="s">
        <v>379</v>
      </c>
      <c r="C108" s="79" t="s">
        <v>535</v>
      </c>
      <c r="D108" s="79" t="s">
        <v>539</v>
      </c>
      <c r="E108" s="79" t="b">
        <v>1</v>
      </c>
      <c r="F108" s="18">
        <f>VLOOKUP($B108,Constraints!$C$2:$Z$86,16, FALSE)</f>
        <v>0</v>
      </c>
      <c r="I108" s="18">
        <f t="shared" si="11"/>
        <v>0</v>
      </c>
      <c r="L108" s="18">
        <f>VLOOKUP($B108,Constraints!$C$2:$AK$86,27, FALSE)</f>
        <v>0</v>
      </c>
      <c r="N108" s="18"/>
    </row>
    <row r="109" spans="1:18" x14ac:dyDescent="0.2">
      <c r="A109" s="77" t="s">
        <v>6</v>
      </c>
      <c r="B109" s="78" t="s">
        <v>380</v>
      </c>
      <c r="C109" s="79" t="s">
        <v>535</v>
      </c>
      <c r="D109" s="79" t="s">
        <v>539</v>
      </c>
      <c r="E109" s="79" t="b">
        <v>1</v>
      </c>
      <c r="F109" s="18">
        <f>VLOOKUP($B109,Constraints!$C$2:$Z$86,16, FALSE)</f>
        <v>0</v>
      </c>
      <c r="I109" s="18">
        <f t="shared" si="11"/>
        <v>0</v>
      </c>
      <c r="L109" s="18">
        <f>VLOOKUP($B109,Constraints!$C$2:$AK$86,27, FALSE)</f>
        <v>0</v>
      </c>
      <c r="N109" s="18"/>
    </row>
    <row r="110" spans="1:18" x14ac:dyDescent="0.2">
      <c r="A110" s="77" t="s">
        <v>6</v>
      </c>
      <c r="B110" s="78" t="s">
        <v>381</v>
      </c>
      <c r="C110" s="79" t="s">
        <v>535</v>
      </c>
      <c r="D110" s="79" t="s">
        <v>539</v>
      </c>
      <c r="E110" s="79" t="b">
        <v>1</v>
      </c>
      <c r="F110" s="18">
        <f>VLOOKUP($B110,Constraints!$C$2:$Z$86,16, FALSE)</f>
        <v>0</v>
      </c>
      <c r="I110" s="18">
        <f t="shared" si="11"/>
        <v>0</v>
      </c>
      <c r="L110" s="18">
        <f>VLOOKUP($B110,Constraints!$C$2:$AK$86,27, FALSE)</f>
        <v>0</v>
      </c>
      <c r="N110" s="18"/>
    </row>
    <row r="111" spans="1:18" x14ac:dyDescent="0.2">
      <c r="A111" s="77" t="s">
        <v>6</v>
      </c>
      <c r="B111" s="78" t="s">
        <v>382</v>
      </c>
      <c r="C111" s="79" t="s">
        <v>535</v>
      </c>
      <c r="D111" s="79" t="s">
        <v>539</v>
      </c>
      <c r="E111" s="79" t="b">
        <v>1</v>
      </c>
      <c r="F111" s="18">
        <f>VLOOKUP($B111,Constraints!$C$2:$Z$86,16, FALSE)</f>
        <v>0</v>
      </c>
      <c r="I111" s="18">
        <f t="shared" si="11"/>
        <v>0</v>
      </c>
      <c r="L111" s="18">
        <f>VLOOKUP($B111,Constraints!$C$2:$AK$86,27, FALSE)</f>
        <v>0</v>
      </c>
      <c r="N111" s="18"/>
    </row>
    <row r="112" spans="1:18" x14ac:dyDescent="0.2">
      <c r="A112" s="77" t="s">
        <v>530</v>
      </c>
      <c r="B112" s="78" t="s">
        <v>448</v>
      </c>
      <c r="C112" s="79" t="s">
        <v>535</v>
      </c>
      <c r="D112" s="79" t="s">
        <v>539</v>
      </c>
      <c r="E112" s="79" t="b">
        <v>1</v>
      </c>
      <c r="F112" s="18">
        <f>VLOOKUP($B112,Constraints!$C$2:$Z$86,16, FALSE)</f>
        <v>0</v>
      </c>
      <c r="I112" s="18">
        <f t="shared" si="11"/>
        <v>0</v>
      </c>
      <c r="L112" s="18">
        <f>VLOOKUP($B112,Constraints!$C$2:$AK$86,27, FALSE)</f>
        <v>0</v>
      </c>
      <c r="M112" t="s">
        <v>664</v>
      </c>
      <c r="N112" s="18">
        <f>VLOOKUP($B112,Constraints!$C$28:$F$86,4,FALSE)</f>
        <v>230</v>
      </c>
      <c r="O112" t="str">
        <f>VLOOKUP($A112,'Capacity Name Ref'!$A$2:$G$16,6,FALSE)</f>
        <v>Device_Capacity_Margin</v>
      </c>
      <c r="P112">
        <f>N112-F112</f>
        <v>230</v>
      </c>
      <c r="Q112" t="str">
        <f t="shared" ref="Q112:Q156" si="12">O112&amp;"%"</f>
        <v>Device_Capacity_Margin%</v>
      </c>
      <c r="R112" s="100">
        <f>P112/N112</f>
        <v>1</v>
      </c>
    </row>
    <row r="113" spans="1:18" x14ac:dyDescent="0.2">
      <c r="A113" s="77" t="s">
        <v>530</v>
      </c>
      <c r="B113" s="78" t="s">
        <v>449</v>
      </c>
      <c r="C113" s="79" t="s">
        <v>535</v>
      </c>
      <c r="D113" s="79" t="s">
        <v>539</v>
      </c>
      <c r="E113" s="79" t="b">
        <v>1</v>
      </c>
      <c r="F113" s="18">
        <f>VLOOKUP($B113,Constraints!$C$2:$Z$86,16, FALSE)</f>
        <v>0</v>
      </c>
      <c r="I113" s="18">
        <f t="shared" si="11"/>
        <v>0</v>
      </c>
      <c r="L113" s="18">
        <f>VLOOKUP($B113,Constraints!$C$2:$AK$86,27, FALSE)</f>
        <v>0</v>
      </c>
      <c r="M113" t="s">
        <v>664</v>
      </c>
      <c r="N113" s="18">
        <f>VLOOKUP($B113,Constraints!$C$28:$F$86,4,FALSE)</f>
        <v>230</v>
      </c>
      <c r="O113" t="str">
        <f>VLOOKUP($A113,'Capacity Name Ref'!$A$2:$G$16,6,FALSE)</f>
        <v>Device_Capacity_Margin</v>
      </c>
      <c r="P113">
        <f t="shared" ref="P113:P135" si="13">N113-F113</f>
        <v>230</v>
      </c>
      <c r="Q113" t="str">
        <f t="shared" si="12"/>
        <v>Device_Capacity_Margin%</v>
      </c>
      <c r="R113" s="100">
        <f t="shared" ref="R113:R169" si="14">P113/N113</f>
        <v>1</v>
      </c>
    </row>
    <row r="114" spans="1:18" x14ac:dyDescent="0.2">
      <c r="A114" s="77" t="s">
        <v>530</v>
      </c>
      <c r="B114" s="78" t="s">
        <v>450</v>
      </c>
      <c r="C114" s="79" t="s">
        <v>535</v>
      </c>
      <c r="D114" s="79" t="s">
        <v>539</v>
      </c>
      <c r="E114" s="79" t="b">
        <v>1</v>
      </c>
      <c r="F114" s="18">
        <f>VLOOKUP($B114,Constraints!$C$2:$Z$86,16, FALSE)</f>
        <v>0</v>
      </c>
      <c r="I114" s="18">
        <f t="shared" si="11"/>
        <v>0</v>
      </c>
      <c r="L114" s="18">
        <f>VLOOKUP($B114,Constraints!$C$2:$AK$86,27, FALSE)</f>
        <v>0</v>
      </c>
      <c r="M114" t="s">
        <v>664</v>
      </c>
      <c r="N114" s="18">
        <f>VLOOKUP($B114,Constraints!$C$28:$F$86,4,FALSE)</f>
        <v>230</v>
      </c>
      <c r="O114" t="str">
        <f>VLOOKUP($A114,'Capacity Name Ref'!$A$2:$G$16,6,FALSE)</f>
        <v>Device_Capacity_Margin</v>
      </c>
      <c r="P114">
        <f t="shared" si="13"/>
        <v>230</v>
      </c>
      <c r="Q114" t="str">
        <f t="shared" si="12"/>
        <v>Device_Capacity_Margin%</v>
      </c>
      <c r="R114" s="100">
        <f t="shared" si="14"/>
        <v>1</v>
      </c>
    </row>
    <row r="115" spans="1:18" x14ac:dyDescent="0.2">
      <c r="A115" s="77" t="s">
        <v>530</v>
      </c>
      <c r="B115" s="78" t="s">
        <v>451</v>
      </c>
      <c r="C115" s="79" t="s">
        <v>535</v>
      </c>
      <c r="D115" s="79" t="s">
        <v>539</v>
      </c>
      <c r="E115" s="79" t="b">
        <v>1</v>
      </c>
      <c r="F115" s="18">
        <f>VLOOKUP($B115,Constraints!$C$2:$Z$86,16, FALSE)</f>
        <v>0</v>
      </c>
      <c r="I115" s="18">
        <f t="shared" si="11"/>
        <v>0</v>
      </c>
      <c r="L115" s="18">
        <f>VLOOKUP($B115,Constraints!$C$2:$AK$86,27, FALSE)</f>
        <v>0</v>
      </c>
      <c r="M115" t="s">
        <v>664</v>
      </c>
      <c r="N115" s="18">
        <f>VLOOKUP($B115,Constraints!$C$28:$F$86,4,FALSE)</f>
        <v>230</v>
      </c>
      <c r="O115" t="str">
        <f>VLOOKUP($A115,'Capacity Name Ref'!$A$2:$G$16,6,FALSE)</f>
        <v>Device_Capacity_Margin</v>
      </c>
      <c r="P115">
        <f t="shared" si="13"/>
        <v>230</v>
      </c>
      <c r="Q115" t="str">
        <f t="shared" si="12"/>
        <v>Device_Capacity_Margin%</v>
      </c>
      <c r="R115" s="100">
        <f t="shared" si="14"/>
        <v>1</v>
      </c>
    </row>
    <row r="116" spans="1:18" x14ac:dyDescent="0.2">
      <c r="A116" s="77" t="s">
        <v>530</v>
      </c>
      <c r="B116" s="78" t="s">
        <v>27</v>
      </c>
      <c r="C116" s="79" t="s">
        <v>535</v>
      </c>
      <c r="D116" s="79" t="s">
        <v>539</v>
      </c>
      <c r="E116" s="79" t="b">
        <v>1</v>
      </c>
      <c r="F116" s="18">
        <f>VLOOKUP($B116,Constraints!$C$2:$Z$86,16, FALSE)</f>
        <v>660</v>
      </c>
      <c r="I116" s="18">
        <f t="shared" si="11"/>
        <v>825</v>
      </c>
      <c r="L116" s="18">
        <f>VLOOKUP($B116,Constraints!$C$2:$AK$86,27, FALSE)</f>
        <v>22</v>
      </c>
      <c r="M116" t="s">
        <v>664</v>
      </c>
      <c r="N116" s="18">
        <f>VLOOKUP($B116,Constraints!$C$28:$F$86,4,FALSE)</f>
        <v>920</v>
      </c>
      <c r="O116" t="str">
        <f>VLOOKUP($A116,'Capacity Name Ref'!$A$2:$G$16,6,FALSE)</f>
        <v>Device_Capacity_Margin</v>
      </c>
      <c r="P116">
        <f t="shared" si="13"/>
        <v>260</v>
      </c>
      <c r="Q116" t="str">
        <f t="shared" si="12"/>
        <v>Device_Capacity_Margin%</v>
      </c>
      <c r="R116" s="100">
        <f t="shared" si="14"/>
        <v>0.28260869565217389</v>
      </c>
    </row>
    <row r="117" spans="1:18" x14ac:dyDescent="0.2">
      <c r="A117" s="77" t="s">
        <v>530</v>
      </c>
      <c r="B117" s="78" t="s">
        <v>30</v>
      </c>
      <c r="C117" s="79" t="s">
        <v>535</v>
      </c>
      <c r="D117" s="79" t="s">
        <v>539</v>
      </c>
      <c r="E117" s="79" t="b">
        <v>1</v>
      </c>
      <c r="F117" s="18">
        <f>VLOOKUP($B117,Constraints!$C$2:$Z$86,16, FALSE)</f>
        <v>900</v>
      </c>
      <c r="I117" s="18">
        <f t="shared" si="11"/>
        <v>1125</v>
      </c>
      <c r="L117" s="18">
        <f>VLOOKUP($B117,Constraints!$C$2:$AK$86,27, FALSE)</f>
        <v>30</v>
      </c>
      <c r="M117" t="s">
        <v>664</v>
      </c>
      <c r="N117" s="18">
        <f>VLOOKUP($B117,Constraints!$C$28:$F$86,4,FALSE)</f>
        <v>920</v>
      </c>
      <c r="O117" t="str">
        <f>VLOOKUP($A117,'Capacity Name Ref'!$A$2:$G$16,6,FALSE)</f>
        <v>Device_Capacity_Margin</v>
      </c>
      <c r="P117">
        <f>N117-F117</f>
        <v>20</v>
      </c>
      <c r="Q117" t="str">
        <f t="shared" si="12"/>
        <v>Device_Capacity_Margin%</v>
      </c>
      <c r="R117" s="100">
        <f t="shared" si="14"/>
        <v>2.1739130434782608E-2</v>
      </c>
    </row>
    <row r="118" spans="1:18" x14ac:dyDescent="0.2">
      <c r="A118" s="77" t="s">
        <v>530</v>
      </c>
      <c r="B118" s="78" t="s">
        <v>32</v>
      </c>
      <c r="C118" s="79" t="s">
        <v>535</v>
      </c>
      <c r="D118" s="79" t="s">
        <v>539</v>
      </c>
      <c r="E118" s="79" t="b">
        <v>1</v>
      </c>
      <c r="F118" s="18">
        <f>VLOOKUP($B118,Constraints!$C$2:$Z$86,16, FALSE)</f>
        <v>0</v>
      </c>
      <c r="I118" s="18">
        <f t="shared" si="11"/>
        <v>0</v>
      </c>
      <c r="L118" s="18">
        <f>VLOOKUP($B118,Constraints!$C$2:$AK$86,27, FALSE)</f>
        <v>0</v>
      </c>
      <c r="M118" t="s">
        <v>664</v>
      </c>
      <c r="N118" s="18">
        <f>VLOOKUP($B118,Constraints!$C$28:$F$86,4,FALSE)</f>
        <v>920</v>
      </c>
      <c r="O118" t="str">
        <f>VLOOKUP($A118,'Capacity Name Ref'!$A$2:$G$16,6,FALSE)</f>
        <v>Device_Capacity_Margin</v>
      </c>
      <c r="P118">
        <f t="shared" si="13"/>
        <v>920</v>
      </c>
      <c r="Q118" t="str">
        <f t="shared" si="12"/>
        <v>Device_Capacity_Margin%</v>
      </c>
      <c r="R118" s="100">
        <f t="shared" si="14"/>
        <v>1</v>
      </c>
    </row>
    <row r="119" spans="1:18" x14ac:dyDescent="0.2">
      <c r="A119" s="77" t="s">
        <v>530</v>
      </c>
      <c r="B119" s="78" t="s">
        <v>33</v>
      </c>
      <c r="C119" s="79" t="s">
        <v>535</v>
      </c>
      <c r="D119" s="79" t="s">
        <v>539</v>
      </c>
      <c r="E119" s="79" t="b">
        <v>1</v>
      </c>
      <c r="F119" s="18">
        <f>VLOOKUP($B119,Constraints!$C$2:$Z$86,16, FALSE)</f>
        <v>0</v>
      </c>
      <c r="I119" s="18">
        <f t="shared" si="11"/>
        <v>0</v>
      </c>
      <c r="L119" s="18">
        <f>VLOOKUP($B119,Constraints!$C$2:$AK$86,27, FALSE)</f>
        <v>0</v>
      </c>
      <c r="M119" t="s">
        <v>664</v>
      </c>
      <c r="N119" s="18">
        <f>VLOOKUP($B119,Constraints!$C$28:$F$86,4,FALSE)</f>
        <v>920</v>
      </c>
      <c r="O119" t="str">
        <f>VLOOKUP($A119,'Capacity Name Ref'!$A$2:$G$16,6,FALSE)</f>
        <v>Device_Capacity_Margin</v>
      </c>
      <c r="P119">
        <f t="shared" si="13"/>
        <v>920</v>
      </c>
      <c r="Q119" t="str">
        <f t="shared" si="12"/>
        <v>Device_Capacity_Margin%</v>
      </c>
      <c r="R119" s="100">
        <f t="shared" si="14"/>
        <v>1</v>
      </c>
    </row>
    <row r="120" spans="1:18" x14ac:dyDescent="0.2">
      <c r="A120" s="77" t="s">
        <v>530</v>
      </c>
      <c r="B120" s="78" t="s">
        <v>64</v>
      </c>
      <c r="C120" s="79" t="s">
        <v>535</v>
      </c>
      <c r="D120" s="79" t="s">
        <v>539</v>
      </c>
      <c r="E120" s="79" t="b">
        <v>1</v>
      </c>
      <c r="F120" s="18">
        <f>VLOOKUP($B120,Constraints!$C$2:$Z$86,16, FALSE)</f>
        <v>0</v>
      </c>
      <c r="I120" s="18">
        <f t="shared" si="11"/>
        <v>0</v>
      </c>
      <c r="L120" s="18">
        <f>VLOOKUP($B120,Constraints!$C$2:$AK$86,27, FALSE)</f>
        <v>0</v>
      </c>
      <c r="M120" t="s">
        <v>664</v>
      </c>
      <c r="N120" s="18">
        <f>VLOOKUP($B120,Constraints!$C$28:$F$86,4,FALSE)</f>
        <v>345</v>
      </c>
      <c r="O120" t="str">
        <f>VLOOKUP($A120,'Capacity Name Ref'!$A$2:$G$16,6,FALSE)</f>
        <v>Device_Capacity_Margin</v>
      </c>
      <c r="P120">
        <f t="shared" si="13"/>
        <v>345</v>
      </c>
      <c r="Q120" t="str">
        <f t="shared" si="12"/>
        <v>Device_Capacity_Margin%</v>
      </c>
      <c r="R120" s="100">
        <f t="shared" si="14"/>
        <v>1</v>
      </c>
    </row>
    <row r="121" spans="1:18" x14ac:dyDescent="0.2">
      <c r="A121" s="77" t="s">
        <v>530</v>
      </c>
      <c r="B121" s="78" t="s">
        <v>65</v>
      </c>
      <c r="C121" s="79" t="s">
        <v>535</v>
      </c>
      <c r="D121" s="79" t="s">
        <v>539</v>
      </c>
      <c r="E121" s="79" t="b">
        <v>1</v>
      </c>
      <c r="F121" s="18">
        <f>VLOOKUP($B121,Constraints!$C$2:$Z$86,16, FALSE)</f>
        <v>0</v>
      </c>
      <c r="I121" s="18">
        <f t="shared" si="11"/>
        <v>0</v>
      </c>
      <c r="L121" s="18">
        <f>VLOOKUP($B121,Constraints!$C$2:$AK$86,27, FALSE)</f>
        <v>0</v>
      </c>
      <c r="M121" t="s">
        <v>664</v>
      </c>
      <c r="N121" s="18">
        <f>VLOOKUP($B121,Constraints!$C$28:$F$86,4,FALSE)</f>
        <v>345</v>
      </c>
      <c r="O121" t="str">
        <f>VLOOKUP($A121,'Capacity Name Ref'!$A$2:$G$16,6,FALSE)</f>
        <v>Device_Capacity_Margin</v>
      </c>
      <c r="P121">
        <f t="shared" si="13"/>
        <v>345</v>
      </c>
      <c r="Q121" t="str">
        <f t="shared" si="12"/>
        <v>Device_Capacity_Margin%</v>
      </c>
      <c r="R121" s="100">
        <f t="shared" si="14"/>
        <v>1</v>
      </c>
    </row>
    <row r="122" spans="1:18" x14ac:dyDescent="0.2">
      <c r="A122" s="77" t="s">
        <v>530</v>
      </c>
      <c r="B122" s="78" t="s">
        <v>305</v>
      </c>
      <c r="C122" s="79" t="s">
        <v>535</v>
      </c>
      <c r="D122" s="79" t="s">
        <v>539</v>
      </c>
      <c r="E122" s="79" t="b">
        <v>1</v>
      </c>
      <c r="F122" s="18">
        <f>VLOOKUP($B122,Constraints!$C$2:$Z$86,16, FALSE)</f>
        <v>0</v>
      </c>
      <c r="I122" s="18">
        <f t="shared" si="11"/>
        <v>0</v>
      </c>
      <c r="L122" s="18">
        <f>VLOOKUP($B122,Constraints!$C$2:$AK$86,27, FALSE)</f>
        <v>0</v>
      </c>
      <c r="M122" t="s">
        <v>664</v>
      </c>
      <c r="N122" s="18">
        <f>VLOOKUP($B122,Constraints!$C$28:$F$86,4,FALSE)</f>
        <v>920</v>
      </c>
      <c r="O122" t="str">
        <f>VLOOKUP($A122,'Capacity Name Ref'!$A$2:$G$16,6,FALSE)</f>
        <v>Device_Capacity_Margin</v>
      </c>
      <c r="P122">
        <f t="shared" si="13"/>
        <v>920</v>
      </c>
      <c r="Q122" t="str">
        <f t="shared" si="12"/>
        <v>Device_Capacity_Margin%</v>
      </c>
      <c r="R122" s="100">
        <f t="shared" si="14"/>
        <v>1</v>
      </c>
    </row>
    <row r="123" spans="1:18" x14ac:dyDescent="0.2">
      <c r="A123" s="77" t="s">
        <v>530</v>
      </c>
      <c r="B123" s="78" t="s">
        <v>307</v>
      </c>
      <c r="C123" s="79" t="s">
        <v>535</v>
      </c>
      <c r="D123" s="79" t="s">
        <v>539</v>
      </c>
      <c r="E123" s="79" t="b">
        <v>1</v>
      </c>
      <c r="F123" s="18">
        <f>VLOOKUP($B123,Constraints!$C$2:$Z$86,16, FALSE)</f>
        <v>0</v>
      </c>
      <c r="I123" s="18">
        <f t="shared" si="11"/>
        <v>0</v>
      </c>
      <c r="L123" s="18">
        <f>VLOOKUP($B123,Constraints!$C$2:$AK$86,27, FALSE)</f>
        <v>0</v>
      </c>
      <c r="M123" t="s">
        <v>664</v>
      </c>
      <c r="N123" s="18">
        <f>VLOOKUP($B123,Constraints!$C$28:$F$86,4,FALSE)</f>
        <v>920</v>
      </c>
      <c r="O123" t="str">
        <f>VLOOKUP($A123,'Capacity Name Ref'!$A$2:$G$16,6,FALSE)</f>
        <v>Device_Capacity_Margin</v>
      </c>
      <c r="P123">
        <f t="shared" si="13"/>
        <v>920</v>
      </c>
      <c r="Q123" t="str">
        <f t="shared" si="12"/>
        <v>Device_Capacity_Margin%</v>
      </c>
      <c r="R123" s="100">
        <f t="shared" si="14"/>
        <v>1</v>
      </c>
    </row>
    <row r="124" spans="1:18" x14ac:dyDescent="0.2">
      <c r="A124" s="77" t="s">
        <v>530</v>
      </c>
      <c r="B124" s="78" t="s">
        <v>309</v>
      </c>
      <c r="C124" s="79" t="s">
        <v>535</v>
      </c>
      <c r="D124" s="79" t="s">
        <v>539</v>
      </c>
      <c r="E124" s="79" t="b">
        <v>1</v>
      </c>
      <c r="F124" s="18">
        <f>VLOOKUP($B124,Constraints!$C$2:$Z$86,16, FALSE)</f>
        <v>0</v>
      </c>
      <c r="I124" s="18">
        <f t="shared" si="11"/>
        <v>0</v>
      </c>
      <c r="L124" s="18">
        <f>VLOOKUP($B124,Constraints!$C$2:$AK$86,27, FALSE)</f>
        <v>0</v>
      </c>
      <c r="M124" t="s">
        <v>664</v>
      </c>
      <c r="N124" s="18">
        <f>VLOOKUP($B124,Constraints!$C$28:$F$86,4,FALSE)</f>
        <v>920</v>
      </c>
      <c r="O124" t="str">
        <f>VLOOKUP($A124,'Capacity Name Ref'!$A$2:$G$16,6,FALSE)</f>
        <v>Device_Capacity_Margin</v>
      </c>
      <c r="P124">
        <f t="shared" si="13"/>
        <v>920</v>
      </c>
      <c r="Q124" t="str">
        <f t="shared" si="12"/>
        <v>Device_Capacity_Margin%</v>
      </c>
      <c r="R124" s="100">
        <f t="shared" si="14"/>
        <v>1</v>
      </c>
    </row>
    <row r="125" spans="1:18" x14ac:dyDescent="0.2">
      <c r="A125" s="77" t="s">
        <v>530</v>
      </c>
      <c r="B125" s="78" t="s">
        <v>311</v>
      </c>
      <c r="C125" s="79" t="s">
        <v>535</v>
      </c>
      <c r="D125" s="79" t="s">
        <v>539</v>
      </c>
      <c r="E125" s="79" t="b">
        <v>1</v>
      </c>
      <c r="F125" s="18">
        <f>VLOOKUP($B125,Constraints!$C$2:$Z$86,16, FALSE)</f>
        <v>0</v>
      </c>
      <c r="I125" s="18">
        <f t="shared" si="11"/>
        <v>0</v>
      </c>
      <c r="L125" s="18">
        <f>VLOOKUP($B125,Constraints!$C$2:$AK$86,27, FALSE)</f>
        <v>0</v>
      </c>
      <c r="M125" t="s">
        <v>664</v>
      </c>
      <c r="N125" s="18">
        <f>VLOOKUP($B125,Constraints!$C$28:$F$86,4,FALSE)</f>
        <v>920</v>
      </c>
      <c r="O125" t="str">
        <f>VLOOKUP($A125,'Capacity Name Ref'!$A$2:$G$16,6,FALSE)</f>
        <v>Device_Capacity_Margin</v>
      </c>
      <c r="P125">
        <f t="shared" si="13"/>
        <v>920</v>
      </c>
      <c r="Q125" t="str">
        <f t="shared" si="12"/>
        <v>Device_Capacity_Margin%</v>
      </c>
      <c r="R125" s="100">
        <f t="shared" si="14"/>
        <v>1</v>
      </c>
    </row>
    <row r="126" spans="1:18" x14ac:dyDescent="0.2">
      <c r="A126" s="77" t="s">
        <v>530</v>
      </c>
      <c r="B126" s="78" t="s">
        <v>29</v>
      </c>
      <c r="C126" s="79" t="s">
        <v>535</v>
      </c>
      <c r="D126" s="79" t="s">
        <v>539</v>
      </c>
      <c r="E126" s="79" t="b">
        <v>1</v>
      </c>
      <c r="F126" s="18">
        <f>VLOOKUP($B126,Constraints!$C$2:$Z$86,16, FALSE)</f>
        <v>360</v>
      </c>
      <c r="I126" s="18">
        <f t="shared" si="11"/>
        <v>450</v>
      </c>
      <c r="L126" s="18">
        <f>VLOOKUP($B126,Constraints!$C$2:$AK$86,27, FALSE)</f>
        <v>0</v>
      </c>
      <c r="M126" t="s">
        <v>664</v>
      </c>
      <c r="N126" s="18">
        <f>VLOOKUP($B126,Constraints!$C$28:$F$86,4,FALSE)</f>
        <v>1380</v>
      </c>
      <c r="O126" t="str">
        <f>VLOOKUP($A126,'Capacity Name Ref'!$A$2:$G$16,6,FALSE)</f>
        <v>Device_Capacity_Margin</v>
      </c>
      <c r="P126">
        <f t="shared" si="13"/>
        <v>1020</v>
      </c>
      <c r="Q126" t="str">
        <f t="shared" si="12"/>
        <v>Device_Capacity_Margin%</v>
      </c>
      <c r="R126" s="100">
        <f t="shared" si="14"/>
        <v>0.73913043478260865</v>
      </c>
    </row>
    <row r="127" spans="1:18" x14ac:dyDescent="0.2">
      <c r="A127" s="77" t="s">
        <v>530</v>
      </c>
      <c r="B127" s="78" t="s">
        <v>28</v>
      </c>
      <c r="C127" s="79" t="s">
        <v>535</v>
      </c>
      <c r="D127" s="79" t="s">
        <v>539</v>
      </c>
      <c r="E127" s="79" t="b">
        <v>1</v>
      </c>
      <c r="F127" s="18">
        <f>VLOOKUP($B127,Constraints!$C$2:$Z$86,16, FALSE)</f>
        <v>360</v>
      </c>
      <c r="I127" s="18">
        <f t="shared" si="11"/>
        <v>450</v>
      </c>
      <c r="L127" s="18">
        <f>VLOOKUP($B127,Constraints!$C$2:$AK$86,27, FALSE)</f>
        <v>0</v>
      </c>
      <c r="M127" t="s">
        <v>664</v>
      </c>
      <c r="N127" s="18">
        <f>VLOOKUP($B127,Constraints!$C$28:$F$86,4,FALSE)</f>
        <v>1380</v>
      </c>
      <c r="O127" t="str">
        <f>VLOOKUP($A127,'Capacity Name Ref'!$A$2:$G$16,6,FALSE)</f>
        <v>Device_Capacity_Margin</v>
      </c>
      <c r="P127">
        <f t="shared" si="13"/>
        <v>1020</v>
      </c>
      <c r="Q127" t="str">
        <f t="shared" si="12"/>
        <v>Device_Capacity_Margin%</v>
      </c>
      <c r="R127" s="100">
        <f t="shared" si="14"/>
        <v>0.73913043478260865</v>
      </c>
    </row>
    <row r="128" spans="1:18" x14ac:dyDescent="0.2">
      <c r="A128" s="77" t="s">
        <v>530</v>
      </c>
      <c r="B128" s="78" t="s">
        <v>31</v>
      </c>
      <c r="C128" s="79" t="s">
        <v>535</v>
      </c>
      <c r="D128" s="79" t="s">
        <v>539</v>
      </c>
      <c r="E128" s="79" t="b">
        <v>1</v>
      </c>
      <c r="F128" s="18">
        <f>VLOOKUP($B128,Constraints!$C$2:$Z$86,16, FALSE)</f>
        <v>840</v>
      </c>
      <c r="I128" s="18">
        <f t="shared" si="11"/>
        <v>1050</v>
      </c>
      <c r="L128" s="18">
        <f>VLOOKUP($B128,Constraints!$C$2:$AK$86,27, FALSE)</f>
        <v>0</v>
      </c>
      <c r="M128" t="s">
        <v>664</v>
      </c>
      <c r="N128" s="18">
        <f>VLOOKUP($B128,Constraints!$C$28:$F$86,4,FALSE)</f>
        <v>920</v>
      </c>
      <c r="O128" t="str">
        <f>VLOOKUP($A128,'Capacity Name Ref'!$A$2:$G$16,6,FALSE)</f>
        <v>Device_Capacity_Margin</v>
      </c>
      <c r="P128">
        <f t="shared" si="13"/>
        <v>80</v>
      </c>
      <c r="Q128" t="str">
        <f t="shared" si="12"/>
        <v>Device_Capacity_Margin%</v>
      </c>
      <c r="R128" s="100">
        <f t="shared" si="14"/>
        <v>8.6956521739130432E-2</v>
      </c>
    </row>
    <row r="129" spans="1:18" x14ac:dyDescent="0.2">
      <c r="A129" s="77" t="s">
        <v>530</v>
      </c>
      <c r="B129" s="78" t="s">
        <v>34</v>
      </c>
      <c r="C129" s="79" t="s">
        <v>535</v>
      </c>
      <c r="D129" s="79" t="s">
        <v>539</v>
      </c>
      <c r="E129" s="79" t="b">
        <v>1</v>
      </c>
      <c r="F129" s="18">
        <f>VLOOKUP($B129,Constraints!$C$2:$Z$86,16, FALSE)</f>
        <v>0</v>
      </c>
      <c r="I129" s="18">
        <f t="shared" si="11"/>
        <v>0</v>
      </c>
      <c r="L129" s="18">
        <f>VLOOKUP($B129,Constraints!$C$2:$AK$86,27, FALSE)</f>
        <v>0</v>
      </c>
      <c r="M129" t="s">
        <v>664</v>
      </c>
      <c r="N129" s="18">
        <f>VLOOKUP($B129,Constraints!$C$28:$F$86,4,FALSE)</f>
        <v>1380</v>
      </c>
      <c r="O129" t="str">
        <f>VLOOKUP($A129,'Capacity Name Ref'!$A$2:$G$16,6,FALSE)</f>
        <v>Device_Capacity_Margin</v>
      </c>
      <c r="P129">
        <f t="shared" si="13"/>
        <v>1380</v>
      </c>
      <c r="Q129" t="str">
        <f t="shared" si="12"/>
        <v>Device_Capacity_Margin%</v>
      </c>
      <c r="R129" s="100">
        <f t="shared" si="14"/>
        <v>1</v>
      </c>
    </row>
    <row r="130" spans="1:18" x14ac:dyDescent="0.2">
      <c r="A130" s="77" t="s">
        <v>530</v>
      </c>
      <c r="B130" s="78" t="s">
        <v>66</v>
      </c>
      <c r="C130" s="79" t="s">
        <v>535</v>
      </c>
      <c r="D130" s="79" t="s">
        <v>539</v>
      </c>
      <c r="E130" s="79" t="b">
        <v>1</v>
      </c>
      <c r="F130" s="18">
        <f>VLOOKUP($B130,Constraints!$C$2:$Z$86,16, FALSE)</f>
        <v>0</v>
      </c>
      <c r="I130" s="18">
        <f t="shared" si="11"/>
        <v>0</v>
      </c>
      <c r="L130" s="18">
        <f>VLOOKUP($B130,Constraints!$C$2:$AK$86,27, FALSE)</f>
        <v>0</v>
      </c>
      <c r="M130" t="s">
        <v>664</v>
      </c>
      <c r="N130" s="18">
        <f>VLOOKUP($B130,Constraints!$C$28:$F$86,4,FALSE)</f>
        <v>345</v>
      </c>
      <c r="O130" t="str">
        <f>VLOOKUP($A130,'Capacity Name Ref'!$A$2:$G$16,6,FALSE)</f>
        <v>Device_Capacity_Margin</v>
      </c>
      <c r="P130">
        <f t="shared" si="13"/>
        <v>345</v>
      </c>
      <c r="Q130" t="str">
        <f t="shared" si="12"/>
        <v>Device_Capacity_Margin%</v>
      </c>
      <c r="R130" s="100">
        <f t="shared" si="14"/>
        <v>1</v>
      </c>
    </row>
    <row r="131" spans="1:18" x14ac:dyDescent="0.2">
      <c r="A131" s="77" t="s">
        <v>530</v>
      </c>
      <c r="B131" s="78" t="s">
        <v>67</v>
      </c>
      <c r="C131" s="79" t="s">
        <v>535</v>
      </c>
      <c r="D131" s="79" t="s">
        <v>539</v>
      </c>
      <c r="E131" s="79" t="b">
        <v>1</v>
      </c>
      <c r="F131" s="18">
        <f>VLOOKUP($B131,Constraints!$C$2:$Z$86,16, FALSE)</f>
        <v>0</v>
      </c>
      <c r="I131" s="18">
        <f t="shared" si="11"/>
        <v>0</v>
      </c>
      <c r="L131" s="18">
        <f>VLOOKUP($B131,Constraints!$C$2:$AK$86,27, FALSE)</f>
        <v>0</v>
      </c>
      <c r="M131" t="s">
        <v>664</v>
      </c>
      <c r="N131" s="18">
        <f>VLOOKUP($B131,Constraints!$C$28:$F$86,4,FALSE)</f>
        <v>345</v>
      </c>
      <c r="O131" t="str">
        <f>VLOOKUP($A131,'Capacity Name Ref'!$A$2:$G$16,6,FALSE)</f>
        <v>Device_Capacity_Margin</v>
      </c>
      <c r="P131">
        <f t="shared" si="13"/>
        <v>345</v>
      </c>
      <c r="Q131" t="str">
        <f t="shared" si="12"/>
        <v>Device_Capacity_Margin%</v>
      </c>
      <c r="R131" s="100">
        <f t="shared" si="14"/>
        <v>1</v>
      </c>
    </row>
    <row r="132" spans="1:18" x14ac:dyDescent="0.2">
      <c r="A132" s="77" t="s">
        <v>530</v>
      </c>
      <c r="B132" s="78" t="s">
        <v>306</v>
      </c>
      <c r="C132" s="79" t="s">
        <v>535</v>
      </c>
      <c r="D132" s="79" t="s">
        <v>539</v>
      </c>
      <c r="E132" s="79" t="b">
        <v>1</v>
      </c>
      <c r="F132" s="18">
        <f>VLOOKUP($B132,Constraints!$C$2:$Z$86,16, FALSE)</f>
        <v>0</v>
      </c>
      <c r="I132" s="18">
        <f t="shared" si="11"/>
        <v>0</v>
      </c>
      <c r="L132" s="18">
        <f>VLOOKUP($B132,Constraints!$C$2:$AK$86,27, FALSE)</f>
        <v>0</v>
      </c>
      <c r="M132" t="s">
        <v>664</v>
      </c>
      <c r="N132" s="18">
        <f>VLOOKUP($B132,Constraints!$C$28:$F$86,4,FALSE)</f>
        <v>920</v>
      </c>
      <c r="O132" t="str">
        <f>VLOOKUP($A132,'Capacity Name Ref'!$A$2:$G$16,6,FALSE)</f>
        <v>Device_Capacity_Margin</v>
      </c>
      <c r="P132">
        <f t="shared" si="13"/>
        <v>920</v>
      </c>
      <c r="Q132" t="str">
        <f t="shared" si="12"/>
        <v>Device_Capacity_Margin%</v>
      </c>
      <c r="R132" s="100">
        <f t="shared" si="14"/>
        <v>1</v>
      </c>
    </row>
    <row r="133" spans="1:18" x14ac:dyDescent="0.2">
      <c r="A133" s="77" t="s">
        <v>530</v>
      </c>
      <c r="B133" s="78" t="s">
        <v>308</v>
      </c>
      <c r="C133" s="79" t="s">
        <v>535</v>
      </c>
      <c r="D133" s="79" t="s">
        <v>539</v>
      </c>
      <c r="E133" s="79" t="b">
        <v>1</v>
      </c>
      <c r="F133" s="18">
        <f>VLOOKUP($B133,Constraints!$C$2:$Z$86,16, FALSE)</f>
        <v>0</v>
      </c>
      <c r="I133" s="18">
        <f t="shared" si="11"/>
        <v>0</v>
      </c>
      <c r="L133" s="18">
        <f>VLOOKUP($B133,Constraints!$C$2:$AK$86,27, FALSE)</f>
        <v>0</v>
      </c>
      <c r="M133" t="s">
        <v>664</v>
      </c>
      <c r="N133" s="18">
        <f>VLOOKUP($B133,Constraints!$C$28:$F$86,4,FALSE)</f>
        <v>920</v>
      </c>
      <c r="O133" t="str">
        <f>VLOOKUP($A133,'Capacity Name Ref'!$A$2:$G$16,6,FALSE)</f>
        <v>Device_Capacity_Margin</v>
      </c>
      <c r="P133">
        <f t="shared" si="13"/>
        <v>920</v>
      </c>
      <c r="Q133" t="str">
        <f t="shared" si="12"/>
        <v>Device_Capacity_Margin%</v>
      </c>
      <c r="R133" s="100">
        <f t="shared" si="14"/>
        <v>1</v>
      </c>
    </row>
    <row r="134" spans="1:18" x14ac:dyDescent="0.2">
      <c r="A134" s="77" t="s">
        <v>530</v>
      </c>
      <c r="B134" s="78" t="s">
        <v>310</v>
      </c>
      <c r="C134" s="79" t="s">
        <v>535</v>
      </c>
      <c r="D134" s="79" t="s">
        <v>539</v>
      </c>
      <c r="E134" s="79" t="b">
        <v>1</v>
      </c>
      <c r="F134" s="18">
        <f>VLOOKUP($B134,Constraints!$C$2:$Z$86,16, FALSE)</f>
        <v>0</v>
      </c>
      <c r="I134" s="18">
        <f t="shared" si="11"/>
        <v>0</v>
      </c>
      <c r="L134" s="18">
        <f>VLOOKUP($B134,Constraints!$C$2:$AK$86,27, FALSE)</f>
        <v>0</v>
      </c>
      <c r="M134" t="s">
        <v>664</v>
      </c>
      <c r="N134" s="18">
        <f>VLOOKUP($B134,Constraints!$C$28:$F$86,4,FALSE)</f>
        <v>920</v>
      </c>
      <c r="O134" t="str">
        <f>VLOOKUP($A134,'Capacity Name Ref'!$A$2:$G$16,6,FALSE)</f>
        <v>Device_Capacity_Margin</v>
      </c>
      <c r="P134">
        <f t="shared" si="13"/>
        <v>920</v>
      </c>
      <c r="Q134" t="str">
        <f t="shared" si="12"/>
        <v>Device_Capacity_Margin%</v>
      </c>
      <c r="R134" s="100">
        <f t="shared" si="14"/>
        <v>1</v>
      </c>
    </row>
    <row r="135" spans="1:18" x14ac:dyDescent="0.2">
      <c r="A135" s="77" t="s">
        <v>530</v>
      </c>
      <c r="B135" s="78" t="s">
        <v>312</v>
      </c>
      <c r="C135" s="79" t="s">
        <v>535</v>
      </c>
      <c r="D135" s="79" t="s">
        <v>539</v>
      </c>
      <c r="E135" s="79" t="b">
        <v>1</v>
      </c>
      <c r="F135" s="18">
        <f>VLOOKUP($B135,Constraints!$C$2:$Z$86,16, FALSE)</f>
        <v>0</v>
      </c>
      <c r="I135" s="18">
        <f t="shared" si="11"/>
        <v>0</v>
      </c>
      <c r="L135" s="18">
        <f>VLOOKUP($B135,Constraints!$C$2:$AK$86,27, FALSE)</f>
        <v>0</v>
      </c>
      <c r="M135" t="s">
        <v>664</v>
      </c>
      <c r="N135" s="18">
        <f>VLOOKUP($B135,Constraints!$C$28:$F$86,4,FALSE)</f>
        <v>920</v>
      </c>
      <c r="O135" t="str">
        <f>VLOOKUP($A135,'Capacity Name Ref'!$A$2:$G$16,6,FALSE)</f>
        <v>Device_Capacity_Margin</v>
      </c>
      <c r="P135">
        <f t="shared" si="13"/>
        <v>920</v>
      </c>
      <c r="Q135" t="str">
        <f t="shared" si="12"/>
        <v>Device_Capacity_Margin%</v>
      </c>
      <c r="R135" s="100">
        <f t="shared" si="14"/>
        <v>1</v>
      </c>
    </row>
    <row r="136" spans="1:18" x14ac:dyDescent="0.2">
      <c r="A136" s="77" t="s">
        <v>1</v>
      </c>
      <c r="B136" s="78" t="s">
        <v>397</v>
      </c>
      <c r="C136" s="79" t="s">
        <v>535</v>
      </c>
      <c r="D136" s="79" t="s">
        <v>539</v>
      </c>
      <c r="E136" s="79" t="b">
        <v>1</v>
      </c>
      <c r="H136" s="18">
        <f>VLOOKUP($B136,Constraints!$C$2:$Z$86,16, FALSE)</f>
        <v>0</v>
      </c>
      <c r="K136" s="18">
        <f>H136/0.8</f>
        <v>0</v>
      </c>
      <c r="L136" s="18">
        <f>VLOOKUP($B136,Constraints!$C$2:$AK$86,27, FALSE)</f>
        <v>0</v>
      </c>
      <c r="M136" t="s">
        <v>668</v>
      </c>
      <c r="N136" s="18">
        <f>VLOOKUP($B136,Constraints!$C$28:$F$86,4,FALSE)</f>
        <v>200</v>
      </c>
      <c r="O136" t="str">
        <f>VLOOKUP($A136,'Capacity Name Ref'!$A$2:$G$16,6,FALSE)</f>
        <v>Local_Capacity_Margin</v>
      </c>
      <c r="P136">
        <f>N136-H136</f>
        <v>200</v>
      </c>
      <c r="Q136" t="str">
        <f t="shared" si="12"/>
        <v>Local_Capacity_Margin%</v>
      </c>
      <c r="R136" s="100">
        <f t="shared" si="14"/>
        <v>1</v>
      </c>
    </row>
    <row r="137" spans="1:18" x14ac:dyDescent="0.2">
      <c r="A137" s="77" t="s">
        <v>1</v>
      </c>
      <c r="B137" s="78" t="s">
        <v>422</v>
      </c>
      <c r="C137" s="79" t="s">
        <v>535</v>
      </c>
      <c r="D137" s="79" t="s">
        <v>539</v>
      </c>
      <c r="E137" s="79" t="b">
        <v>1</v>
      </c>
      <c r="H137" s="18">
        <f>VLOOKUP($B137,Constraints!$C$2:$Z$86,16, FALSE)</f>
        <v>0</v>
      </c>
      <c r="K137" s="18">
        <f t="shared" ref="K137:K142" si="15">H137/0.8</f>
        <v>0</v>
      </c>
      <c r="L137" s="18">
        <f>VLOOKUP($B137,Constraints!$C$2:$AK$86,27, FALSE)</f>
        <v>0</v>
      </c>
      <c r="M137" t="s">
        <v>668</v>
      </c>
      <c r="N137" s="18">
        <f>VLOOKUP($B137,Constraints!$C$28:$F$86,4,FALSE)</f>
        <v>200</v>
      </c>
      <c r="O137" t="str">
        <f>VLOOKUP($A137,'Capacity Name Ref'!$A$2:$G$16,6,FALSE)</f>
        <v>Local_Capacity_Margin</v>
      </c>
      <c r="P137">
        <f t="shared" ref="P137:P142" si="16">N137-H137</f>
        <v>200</v>
      </c>
      <c r="Q137" t="str">
        <f t="shared" si="12"/>
        <v>Local_Capacity_Margin%</v>
      </c>
      <c r="R137" s="100">
        <f t="shared" si="14"/>
        <v>1</v>
      </c>
    </row>
    <row r="138" spans="1:18" x14ac:dyDescent="0.2">
      <c r="A138" s="77" t="s">
        <v>1</v>
      </c>
      <c r="B138" s="78" t="s">
        <v>247</v>
      </c>
      <c r="C138" s="79" t="s">
        <v>535</v>
      </c>
      <c r="D138" s="79" t="s">
        <v>539</v>
      </c>
      <c r="E138" s="79" t="b">
        <v>1</v>
      </c>
      <c r="H138" s="18">
        <f>VLOOKUP($B138,Constraints!$C$2:$Z$86,16, FALSE)</f>
        <v>0</v>
      </c>
      <c r="K138" s="18">
        <f t="shared" si="15"/>
        <v>0</v>
      </c>
      <c r="L138" s="18">
        <f>VLOOKUP($B138,Constraints!$C$2:$AK$86,27, FALSE)</f>
        <v>0</v>
      </c>
      <c r="M138" t="s">
        <v>668</v>
      </c>
      <c r="N138" s="18">
        <f>VLOOKUP($B138,Constraints!$C$28:$F$86,4,FALSE)</f>
        <v>2000</v>
      </c>
      <c r="O138" t="str">
        <f>VLOOKUP($A138,'Capacity Name Ref'!$A$2:$G$16,6,FALSE)</f>
        <v>Local_Capacity_Margin</v>
      </c>
      <c r="P138">
        <f t="shared" si="16"/>
        <v>2000</v>
      </c>
      <c r="Q138" t="str">
        <f t="shared" si="12"/>
        <v>Local_Capacity_Margin%</v>
      </c>
      <c r="R138" s="100">
        <f t="shared" si="14"/>
        <v>1</v>
      </c>
    </row>
    <row r="139" spans="1:18" x14ac:dyDescent="0.2">
      <c r="A139" s="77" t="s">
        <v>1</v>
      </c>
      <c r="B139" s="78" t="s">
        <v>246</v>
      </c>
      <c r="C139" s="79" t="s">
        <v>535</v>
      </c>
      <c r="D139" s="79" t="s">
        <v>539</v>
      </c>
      <c r="E139" s="79" t="b">
        <v>1</v>
      </c>
      <c r="H139" s="18">
        <f>VLOOKUP($B139,Constraints!$C$2:$Z$86,16, FALSE)</f>
        <v>1170</v>
      </c>
      <c r="K139" s="18">
        <f t="shared" si="15"/>
        <v>1462.5</v>
      </c>
      <c r="L139" s="18">
        <f>VLOOKUP($B139,Constraints!$C$2:$AK$86,27, FALSE)</f>
        <v>52</v>
      </c>
      <c r="M139" t="s">
        <v>668</v>
      </c>
      <c r="N139" s="18">
        <f>VLOOKUP($B139,Constraints!$C$28:$F$86,4,FALSE)</f>
        <v>1000</v>
      </c>
      <c r="O139" t="str">
        <f>VLOOKUP($A139,'Capacity Name Ref'!$A$2:$G$16,6,FALSE)</f>
        <v>Local_Capacity_Margin</v>
      </c>
      <c r="P139">
        <f t="shared" si="16"/>
        <v>-170</v>
      </c>
      <c r="Q139" t="str">
        <f t="shared" si="12"/>
        <v>Local_Capacity_Margin%</v>
      </c>
      <c r="R139" s="100">
        <f t="shared" si="14"/>
        <v>-0.17</v>
      </c>
    </row>
    <row r="140" spans="1:18" x14ac:dyDescent="0.2">
      <c r="A140" s="77" t="s">
        <v>1</v>
      </c>
      <c r="B140" s="78" t="s">
        <v>252</v>
      </c>
      <c r="C140" s="79" t="s">
        <v>535</v>
      </c>
      <c r="D140" s="79" t="s">
        <v>539</v>
      </c>
      <c r="E140" s="79" t="b">
        <v>1</v>
      </c>
      <c r="H140" s="18">
        <f>VLOOKUP($B140,Constraints!$C$2:$Z$86,16, FALSE)</f>
        <v>0</v>
      </c>
      <c r="K140" s="18">
        <f t="shared" si="15"/>
        <v>0</v>
      </c>
      <c r="L140" s="18">
        <f>VLOOKUP($B140,Constraints!$C$2:$AK$86,27, FALSE)</f>
        <v>0</v>
      </c>
      <c r="M140" t="s">
        <v>668</v>
      </c>
      <c r="N140" s="18">
        <f>VLOOKUP($B140,Constraints!$C$28:$F$86,4,FALSE)</f>
        <v>500</v>
      </c>
      <c r="O140" t="str">
        <f>VLOOKUP($A140,'Capacity Name Ref'!$A$2:$G$16,6,FALSE)</f>
        <v>Local_Capacity_Margin</v>
      </c>
      <c r="P140">
        <f t="shared" si="16"/>
        <v>500</v>
      </c>
      <c r="Q140" t="str">
        <f t="shared" si="12"/>
        <v>Local_Capacity_Margin%</v>
      </c>
      <c r="R140" s="100">
        <f t="shared" si="14"/>
        <v>1</v>
      </c>
    </row>
    <row r="141" spans="1:18" x14ac:dyDescent="0.2">
      <c r="A141" s="77" t="s">
        <v>1</v>
      </c>
      <c r="B141" s="78" t="s">
        <v>318</v>
      </c>
      <c r="C141" s="79" t="s">
        <v>535</v>
      </c>
      <c r="D141" s="79" t="s">
        <v>539</v>
      </c>
      <c r="E141" s="79" t="b">
        <v>1</v>
      </c>
      <c r="H141" s="18">
        <f>VLOOKUP($B141,Constraints!$C$2:$Z$86,16, FALSE)</f>
        <v>0</v>
      </c>
      <c r="K141" s="18">
        <f t="shared" si="15"/>
        <v>0</v>
      </c>
      <c r="L141" s="18">
        <f>VLOOKUP($B141,Constraints!$C$2:$AK$86,27, FALSE)</f>
        <v>0</v>
      </c>
      <c r="M141" t="s">
        <v>668</v>
      </c>
      <c r="N141" s="18">
        <f>VLOOKUP($B141,Constraints!$C$28:$F$86,4,FALSE)</f>
        <v>1500</v>
      </c>
      <c r="O141" t="str">
        <f>VLOOKUP($A141,'Capacity Name Ref'!$A$2:$G$16,6,FALSE)</f>
        <v>Local_Capacity_Margin</v>
      </c>
      <c r="P141">
        <f t="shared" si="16"/>
        <v>1500</v>
      </c>
      <c r="Q141" t="str">
        <f t="shared" si="12"/>
        <v>Local_Capacity_Margin%</v>
      </c>
      <c r="R141" s="100">
        <f t="shared" si="14"/>
        <v>1</v>
      </c>
    </row>
    <row r="142" spans="1:18" x14ac:dyDescent="0.2">
      <c r="A142" s="77" t="s">
        <v>1</v>
      </c>
      <c r="B142" s="78" t="s">
        <v>317</v>
      </c>
      <c r="C142" s="79" t="s">
        <v>535</v>
      </c>
      <c r="D142" s="79" t="s">
        <v>539</v>
      </c>
      <c r="E142" s="79" t="b">
        <v>1</v>
      </c>
      <c r="H142" s="18">
        <f>VLOOKUP($B142,Constraints!$C$2:$Z$86,16, FALSE)</f>
        <v>0</v>
      </c>
      <c r="K142" s="18">
        <f t="shared" si="15"/>
        <v>0</v>
      </c>
      <c r="L142" s="18">
        <f>VLOOKUP($B142,Constraints!$C$2:$AK$86,27, FALSE)</f>
        <v>0</v>
      </c>
      <c r="M142" t="s">
        <v>668</v>
      </c>
      <c r="N142" s="18">
        <f>VLOOKUP($B142,Constraints!$C$28:$F$86,4,FALSE)</f>
        <v>1500</v>
      </c>
      <c r="O142" t="str">
        <f>VLOOKUP($A142,'Capacity Name Ref'!$A$2:$G$16,6,FALSE)</f>
        <v>Local_Capacity_Margin</v>
      </c>
      <c r="P142">
        <f t="shared" si="16"/>
        <v>1500</v>
      </c>
      <c r="Q142" t="str">
        <f t="shared" si="12"/>
        <v>Local_Capacity_Margin%</v>
      </c>
      <c r="R142" s="100">
        <f t="shared" si="14"/>
        <v>1</v>
      </c>
    </row>
    <row r="143" spans="1:18" x14ac:dyDescent="0.2">
      <c r="A143" s="77" t="s">
        <v>245</v>
      </c>
      <c r="B143" s="78" t="s">
        <v>446</v>
      </c>
      <c r="C143" s="79" t="s">
        <v>535</v>
      </c>
      <c r="D143" s="79" t="s">
        <v>539</v>
      </c>
      <c r="E143" s="79" t="b">
        <v>1</v>
      </c>
      <c r="G143" s="18">
        <f>VLOOKUP($B143,Constraints!$C$2:$Z$86,16, FALSE)</f>
        <v>0</v>
      </c>
      <c r="J143" s="18">
        <f>G143/0.8</f>
        <v>0</v>
      </c>
      <c r="L143" s="18">
        <f>VLOOKUP($B143,Constraints!$C$2:$AK$86,27, FALSE)</f>
        <v>0</v>
      </c>
      <c r="M143" t="s">
        <v>667</v>
      </c>
      <c r="N143" s="18">
        <f>VLOOKUP($B143,Constraints!$C$28:$F$86,4,FALSE)</f>
        <v>270</v>
      </c>
      <c r="O143" t="str">
        <f>VLOOKUP($A143,'Capacity Name Ref'!$A$2:$G$16,6,FALSE)</f>
        <v>Local_Capacity_Margin</v>
      </c>
      <c r="P143">
        <f>N143-G143</f>
        <v>270</v>
      </c>
      <c r="Q143" t="str">
        <f t="shared" si="12"/>
        <v>Local_Capacity_Margin%</v>
      </c>
      <c r="R143" s="100">
        <f t="shared" si="14"/>
        <v>1</v>
      </c>
    </row>
    <row r="144" spans="1:18" x14ac:dyDescent="0.2">
      <c r="A144" s="77" t="s">
        <v>245</v>
      </c>
      <c r="B144" s="78" t="s">
        <v>447</v>
      </c>
      <c r="C144" s="79" t="s">
        <v>535</v>
      </c>
      <c r="D144" s="79" t="s">
        <v>539</v>
      </c>
      <c r="E144" s="79" t="b">
        <v>1</v>
      </c>
      <c r="G144" s="18">
        <f>VLOOKUP($B144,Constraints!$C$2:$Z$86,16, FALSE)</f>
        <v>0</v>
      </c>
      <c r="J144" s="18">
        <f t="shared" ref="J144:J149" si="17">G144/0.8</f>
        <v>0</v>
      </c>
      <c r="L144" s="18">
        <f>VLOOKUP($B144,Constraints!$C$2:$AK$86,27, FALSE)</f>
        <v>0</v>
      </c>
      <c r="M144" t="s">
        <v>667</v>
      </c>
      <c r="N144" s="18">
        <f>VLOOKUP($B144,Constraints!$C$28:$F$86,4,FALSE)</f>
        <v>270</v>
      </c>
      <c r="O144" t="str">
        <f>VLOOKUP($A144,'Capacity Name Ref'!$A$2:$G$16,6,FALSE)</f>
        <v>Local_Capacity_Margin</v>
      </c>
      <c r="P144">
        <f t="shared" ref="P144:P151" si="18">N144-G144</f>
        <v>270</v>
      </c>
      <c r="Q144" t="str">
        <f t="shared" si="12"/>
        <v>Local_Capacity_Margin%</v>
      </c>
      <c r="R144" s="100">
        <f t="shared" si="14"/>
        <v>1</v>
      </c>
    </row>
    <row r="145" spans="1:24" x14ac:dyDescent="0.2">
      <c r="A145" s="77" t="s">
        <v>245</v>
      </c>
      <c r="B145" s="78" t="s">
        <v>250</v>
      </c>
      <c r="C145" s="79" t="s">
        <v>535</v>
      </c>
      <c r="D145" s="79" t="s">
        <v>539</v>
      </c>
      <c r="E145" s="79" t="b">
        <v>1</v>
      </c>
      <c r="G145" s="18">
        <f>VLOOKUP($B145,Constraints!$C$2:$Z$86,16, FALSE)</f>
        <v>0</v>
      </c>
      <c r="J145" s="18">
        <f t="shared" si="17"/>
        <v>0</v>
      </c>
      <c r="L145" s="18">
        <f>VLOOKUP($B145,Constraints!$C$2:$AK$86,27, FALSE)</f>
        <v>0</v>
      </c>
      <c r="M145" t="s">
        <v>667</v>
      </c>
      <c r="N145" s="18">
        <f>VLOOKUP($B145,Constraints!$C$28:$F$86,4,FALSE)</f>
        <v>240</v>
      </c>
      <c r="O145" t="str">
        <f>VLOOKUP($A145,'Capacity Name Ref'!$A$2:$G$16,6,FALSE)</f>
        <v>Local_Capacity_Margin</v>
      </c>
      <c r="P145">
        <f t="shared" si="18"/>
        <v>240</v>
      </c>
      <c r="Q145" t="str">
        <f t="shared" si="12"/>
        <v>Local_Capacity_Margin%</v>
      </c>
      <c r="R145" s="100">
        <f t="shared" si="14"/>
        <v>1</v>
      </c>
    </row>
    <row r="146" spans="1:24" x14ac:dyDescent="0.2">
      <c r="A146" s="77" t="s">
        <v>245</v>
      </c>
      <c r="B146" s="78" t="s">
        <v>251</v>
      </c>
      <c r="C146" s="79" t="s">
        <v>535</v>
      </c>
      <c r="D146" s="79" t="s">
        <v>539</v>
      </c>
      <c r="E146" s="79" t="b">
        <v>1</v>
      </c>
      <c r="G146" s="18">
        <f>VLOOKUP($B146,Constraints!$C$2:$Z$86,16, FALSE)</f>
        <v>0</v>
      </c>
      <c r="J146" s="18">
        <f t="shared" si="17"/>
        <v>0</v>
      </c>
      <c r="L146" s="18">
        <f>VLOOKUP($B146,Constraints!$C$2:$AK$86,27, FALSE)</f>
        <v>0</v>
      </c>
      <c r="M146" t="s">
        <v>667</v>
      </c>
      <c r="N146" s="18">
        <f>VLOOKUP($B146,Constraints!$C$28:$F$86,4,FALSE)</f>
        <v>180</v>
      </c>
      <c r="O146" t="str">
        <f>VLOOKUP($A146,'Capacity Name Ref'!$A$2:$G$16,6,FALSE)</f>
        <v>Local_Capacity_Margin</v>
      </c>
      <c r="P146">
        <f t="shared" si="18"/>
        <v>180</v>
      </c>
      <c r="Q146" t="str">
        <f t="shared" si="12"/>
        <v>Local_Capacity_Margin%</v>
      </c>
      <c r="R146" s="100">
        <f t="shared" si="14"/>
        <v>1</v>
      </c>
    </row>
    <row r="147" spans="1:24" x14ac:dyDescent="0.2">
      <c r="A147" s="77" t="s">
        <v>245</v>
      </c>
      <c r="B147" s="78" t="s">
        <v>248</v>
      </c>
      <c r="C147" s="79" t="s">
        <v>535</v>
      </c>
      <c r="D147" s="79" t="s">
        <v>539</v>
      </c>
      <c r="E147" s="79" t="b">
        <v>1</v>
      </c>
      <c r="G147" s="18">
        <f>VLOOKUP($B147,Constraints!$C$2:$Z$86,16, FALSE)</f>
        <v>225</v>
      </c>
      <c r="J147" s="18">
        <f t="shared" si="17"/>
        <v>281.25</v>
      </c>
      <c r="L147" s="18">
        <f>VLOOKUP($B147,Constraints!$C$2:$AK$86,27, FALSE)</f>
        <v>30</v>
      </c>
      <c r="M147" t="s">
        <v>667</v>
      </c>
      <c r="N147" s="18">
        <f>VLOOKUP($B147,Constraints!$C$28:$F$86,4,FALSE)</f>
        <v>240</v>
      </c>
      <c r="O147" t="str">
        <f>VLOOKUP($A147,'Capacity Name Ref'!$A$2:$G$16,6,FALSE)</f>
        <v>Local_Capacity_Margin</v>
      </c>
      <c r="P147">
        <f t="shared" si="18"/>
        <v>15</v>
      </c>
      <c r="Q147" t="str">
        <f t="shared" si="12"/>
        <v>Local_Capacity_Margin%</v>
      </c>
      <c r="R147" s="100">
        <f t="shared" si="14"/>
        <v>6.25E-2</v>
      </c>
    </row>
    <row r="148" spans="1:24" x14ac:dyDescent="0.2">
      <c r="A148" s="77" t="s">
        <v>245</v>
      </c>
      <c r="B148" s="78" t="s">
        <v>249</v>
      </c>
      <c r="C148" s="79" t="s">
        <v>535</v>
      </c>
      <c r="D148" s="79" t="s">
        <v>539</v>
      </c>
      <c r="E148" s="79" t="b">
        <v>1</v>
      </c>
      <c r="G148" s="18">
        <f>VLOOKUP($B148,Constraints!$C$2:$Z$86,16, FALSE)</f>
        <v>165</v>
      </c>
      <c r="J148" s="18">
        <f t="shared" si="17"/>
        <v>206.25</v>
      </c>
      <c r="L148" s="18">
        <f>VLOOKUP($B148,Constraints!$C$2:$AK$86,27, FALSE)</f>
        <v>22</v>
      </c>
      <c r="M148" t="s">
        <v>667</v>
      </c>
      <c r="N148" s="18">
        <f>VLOOKUP($B148,Constraints!$C$28:$F$86,4,FALSE)</f>
        <v>180</v>
      </c>
      <c r="O148" t="str">
        <f>VLOOKUP($A148,'Capacity Name Ref'!$A$2:$G$16,6,FALSE)</f>
        <v>Local_Capacity_Margin</v>
      </c>
      <c r="P148">
        <f t="shared" si="18"/>
        <v>15</v>
      </c>
      <c r="Q148" t="str">
        <f t="shared" si="12"/>
        <v>Local_Capacity_Margin%</v>
      </c>
      <c r="R148" s="100">
        <f t="shared" si="14"/>
        <v>8.3333333333333329E-2</v>
      </c>
    </row>
    <row r="149" spans="1:24" x14ac:dyDescent="0.2">
      <c r="A149" s="77" t="s">
        <v>245</v>
      </c>
      <c r="B149" s="78" t="s">
        <v>253</v>
      </c>
      <c r="C149" s="79" t="s">
        <v>535</v>
      </c>
      <c r="D149" s="79" t="s">
        <v>539</v>
      </c>
      <c r="E149" s="79" t="b">
        <v>1</v>
      </c>
      <c r="G149" s="18">
        <f>VLOOKUP($B149,Constraints!$C$2:$Z$86,16, FALSE)</f>
        <v>0</v>
      </c>
      <c r="J149" s="18">
        <f t="shared" si="17"/>
        <v>0</v>
      </c>
      <c r="L149" s="18">
        <f>VLOOKUP($B149,Constraints!$C$2:$AK$86,27, FALSE)</f>
        <v>0</v>
      </c>
      <c r="M149" t="s">
        <v>667</v>
      </c>
      <c r="N149" s="18">
        <f>VLOOKUP($B149,Constraints!$C$28:$F$86,4,FALSE)</f>
        <v>180</v>
      </c>
      <c r="O149" t="str">
        <f>VLOOKUP($A149,'Capacity Name Ref'!$A$2:$G$16,6,FALSE)</f>
        <v>Local_Capacity_Margin</v>
      </c>
      <c r="P149">
        <f t="shared" si="18"/>
        <v>180</v>
      </c>
      <c r="Q149" t="str">
        <f t="shared" si="12"/>
        <v>Local_Capacity_Margin%</v>
      </c>
      <c r="R149" s="100">
        <f t="shared" si="14"/>
        <v>1</v>
      </c>
    </row>
    <row r="150" spans="1:24" x14ac:dyDescent="0.2">
      <c r="A150" s="77" t="s">
        <v>245</v>
      </c>
      <c r="B150" s="78" t="s">
        <v>320</v>
      </c>
      <c r="C150" s="79" t="s">
        <v>535</v>
      </c>
      <c r="D150" s="79" t="s">
        <v>539</v>
      </c>
      <c r="E150" s="79" t="b">
        <v>1</v>
      </c>
      <c r="G150" s="18">
        <f>VLOOKUP($B150,Constraints!$C$2:$Z$86,16, FALSE)</f>
        <v>0</v>
      </c>
      <c r="J150" s="18">
        <f>G150/0.8</f>
        <v>0</v>
      </c>
      <c r="L150" s="18">
        <f>VLOOKUP($B150,Constraints!$C$2:$AK$86,27, FALSE)</f>
        <v>0</v>
      </c>
      <c r="M150" t="s">
        <v>667</v>
      </c>
      <c r="N150" s="18">
        <f>VLOOKUP($B150,Constraints!$C$28:$F$86,4,FALSE)</f>
        <v>270</v>
      </c>
      <c r="O150" t="str">
        <f>VLOOKUP($A150,'Capacity Name Ref'!$A$2:$G$16,6,FALSE)</f>
        <v>Local_Capacity_Margin</v>
      </c>
      <c r="P150">
        <f t="shared" si="18"/>
        <v>270</v>
      </c>
      <c r="Q150" t="str">
        <f t="shared" si="12"/>
        <v>Local_Capacity_Margin%</v>
      </c>
      <c r="R150" s="100">
        <f t="shared" si="14"/>
        <v>1</v>
      </c>
    </row>
    <row r="151" spans="1:24" x14ac:dyDescent="0.2">
      <c r="A151" s="77" t="s">
        <v>245</v>
      </c>
      <c r="B151" s="78" t="s">
        <v>319</v>
      </c>
      <c r="C151" s="79" t="s">
        <v>535</v>
      </c>
      <c r="D151" s="79" t="s">
        <v>539</v>
      </c>
      <c r="E151" s="79" t="b">
        <v>1</v>
      </c>
      <c r="G151" s="18">
        <f>VLOOKUP($B151,Constraints!$C$2:$Z$86,16, FALSE)</f>
        <v>0</v>
      </c>
      <c r="J151" s="18">
        <f t="shared" ref="J151" si="19">G151/0.8</f>
        <v>0</v>
      </c>
      <c r="L151" s="18">
        <f>VLOOKUP($B151,Constraints!$C$2:$AK$86,27, FALSE)</f>
        <v>0</v>
      </c>
      <c r="M151" t="s">
        <v>667</v>
      </c>
      <c r="N151" s="18">
        <f>VLOOKUP($B151,Constraints!$C$28:$F$86,4,FALSE)</f>
        <v>270</v>
      </c>
      <c r="O151" t="str">
        <f>VLOOKUP($A151,'Capacity Name Ref'!$A$2:$G$16,6,FALSE)</f>
        <v>Local_Capacity_Margin</v>
      </c>
      <c r="P151">
        <f t="shared" si="18"/>
        <v>270</v>
      </c>
      <c r="Q151" t="str">
        <f t="shared" si="12"/>
        <v>Local_Capacity_Margin%</v>
      </c>
      <c r="R151" s="100">
        <f t="shared" si="14"/>
        <v>1</v>
      </c>
    </row>
    <row r="152" spans="1:24" x14ac:dyDescent="0.2">
      <c r="A152" s="77" t="s">
        <v>645</v>
      </c>
      <c r="B152" s="78" t="s">
        <v>452</v>
      </c>
      <c r="C152" s="79" t="s">
        <v>535</v>
      </c>
      <c r="D152" s="79" t="s">
        <v>539</v>
      </c>
      <c r="E152" s="79" t="b">
        <v>1</v>
      </c>
      <c r="F152" s="18">
        <f>VLOOKUP($B152,Constraints!$C$2:$Z$86,16, FALSE)</f>
        <v>0</v>
      </c>
      <c r="I152" s="18">
        <f t="shared" ref="I152:I162" si="20">F152/0.8</f>
        <v>0</v>
      </c>
      <c r="L152" s="18">
        <f>VLOOKUP($B152,Constraints!$C$2:$AK$86,27, FALSE)</f>
        <v>0</v>
      </c>
      <c r="M152" t="s">
        <v>670</v>
      </c>
      <c r="N152" s="18">
        <f>VLOOKUP($B152,Constraints!$C$28:$F$86,4,FALSE)</f>
        <v>400</v>
      </c>
      <c r="O152" t="str">
        <f>VLOOKUP($A152,'Capacity Name Ref'!$A$2:$G$16,6,FALSE)</f>
        <v>Local_Capacity_Margin</v>
      </c>
      <c r="P152">
        <f>N152-F152</f>
        <v>400</v>
      </c>
      <c r="Q152" t="str">
        <f t="shared" si="12"/>
        <v>Local_Capacity_Margin%</v>
      </c>
      <c r="R152" s="100">
        <f t="shared" si="14"/>
        <v>1</v>
      </c>
      <c r="S152" s="71" t="s">
        <v>671</v>
      </c>
      <c r="T152">
        <f>VLOOKUP($B152,Constraints!$C$68:$H$78,6,FALSE)</f>
        <v>480</v>
      </c>
      <c r="U152" s="71" t="s">
        <v>682</v>
      </c>
      <c r="V152">
        <f>T152-F152</f>
        <v>480</v>
      </c>
      <c r="W152" s="71" t="s">
        <v>688</v>
      </c>
      <c r="X152" s="100">
        <f>V152/T152</f>
        <v>1</v>
      </c>
    </row>
    <row r="153" spans="1:24" x14ac:dyDescent="0.2">
      <c r="A153" s="77" t="s">
        <v>645</v>
      </c>
      <c r="B153" s="78" t="s">
        <v>453</v>
      </c>
      <c r="C153" s="79" t="s">
        <v>535</v>
      </c>
      <c r="D153" s="79" t="s">
        <v>539</v>
      </c>
      <c r="E153" s="79" t="b">
        <v>1</v>
      </c>
      <c r="F153" s="18">
        <f>VLOOKUP($B153,Constraints!$C$2:$Z$86,16, FALSE)</f>
        <v>0</v>
      </c>
      <c r="I153" s="18">
        <f t="shared" si="20"/>
        <v>0</v>
      </c>
      <c r="L153" s="18">
        <f>VLOOKUP($B153,Constraints!$C$2:$AK$86,27, FALSE)</f>
        <v>0</v>
      </c>
      <c r="M153" t="s">
        <v>670</v>
      </c>
      <c r="N153" s="18">
        <f>VLOOKUP($B153,Constraints!$C$28:$F$86,4,FALSE)</f>
        <v>400</v>
      </c>
      <c r="O153" t="str">
        <f>VLOOKUP($A153,'Capacity Name Ref'!$A$2:$G$16,6,FALSE)</f>
        <v>Local_Capacity_Margin</v>
      </c>
      <c r="P153">
        <f t="shared" ref="P153:P169" si="21">N153-F153</f>
        <v>400</v>
      </c>
      <c r="Q153" t="str">
        <f t="shared" si="12"/>
        <v>Local_Capacity_Margin%</v>
      </c>
      <c r="R153" s="100">
        <f t="shared" si="14"/>
        <v>1</v>
      </c>
      <c r="S153" s="71" t="s">
        <v>671</v>
      </c>
      <c r="T153">
        <f>VLOOKUP($B153,Constraints!$C$68:$H$78,6,FALSE)</f>
        <v>480</v>
      </c>
      <c r="U153" s="71" t="s">
        <v>682</v>
      </c>
      <c r="V153">
        <f t="shared" ref="V153:V162" si="22">T153-F153</f>
        <v>480</v>
      </c>
      <c r="W153" s="71" t="s">
        <v>688</v>
      </c>
      <c r="X153" s="100">
        <f t="shared" ref="X153:X162" si="23">V153/T153</f>
        <v>1</v>
      </c>
    </row>
    <row r="154" spans="1:24" x14ac:dyDescent="0.2">
      <c r="A154" s="77" t="s">
        <v>645</v>
      </c>
      <c r="B154" s="78" t="s">
        <v>70</v>
      </c>
      <c r="C154" s="79" t="s">
        <v>535</v>
      </c>
      <c r="D154" s="79" t="s">
        <v>539</v>
      </c>
      <c r="E154" s="79" t="b">
        <v>1</v>
      </c>
      <c r="F154" s="18">
        <f>VLOOKUP($B154,Constraints!$C$2:$Z$86,16, FALSE)</f>
        <v>1560</v>
      </c>
      <c r="I154" s="18">
        <f t="shared" si="20"/>
        <v>1950</v>
      </c>
      <c r="L154" s="18">
        <f>VLOOKUP($B154,Constraints!$C$2:$AK$86,27, FALSE)</f>
        <v>52</v>
      </c>
      <c r="M154" t="s">
        <v>670</v>
      </c>
      <c r="N154" s="18">
        <f>VLOOKUP($B154,Constraints!$C$28:$F$86,4,FALSE)</f>
        <v>4000</v>
      </c>
      <c r="O154" t="str">
        <f>VLOOKUP($A154,'Capacity Name Ref'!$A$2:$G$16,6,FALSE)</f>
        <v>Local_Capacity_Margin</v>
      </c>
      <c r="P154">
        <f t="shared" si="21"/>
        <v>2440</v>
      </c>
      <c r="Q154" t="str">
        <f t="shared" si="12"/>
        <v>Local_Capacity_Margin%</v>
      </c>
      <c r="R154" s="100">
        <f t="shared" si="14"/>
        <v>0.61</v>
      </c>
      <c r="S154" s="71" t="s">
        <v>671</v>
      </c>
      <c r="T154">
        <f>VLOOKUP($B154,Constraints!$C$68:$H$78,6,FALSE)</f>
        <v>4000</v>
      </c>
      <c r="U154" s="71" t="s">
        <v>682</v>
      </c>
      <c r="V154">
        <f t="shared" si="22"/>
        <v>2440</v>
      </c>
      <c r="W154" s="71" t="s">
        <v>688</v>
      </c>
      <c r="X154" s="100">
        <f t="shared" si="23"/>
        <v>0.61</v>
      </c>
    </row>
    <row r="155" spans="1:24" x14ac:dyDescent="0.2">
      <c r="A155" s="77" t="s">
        <v>645</v>
      </c>
      <c r="B155" s="78" t="s">
        <v>73</v>
      </c>
      <c r="C155" s="79" t="s">
        <v>535</v>
      </c>
      <c r="D155" s="79" t="s">
        <v>539</v>
      </c>
      <c r="E155" s="79" t="b">
        <v>1</v>
      </c>
      <c r="F155" s="18">
        <f>VLOOKUP($B155,Constraints!$C$2:$Z$86,16, FALSE)</f>
        <v>0</v>
      </c>
      <c r="I155" s="18">
        <f t="shared" si="20"/>
        <v>0</v>
      </c>
      <c r="L155" s="18">
        <f>VLOOKUP($B155,Constraints!$C$2:$AK$86,27, FALSE)</f>
        <v>0</v>
      </c>
      <c r="M155" t="s">
        <v>670</v>
      </c>
      <c r="N155" s="18">
        <f>VLOOKUP($B155,Constraints!$C$28:$F$86,4,FALSE)</f>
        <v>2500</v>
      </c>
      <c r="O155" t="str">
        <f>VLOOKUP($A155,'Capacity Name Ref'!$A$2:$G$16,6,FALSE)</f>
        <v>Local_Capacity_Margin</v>
      </c>
      <c r="P155">
        <f t="shared" si="21"/>
        <v>2500</v>
      </c>
      <c r="Q155" t="str">
        <f t="shared" si="12"/>
        <v>Local_Capacity_Margin%</v>
      </c>
      <c r="R155" s="100">
        <f t="shared" si="14"/>
        <v>1</v>
      </c>
      <c r="S155" s="71" t="s">
        <v>671</v>
      </c>
      <c r="T155">
        <f>VLOOKUP($B155,Constraints!$C$68:$H$78,6,FALSE)</f>
        <v>3200</v>
      </c>
      <c r="U155" s="71" t="s">
        <v>682</v>
      </c>
      <c r="V155">
        <f t="shared" si="22"/>
        <v>3200</v>
      </c>
      <c r="W155" s="71" t="s">
        <v>688</v>
      </c>
      <c r="X155" s="100">
        <f t="shared" si="23"/>
        <v>1</v>
      </c>
    </row>
    <row r="156" spans="1:24" x14ac:dyDescent="0.2">
      <c r="A156" s="77" t="s">
        <v>645</v>
      </c>
      <c r="B156" s="78" t="s">
        <v>313</v>
      </c>
      <c r="C156" s="79" t="s">
        <v>535</v>
      </c>
      <c r="D156" s="79" t="s">
        <v>539</v>
      </c>
      <c r="E156" s="79" t="b">
        <v>1</v>
      </c>
      <c r="F156" s="18">
        <f>VLOOKUP($B156,Constraints!$C$2:$Z$86,16, FALSE)</f>
        <v>0</v>
      </c>
      <c r="I156" s="18">
        <f t="shared" si="20"/>
        <v>0</v>
      </c>
      <c r="L156" s="18">
        <f>VLOOKUP($B156,Constraints!$C$2:$AK$86,27, FALSE)</f>
        <v>0</v>
      </c>
      <c r="M156" t="s">
        <v>670</v>
      </c>
      <c r="N156" s="18">
        <f>VLOOKUP($B156,Constraints!$C$28:$F$86,4,FALSE)</f>
        <v>3000</v>
      </c>
      <c r="O156" t="str">
        <f>VLOOKUP($A156,'Capacity Name Ref'!$A$2:$G$16,6,FALSE)</f>
        <v>Local_Capacity_Margin</v>
      </c>
      <c r="P156">
        <f t="shared" si="21"/>
        <v>3000</v>
      </c>
      <c r="Q156" t="str">
        <f t="shared" si="12"/>
        <v>Local_Capacity_Margin%</v>
      </c>
      <c r="R156" s="100">
        <f t="shared" si="14"/>
        <v>1</v>
      </c>
      <c r="S156" s="71" t="s">
        <v>671</v>
      </c>
      <c r="T156">
        <f>VLOOKUP($B156,Constraints!$C$68:$H$78,6,FALSE)</f>
        <v>3200</v>
      </c>
      <c r="U156" s="71" t="s">
        <v>682</v>
      </c>
      <c r="V156">
        <f t="shared" si="22"/>
        <v>3200</v>
      </c>
      <c r="W156" s="71" t="s">
        <v>688</v>
      </c>
      <c r="X156" s="100">
        <f t="shared" si="23"/>
        <v>1</v>
      </c>
    </row>
    <row r="157" spans="1:24" x14ac:dyDescent="0.2">
      <c r="A157" s="77" t="s">
        <v>645</v>
      </c>
      <c r="B157" s="78" t="s">
        <v>71</v>
      </c>
      <c r="C157" s="79" t="s">
        <v>535</v>
      </c>
      <c r="D157" s="79" t="s">
        <v>539</v>
      </c>
      <c r="E157" s="79" t="b">
        <v>1</v>
      </c>
      <c r="F157" s="18">
        <f>VLOOKUP($B157,Constraints!$C$2:$Z$86,16, FALSE)</f>
        <v>840</v>
      </c>
      <c r="I157" s="18">
        <f t="shared" si="20"/>
        <v>1050</v>
      </c>
      <c r="L157" s="18">
        <f>VLOOKUP($B157,Constraints!$C$2:$AK$86,27, FALSE)</f>
        <v>0</v>
      </c>
      <c r="M157" t="s">
        <v>670</v>
      </c>
      <c r="N157" s="18">
        <f>VLOOKUP($B157,Constraints!$C$28:$F$86,4,FALSE)</f>
        <v>960</v>
      </c>
      <c r="O157" t="str">
        <f>VLOOKUP($A157,'Capacity Name Ref'!$A$2:$G$16,6,FALSE)</f>
        <v>Local_Capacity_Margin</v>
      </c>
      <c r="P157">
        <f t="shared" si="21"/>
        <v>120</v>
      </c>
      <c r="Q157" t="str">
        <f t="shared" ref="Q157:Q220" si="24">O157&amp;"%"</f>
        <v>Local_Capacity_Margin%</v>
      </c>
      <c r="R157" s="100">
        <f t="shared" si="14"/>
        <v>0.125</v>
      </c>
      <c r="S157" s="71" t="s">
        <v>671</v>
      </c>
      <c r="T157">
        <f>VLOOKUP($B157,Constraints!$C$68:$H$78,6,FALSE)</f>
        <v>960</v>
      </c>
      <c r="U157" s="71" t="s">
        <v>682</v>
      </c>
      <c r="V157">
        <f t="shared" si="22"/>
        <v>120</v>
      </c>
      <c r="W157" s="71" t="s">
        <v>688</v>
      </c>
      <c r="X157" s="100">
        <f t="shared" si="23"/>
        <v>0.125</v>
      </c>
    </row>
    <row r="158" spans="1:24" x14ac:dyDescent="0.2">
      <c r="A158" s="77" t="s">
        <v>645</v>
      </c>
      <c r="B158" s="78" t="s">
        <v>72</v>
      </c>
      <c r="C158" s="79" t="s">
        <v>535</v>
      </c>
      <c r="D158" s="79" t="s">
        <v>539</v>
      </c>
      <c r="E158" s="79" t="b">
        <v>1</v>
      </c>
      <c r="F158" s="18">
        <f>VLOOKUP($B158,Constraints!$C$2:$Z$86,16, FALSE)</f>
        <v>720</v>
      </c>
      <c r="I158" s="18">
        <f t="shared" si="20"/>
        <v>900</v>
      </c>
      <c r="L158" s="18">
        <f>VLOOKUP($B158,Constraints!$C$2:$AK$86,27, FALSE)</f>
        <v>0</v>
      </c>
      <c r="M158" t="s">
        <v>670</v>
      </c>
      <c r="N158" s="18">
        <f>VLOOKUP($B158,Constraints!$C$28:$F$86,4,FALSE)</f>
        <v>4000</v>
      </c>
      <c r="O158" t="str">
        <f>VLOOKUP($A158,'Capacity Name Ref'!$A$2:$G$16,6,FALSE)</f>
        <v>Local_Capacity_Margin</v>
      </c>
      <c r="P158">
        <f t="shared" si="21"/>
        <v>3280</v>
      </c>
      <c r="Q158" t="str">
        <f t="shared" si="24"/>
        <v>Local_Capacity_Margin%</v>
      </c>
      <c r="R158" s="100">
        <f t="shared" si="14"/>
        <v>0.82</v>
      </c>
      <c r="S158" s="71" t="s">
        <v>671</v>
      </c>
      <c r="T158">
        <f>VLOOKUP($B158,Constraints!$C$68:$H$78,6,FALSE)</f>
        <v>4000</v>
      </c>
      <c r="U158" s="71" t="s">
        <v>682</v>
      </c>
      <c r="V158">
        <f t="shared" si="22"/>
        <v>3280</v>
      </c>
      <c r="W158" s="71" t="s">
        <v>688</v>
      </c>
      <c r="X158" s="100">
        <f t="shared" si="23"/>
        <v>0.82</v>
      </c>
    </row>
    <row r="159" spans="1:24" x14ac:dyDescent="0.2">
      <c r="A159" s="77" t="s">
        <v>645</v>
      </c>
      <c r="B159" s="78" t="s">
        <v>314</v>
      </c>
      <c r="C159" s="79" t="s">
        <v>535</v>
      </c>
      <c r="D159" s="79" t="s">
        <v>539</v>
      </c>
      <c r="E159" s="79" t="b">
        <v>1</v>
      </c>
      <c r="F159" s="18">
        <f>VLOOKUP($B159,Constraints!$C$2:$Z$86,16, FALSE)</f>
        <v>0</v>
      </c>
      <c r="I159" s="18">
        <f t="shared" si="20"/>
        <v>0</v>
      </c>
      <c r="L159" s="18">
        <f>VLOOKUP($B159,Constraints!$C$2:$AK$86,27, FALSE)</f>
        <v>0</v>
      </c>
      <c r="M159" t="s">
        <v>670</v>
      </c>
      <c r="N159" s="18">
        <f>VLOOKUP($B159,Constraints!$C$28:$F$86,4,FALSE)</f>
        <v>3000</v>
      </c>
      <c r="O159" t="str">
        <f>VLOOKUP($A159,'Capacity Name Ref'!$A$2:$G$16,6,FALSE)</f>
        <v>Local_Capacity_Margin</v>
      </c>
      <c r="P159">
        <f t="shared" si="21"/>
        <v>3000</v>
      </c>
      <c r="Q159" t="str">
        <f t="shared" si="24"/>
        <v>Local_Capacity_Margin%</v>
      </c>
      <c r="R159" s="100">
        <f t="shared" si="14"/>
        <v>1</v>
      </c>
      <c r="S159" s="71" t="s">
        <v>671</v>
      </c>
      <c r="T159">
        <f>VLOOKUP($B159,Constraints!$C$68:$H$78,6,FALSE)</f>
        <v>3200</v>
      </c>
      <c r="U159" s="71" t="s">
        <v>682</v>
      </c>
      <c r="V159">
        <f t="shared" si="22"/>
        <v>3200</v>
      </c>
      <c r="W159" s="71" t="s">
        <v>688</v>
      </c>
      <c r="X159" s="100">
        <f t="shared" si="23"/>
        <v>1</v>
      </c>
    </row>
    <row r="160" spans="1:24" x14ac:dyDescent="0.2">
      <c r="A160" s="77" t="s">
        <v>531</v>
      </c>
      <c r="B160" s="78" t="s">
        <v>454</v>
      </c>
      <c r="C160" s="79" t="s">
        <v>535</v>
      </c>
      <c r="D160" s="79" t="s">
        <v>539</v>
      </c>
      <c r="E160" s="79" t="b">
        <v>1</v>
      </c>
      <c r="F160" s="18">
        <f>VLOOKUP($B160,Constraints!$C$2:$Z$86,16, FALSE)</f>
        <v>0</v>
      </c>
      <c r="I160" s="18">
        <f t="shared" si="20"/>
        <v>0</v>
      </c>
      <c r="L160" s="18">
        <f>VLOOKUP($B160,Constraints!$C$2:$AK$86,27, FALSE)</f>
        <v>0</v>
      </c>
      <c r="M160" t="s">
        <v>675</v>
      </c>
      <c r="N160" s="18">
        <f>VLOOKUP($B160,Constraints!$C$28:$F$86,4,FALSE)</f>
        <v>780</v>
      </c>
      <c r="O160" t="str">
        <f>VLOOKUP($A160,'Capacity Name Ref'!$A$2:$G$16,6,FALSE)</f>
        <v>Local_Capacity_Margin</v>
      </c>
      <c r="P160">
        <f t="shared" si="21"/>
        <v>780</v>
      </c>
      <c r="Q160" t="str">
        <f t="shared" si="24"/>
        <v>Local_Capacity_Margin%</v>
      </c>
      <c r="R160" s="100">
        <f t="shared" si="14"/>
        <v>1</v>
      </c>
      <c r="S160" s="71" t="s">
        <v>674</v>
      </c>
      <c r="T160">
        <f>VLOOKUP($B160,Constraints!$C$68:$H$78,6,FALSE)</f>
        <v>800</v>
      </c>
      <c r="U160" s="71" t="s">
        <v>682</v>
      </c>
      <c r="V160">
        <f t="shared" si="22"/>
        <v>800</v>
      </c>
      <c r="W160" s="71" t="s">
        <v>688</v>
      </c>
      <c r="X160" s="100">
        <f t="shared" si="23"/>
        <v>1</v>
      </c>
    </row>
    <row r="161" spans="1:24" x14ac:dyDescent="0.2">
      <c r="A161" s="77" t="s">
        <v>531</v>
      </c>
      <c r="B161" s="78" t="s">
        <v>293</v>
      </c>
      <c r="C161" s="79" t="s">
        <v>535</v>
      </c>
      <c r="D161" s="79" t="s">
        <v>539</v>
      </c>
      <c r="E161" s="79" t="b">
        <v>1</v>
      </c>
      <c r="F161" s="18">
        <f>VLOOKUP($B161,Constraints!$C$2:$Z$86,16, FALSE)</f>
        <v>1560</v>
      </c>
      <c r="I161" s="18">
        <f t="shared" si="20"/>
        <v>1950</v>
      </c>
      <c r="L161" s="18">
        <f>VLOOKUP($B161,Constraints!$C$2:$AK$86,27, FALSE)</f>
        <v>52</v>
      </c>
      <c r="M161" t="s">
        <v>675</v>
      </c>
      <c r="N161" s="18">
        <f>VLOOKUP($B161,Constraints!$C$28:$F$86,4,FALSE)</f>
        <v>9000</v>
      </c>
      <c r="O161" t="str">
        <f>VLOOKUP($A161,'Capacity Name Ref'!$A$2:$G$16,6,FALSE)</f>
        <v>Local_Capacity_Margin</v>
      </c>
      <c r="P161">
        <f t="shared" si="21"/>
        <v>7440</v>
      </c>
      <c r="Q161" t="str">
        <f t="shared" si="24"/>
        <v>Local_Capacity_Margin%</v>
      </c>
      <c r="R161" s="100">
        <f t="shared" si="14"/>
        <v>0.82666666666666666</v>
      </c>
      <c r="S161" s="71" t="s">
        <v>674</v>
      </c>
      <c r="T161">
        <f>VLOOKUP($B161,Constraints!$C$68:$H$78,6,FALSE)</f>
        <v>9600</v>
      </c>
      <c r="U161" s="71" t="s">
        <v>682</v>
      </c>
      <c r="V161">
        <f t="shared" si="22"/>
        <v>8040</v>
      </c>
      <c r="W161" s="71" t="s">
        <v>688</v>
      </c>
      <c r="X161" s="100">
        <f t="shared" si="23"/>
        <v>0.83750000000000002</v>
      </c>
    </row>
    <row r="162" spans="1:24" x14ac:dyDescent="0.2">
      <c r="A162" s="77" t="s">
        <v>531</v>
      </c>
      <c r="B162" s="78" t="s">
        <v>294</v>
      </c>
      <c r="C162" s="79" t="s">
        <v>535</v>
      </c>
      <c r="D162" s="79" t="s">
        <v>539</v>
      </c>
      <c r="E162" s="79" t="b">
        <v>1</v>
      </c>
      <c r="F162" s="18">
        <f>VLOOKUP($B162,Constraints!$C$2:$Z$86,16, FALSE)</f>
        <v>1560</v>
      </c>
      <c r="I162" s="18">
        <f t="shared" si="20"/>
        <v>1950</v>
      </c>
      <c r="L162" s="18">
        <f>VLOOKUP($B162,Constraints!$C$2:$AK$86,27, FALSE)</f>
        <v>0</v>
      </c>
      <c r="M162" t="s">
        <v>675</v>
      </c>
      <c r="N162" s="18">
        <f>VLOOKUP($B162,Constraints!$C$28:$F$86,4,FALSE)</f>
        <v>9000</v>
      </c>
      <c r="O162" t="str">
        <f>VLOOKUP($A162,'Capacity Name Ref'!$A$2:$G$16,6,FALSE)</f>
        <v>Local_Capacity_Margin</v>
      </c>
      <c r="P162">
        <f t="shared" si="21"/>
        <v>7440</v>
      </c>
      <c r="Q162" t="str">
        <f t="shared" si="24"/>
        <v>Local_Capacity_Margin%</v>
      </c>
      <c r="R162" s="100">
        <f t="shared" si="14"/>
        <v>0.82666666666666666</v>
      </c>
      <c r="S162" s="71" t="s">
        <v>674</v>
      </c>
      <c r="T162">
        <f>VLOOKUP($B162,Constraints!$C$68:$H$78,6,FALSE)</f>
        <v>9600</v>
      </c>
      <c r="U162" s="71" t="s">
        <v>682</v>
      </c>
      <c r="V162">
        <f t="shared" si="22"/>
        <v>8040</v>
      </c>
      <c r="W162" s="71" t="s">
        <v>688</v>
      </c>
      <c r="X162" s="100">
        <f t="shared" si="23"/>
        <v>0.83750000000000002</v>
      </c>
    </row>
    <row r="163" spans="1:24" x14ac:dyDescent="0.2">
      <c r="A163" s="77" t="s">
        <v>259</v>
      </c>
      <c r="B163" s="79" t="s">
        <v>281</v>
      </c>
      <c r="C163" s="79" t="s">
        <v>535</v>
      </c>
      <c r="D163" s="79" t="s">
        <v>539</v>
      </c>
      <c r="E163" s="79" t="b">
        <v>1</v>
      </c>
      <c r="G163" s="18">
        <f>VLOOKUP($B163,Constraints!$C$2:$Z$86,16, FALSE)</f>
        <v>1170</v>
      </c>
      <c r="J163" s="18">
        <f>G163/0.8</f>
        <v>1462.5</v>
      </c>
      <c r="L163" s="18">
        <f>VLOOKUP($B163,Constraints!$C$2:$AK$86,27, FALSE)</f>
        <v>52</v>
      </c>
      <c r="N163" s="18">
        <f>VLOOKUP($B163,Constraints!$C$28:$F$86,4,FALSE)</f>
        <v>2000</v>
      </c>
      <c r="O163" t="str">
        <f>VLOOKUP($A163,'Capacity Name Ref'!$A$2:$G$16,6,FALSE)</f>
        <v>Local_Capacity_Margin</v>
      </c>
      <c r="P163">
        <f t="shared" si="21"/>
        <v>2000</v>
      </c>
      <c r="Q163" t="str">
        <f t="shared" si="24"/>
        <v>Local_Capacity_Margin%</v>
      </c>
      <c r="R163" s="100">
        <f t="shared" si="14"/>
        <v>1</v>
      </c>
    </row>
    <row r="164" spans="1:24" x14ac:dyDescent="0.2">
      <c r="A164" s="77" t="s">
        <v>259</v>
      </c>
      <c r="B164" s="79" t="s">
        <v>283</v>
      </c>
      <c r="C164" s="79" t="s">
        <v>535</v>
      </c>
      <c r="D164" s="79" t="s">
        <v>539</v>
      </c>
      <c r="E164" s="79" t="b">
        <v>1</v>
      </c>
      <c r="H164" s="18">
        <f>VLOOKUP($B164,Constraints!$C$2:$Z$86,16, FALSE)</f>
        <v>390</v>
      </c>
      <c r="K164" s="18">
        <f>H164/0.8</f>
        <v>487.5</v>
      </c>
      <c r="L164" s="18">
        <f>VLOOKUP($B164,Constraints!$C$2:$AK$86,27, FALSE)</f>
        <v>52</v>
      </c>
      <c r="N164" s="18">
        <f>VLOOKUP($B164,Constraints!$C$28:$F$86,4,FALSE)</f>
        <v>7000</v>
      </c>
      <c r="O164" t="str">
        <f>VLOOKUP($A164,'Capacity Name Ref'!$A$2:$G$16,6,FALSE)</f>
        <v>Local_Capacity_Margin</v>
      </c>
      <c r="P164">
        <f t="shared" si="21"/>
        <v>7000</v>
      </c>
      <c r="Q164" t="str">
        <f t="shared" si="24"/>
        <v>Local_Capacity_Margin%</v>
      </c>
      <c r="R164" s="100">
        <f t="shared" si="14"/>
        <v>1</v>
      </c>
    </row>
    <row r="165" spans="1:24" x14ac:dyDescent="0.2">
      <c r="A165" s="77" t="s">
        <v>295</v>
      </c>
      <c r="B165" s="80" t="s">
        <v>455</v>
      </c>
      <c r="C165" s="79" t="s">
        <v>535</v>
      </c>
      <c r="D165" s="79" t="s">
        <v>539</v>
      </c>
      <c r="E165" s="79" t="b">
        <v>1</v>
      </c>
      <c r="F165" s="18">
        <f>VLOOKUP($B165,Constraints!$C$2:$Z$86,16, FALSE)</f>
        <v>0</v>
      </c>
      <c r="I165" s="18">
        <f t="shared" ref="I165:I169" si="25">F165/0.8</f>
        <v>0</v>
      </c>
      <c r="L165" s="18">
        <f>VLOOKUP($B165,Constraints!$C$2:$AK$86,27, FALSE)</f>
        <v>0</v>
      </c>
      <c r="M165" t="s">
        <v>676</v>
      </c>
      <c r="N165" s="18">
        <f>VLOOKUP($B165,Constraints!$C$28:$F$86,4,FALSE)</f>
        <v>920</v>
      </c>
      <c r="O165" t="str">
        <f>VLOOKUP($A165,'Capacity Name Ref'!$A$2:$G$16,6,FALSE)</f>
        <v>Cell_Margin</v>
      </c>
      <c r="P165">
        <f t="shared" si="21"/>
        <v>920</v>
      </c>
      <c r="Q165" t="str">
        <f t="shared" si="24"/>
        <v>Cell_Margin%</v>
      </c>
      <c r="R165" s="100">
        <f t="shared" si="14"/>
        <v>1</v>
      </c>
    </row>
    <row r="166" spans="1:24" x14ac:dyDescent="0.2">
      <c r="A166" s="77" t="s">
        <v>295</v>
      </c>
      <c r="B166" s="80" t="s">
        <v>385</v>
      </c>
      <c r="C166" s="79" t="s">
        <v>535</v>
      </c>
      <c r="D166" s="79" t="s">
        <v>539</v>
      </c>
      <c r="E166" s="79" t="b">
        <v>1</v>
      </c>
      <c r="F166" s="18">
        <f>VLOOKUP($B166,Constraints!$C$2:$Z$86,16, FALSE)</f>
        <v>1560</v>
      </c>
      <c r="I166" s="18">
        <f t="shared" si="25"/>
        <v>1950</v>
      </c>
      <c r="L166" s="18">
        <f>VLOOKUP($B166,Constraints!$C$2:$AK$86,27, FALSE)</f>
        <v>52</v>
      </c>
      <c r="M166" t="s">
        <v>676</v>
      </c>
      <c r="N166" s="18">
        <f>VLOOKUP($B166,Constraints!$C$28:$F$86,4,FALSE)</f>
        <v>3680</v>
      </c>
      <c r="O166" t="str">
        <f>VLOOKUP($A166,'Capacity Name Ref'!$A$2:$G$16,6,FALSE)</f>
        <v>Cell_Margin</v>
      </c>
      <c r="P166">
        <f t="shared" si="21"/>
        <v>2120</v>
      </c>
      <c r="Q166" t="str">
        <f t="shared" si="24"/>
        <v>Cell_Margin%</v>
      </c>
      <c r="R166" s="100">
        <f t="shared" si="14"/>
        <v>0.57608695652173914</v>
      </c>
    </row>
    <row r="167" spans="1:24" x14ac:dyDescent="0.2">
      <c r="A167" s="77" t="s">
        <v>295</v>
      </c>
      <c r="B167" s="80" t="s">
        <v>386</v>
      </c>
      <c r="C167" s="79" t="s">
        <v>535</v>
      </c>
      <c r="D167" s="79" t="s">
        <v>539</v>
      </c>
      <c r="E167" s="79" t="b">
        <v>1</v>
      </c>
      <c r="F167" s="18">
        <f>VLOOKUP($B167,Constraints!$C$2:$Z$86,16, FALSE)</f>
        <v>0</v>
      </c>
      <c r="I167" s="18">
        <f t="shared" si="25"/>
        <v>0</v>
      </c>
      <c r="L167" s="18">
        <f>VLOOKUP($B167,Constraints!$C$2:$AK$86,27, FALSE)</f>
        <v>0</v>
      </c>
      <c r="M167" t="s">
        <v>676</v>
      </c>
      <c r="N167" s="18">
        <f>VLOOKUP($B167,Constraints!$C$28:$F$86,4,FALSE)</f>
        <v>680</v>
      </c>
      <c r="O167" t="str">
        <f>VLOOKUP($A167,'Capacity Name Ref'!$A$2:$G$16,6,FALSE)</f>
        <v>Cell_Margin</v>
      </c>
      <c r="P167">
        <f t="shared" si="21"/>
        <v>680</v>
      </c>
      <c r="Q167" t="str">
        <f t="shared" si="24"/>
        <v>Cell_Margin%</v>
      </c>
      <c r="R167" s="100">
        <f t="shared" si="14"/>
        <v>1</v>
      </c>
    </row>
    <row r="168" spans="1:24" x14ac:dyDescent="0.2">
      <c r="A168" s="77" t="s">
        <v>295</v>
      </c>
      <c r="B168" s="80" t="s">
        <v>388</v>
      </c>
      <c r="C168" s="79" t="s">
        <v>535</v>
      </c>
      <c r="D168" s="79" t="s">
        <v>539</v>
      </c>
      <c r="E168" s="79" t="b">
        <v>1</v>
      </c>
      <c r="F168" s="18">
        <f>VLOOKUP($B168,Constraints!$C$2:$Z$86,16, FALSE)</f>
        <v>0</v>
      </c>
      <c r="I168" s="18">
        <f t="shared" si="25"/>
        <v>0</v>
      </c>
      <c r="L168" s="18">
        <f>VLOOKUP($B168,Constraints!$C$2:$AK$86,27, FALSE)</f>
        <v>0</v>
      </c>
      <c r="M168" t="s">
        <v>676</v>
      </c>
      <c r="N168" s="18">
        <f>VLOOKUP($B168,Constraints!$C$28:$F$86,4,FALSE)</f>
        <v>1770</v>
      </c>
      <c r="O168" t="str">
        <f>VLOOKUP($A168,'Capacity Name Ref'!$A$2:$G$16,6,FALSE)</f>
        <v>Cell_Margin</v>
      </c>
      <c r="P168">
        <f t="shared" si="21"/>
        <v>1770</v>
      </c>
      <c r="Q168" t="str">
        <f t="shared" si="24"/>
        <v>Cell_Margin%</v>
      </c>
      <c r="R168" s="100">
        <f t="shared" si="14"/>
        <v>1</v>
      </c>
    </row>
    <row r="169" spans="1:24" x14ac:dyDescent="0.2">
      <c r="A169" s="77" t="s">
        <v>295</v>
      </c>
      <c r="B169" s="80" t="s">
        <v>387</v>
      </c>
      <c r="C169" s="79" t="s">
        <v>535</v>
      </c>
      <c r="D169" s="79" t="s">
        <v>539</v>
      </c>
      <c r="E169" s="79" t="b">
        <v>1</v>
      </c>
      <c r="F169" s="18">
        <f>VLOOKUP($B169,Constraints!$C$2:$Z$86,16, FALSE)</f>
        <v>0</v>
      </c>
      <c r="I169" s="18">
        <f t="shared" si="25"/>
        <v>0</v>
      </c>
      <c r="L169" s="18">
        <f>VLOOKUP($B169,Constraints!$C$2:$AK$86,27, FALSE)</f>
        <v>0</v>
      </c>
      <c r="M169" t="s">
        <v>676</v>
      </c>
      <c r="N169" s="18">
        <f>VLOOKUP($B169,Constraints!$C$28:$F$86,4,FALSE)</f>
        <v>1770</v>
      </c>
      <c r="O169" t="str">
        <f>VLOOKUP($A169,'Capacity Name Ref'!$A$2:$G$16,6,FALSE)</f>
        <v>Cell_Margin</v>
      </c>
      <c r="P169">
        <f t="shared" si="21"/>
        <v>1770</v>
      </c>
      <c r="Q169" t="str">
        <f t="shared" si="24"/>
        <v>Cell_Margin%</v>
      </c>
      <c r="R169" s="100">
        <f t="shared" si="14"/>
        <v>1</v>
      </c>
    </row>
    <row r="170" spans="1:24" x14ac:dyDescent="0.2">
      <c r="A170" s="40" t="s">
        <v>6</v>
      </c>
      <c r="B170" s="81" t="s">
        <v>466</v>
      </c>
      <c r="C170" s="3" t="s">
        <v>535</v>
      </c>
      <c r="D170" s="3" t="s">
        <v>540</v>
      </c>
      <c r="E170" s="3" t="b">
        <v>1</v>
      </c>
      <c r="F170" s="18">
        <f>VLOOKUP($B170,Constraints!$C$2:$Z$86,17, FALSE)</f>
        <v>0</v>
      </c>
      <c r="I170" s="18">
        <f>F170/0.8</f>
        <v>0</v>
      </c>
      <c r="L170" s="18">
        <f>VLOOKUP($B170,Constraints!$C$2:$AK$86,28, FALSE)</f>
        <v>0</v>
      </c>
      <c r="N170" s="18"/>
    </row>
    <row r="171" spans="1:24" x14ac:dyDescent="0.2">
      <c r="A171" s="40" t="s">
        <v>6</v>
      </c>
      <c r="B171" s="81" t="s">
        <v>467</v>
      </c>
      <c r="C171" s="3" t="s">
        <v>535</v>
      </c>
      <c r="D171" s="3" t="s">
        <v>540</v>
      </c>
      <c r="E171" s="3" t="b">
        <v>1</v>
      </c>
      <c r="F171" s="18">
        <f>VLOOKUP($B171,Constraints!$C$2:$Z$86,17, FALSE)</f>
        <v>0</v>
      </c>
      <c r="I171" s="18">
        <f t="shared" ref="I171:I219" si="26">F171/0.8</f>
        <v>0</v>
      </c>
      <c r="L171" s="18">
        <f>VLOOKUP($B171,Constraints!$C$2:$AK$86,28, FALSE)</f>
        <v>0</v>
      </c>
      <c r="N171" s="18"/>
    </row>
    <row r="172" spans="1:24" x14ac:dyDescent="0.2">
      <c r="A172" s="40" t="s">
        <v>6</v>
      </c>
      <c r="B172" s="81" t="s">
        <v>468</v>
      </c>
      <c r="C172" s="3" t="s">
        <v>535</v>
      </c>
      <c r="D172" s="3" t="s">
        <v>540</v>
      </c>
      <c r="E172" s="3" t="b">
        <v>1</v>
      </c>
      <c r="F172" s="18">
        <f>VLOOKUP($B172,Constraints!$C$2:$Z$86,17, FALSE)</f>
        <v>0</v>
      </c>
      <c r="I172" s="18">
        <f t="shared" si="26"/>
        <v>0</v>
      </c>
      <c r="L172" s="18">
        <f>VLOOKUP($B172,Constraints!$C$2:$AK$86,28, FALSE)</f>
        <v>0</v>
      </c>
      <c r="N172" s="18"/>
    </row>
    <row r="173" spans="1:24" x14ac:dyDescent="0.2">
      <c r="A173" s="40" t="s">
        <v>6</v>
      </c>
      <c r="B173" s="81" t="s">
        <v>469</v>
      </c>
      <c r="C173" s="3" t="s">
        <v>535</v>
      </c>
      <c r="D173" s="3" t="s">
        <v>540</v>
      </c>
      <c r="E173" s="3" t="b">
        <v>1</v>
      </c>
      <c r="F173" s="18">
        <f>VLOOKUP($B173,Constraints!$C$2:$Z$86,17, FALSE)</f>
        <v>0</v>
      </c>
      <c r="I173" s="18">
        <f t="shared" si="26"/>
        <v>0</v>
      </c>
      <c r="L173" s="18">
        <f>VLOOKUP($B173,Constraints!$C$2:$AK$86,28, FALSE)</f>
        <v>0</v>
      </c>
      <c r="N173" s="18"/>
    </row>
    <row r="174" spans="1:24" x14ac:dyDescent="0.2">
      <c r="A174" s="40" t="s">
        <v>6</v>
      </c>
      <c r="B174" s="81" t="s">
        <v>470</v>
      </c>
      <c r="C174" s="3" t="s">
        <v>535</v>
      </c>
      <c r="D174" s="3" t="s">
        <v>540</v>
      </c>
      <c r="E174" s="3" t="b">
        <v>1</v>
      </c>
      <c r="F174" s="18">
        <f>VLOOKUP($B174,Constraints!$C$2:$Z$86,17, FALSE)</f>
        <v>0</v>
      </c>
      <c r="I174" s="18">
        <f t="shared" si="26"/>
        <v>0</v>
      </c>
      <c r="L174" s="18">
        <f>VLOOKUP($B174,Constraints!$C$2:$AK$86,28, FALSE)</f>
        <v>0</v>
      </c>
      <c r="N174" s="18"/>
    </row>
    <row r="175" spans="1:24" x14ac:dyDescent="0.2">
      <c r="A175" s="40" t="s">
        <v>6</v>
      </c>
      <c r="B175" s="81" t="s">
        <v>471</v>
      </c>
      <c r="C175" s="3" t="s">
        <v>535</v>
      </c>
      <c r="D175" s="3" t="s">
        <v>540</v>
      </c>
      <c r="E175" s="3" t="b">
        <v>1</v>
      </c>
      <c r="F175" s="18">
        <f>VLOOKUP($B175,Constraints!$C$2:$Z$86,17, FALSE)</f>
        <v>0</v>
      </c>
      <c r="I175" s="18">
        <f t="shared" si="26"/>
        <v>0</v>
      </c>
      <c r="L175" s="18">
        <f>VLOOKUP($B175,Constraints!$C$2:$AK$86,28, FALSE)</f>
        <v>0</v>
      </c>
      <c r="N175" s="18"/>
    </row>
    <row r="176" spans="1:24" x14ac:dyDescent="0.2">
      <c r="A176" s="40" t="s">
        <v>6</v>
      </c>
      <c r="B176" s="81" t="s">
        <v>472</v>
      </c>
      <c r="C176" s="3" t="s">
        <v>535</v>
      </c>
      <c r="D176" s="3" t="s">
        <v>540</v>
      </c>
      <c r="E176" s="3" t="b">
        <v>1</v>
      </c>
      <c r="F176" s="18">
        <f>VLOOKUP($B176,Constraints!$C$2:$Z$86,17, FALSE)</f>
        <v>0</v>
      </c>
      <c r="I176" s="18">
        <f t="shared" si="26"/>
        <v>0</v>
      </c>
      <c r="L176" s="18">
        <f>VLOOKUP($B176,Constraints!$C$2:$AK$86,28, FALSE)</f>
        <v>0</v>
      </c>
      <c r="N176" s="18"/>
    </row>
    <row r="177" spans="1:14" x14ac:dyDescent="0.2">
      <c r="A177" s="40" t="s">
        <v>6</v>
      </c>
      <c r="B177" s="81" t="s">
        <v>473</v>
      </c>
      <c r="C177" s="3" t="s">
        <v>535</v>
      </c>
      <c r="D177" s="3" t="s">
        <v>540</v>
      </c>
      <c r="E177" s="3" t="b">
        <v>1</v>
      </c>
      <c r="F177" s="18">
        <f>VLOOKUP($B177,Constraints!$C$2:$Z$86,17, FALSE)</f>
        <v>0</v>
      </c>
      <c r="I177" s="18">
        <f t="shared" si="26"/>
        <v>0</v>
      </c>
      <c r="L177" s="18">
        <f>VLOOKUP($B177,Constraints!$C$2:$AK$86,28, FALSE)</f>
        <v>0</v>
      </c>
      <c r="N177" s="18"/>
    </row>
    <row r="178" spans="1:14" x14ac:dyDescent="0.2">
      <c r="A178" s="40" t="s">
        <v>6</v>
      </c>
      <c r="B178" s="81" t="s">
        <v>84</v>
      </c>
      <c r="C178" s="3" t="s">
        <v>535</v>
      </c>
      <c r="D178" s="3" t="s">
        <v>540</v>
      </c>
      <c r="E178" s="3" t="b">
        <v>1</v>
      </c>
      <c r="F178" s="18">
        <f>VLOOKUP($B178,Constraints!$C$2:$Z$86,17, FALSE)</f>
        <v>0</v>
      </c>
      <c r="I178" s="18">
        <f t="shared" si="26"/>
        <v>0</v>
      </c>
      <c r="L178" s="18">
        <f>VLOOKUP($B178,Constraints!$C$2:$AK$86,28, FALSE)</f>
        <v>0</v>
      </c>
      <c r="N178" s="18"/>
    </row>
    <row r="179" spans="1:14" x14ac:dyDescent="0.2">
      <c r="A179" s="40" t="s">
        <v>6</v>
      </c>
      <c r="B179" s="81" t="s">
        <v>97</v>
      </c>
      <c r="C179" s="3" t="s">
        <v>535</v>
      </c>
      <c r="D179" s="3" t="s">
        <v>540</v>
      </c>
      <c r="E179" s="3" t="b">
        <v>1</v>
      </c>
      <c r="F179" s="18">
        <f>VLOOKUP($B179,Constraints!$C$2:$Z$86,17, FALSE)</f>
        <v>0</v>
      </c>
      <c r="I179" s="18">
        <f t="shared" si="26"/>
        <v>0</v>
      </c>
      <c r="L179" s="18">
        <f>VLOOKUP($B179,Constraints!$C$2:$AK$86,28, FALSE)</f>
        <v>0</v>
      </c>
      <c r="N179" s="18"/>
    </row>
    <row r="180" spans="1:14" x14ac:dyDescent="0.2">
      <c r="A180" s="40" t="s">
        <v>6</v>
      </c>
      <c r="B180" s="81" t="s">
        <v>111</v>
      </c>
      <c r="C180" s="3" t="s">
        <v>535</v>
      </c>
      <c r="D180" s="3" t="s">
        <v>540</v>
      </c>
      <c r="E180" s="3" t="b">
        <v>1</v>
      </c>
      <c r="F180" s="18">
        <f>VLOOKUP($B180,Constraints!$C$2:$Z$86,17, FALSE)</f>
        <v>0</v>
      </c>
      <c r="I180" s="18">
        <f t="shared" si="26"/>
        <v>0</v>
      </c>
      <c r="L180" s="18">
        <f>VLOOKUP($B180,Constraints!$C$2:$AK$86,28, FALSE)</f>
        <v>0</v>
      </c>
      <c r="N180" s="18"/>
    </row>
    <row r="181" spans="1:14" x14ac:dyDescent="0.2">
      <c r="A181" s="40" t="s">
        <v>6</v>
      </c>
      <c r="B181" s="81" t="s">
        <v>124</v>
      </c>
      <c r="C181" s="3" t="s">
        <v>535</v>
      </c>
      <c r="D181" s="3" t="s">
        <v>540</v>
      </c>
      <c r="E181" s="3" t="b">
        <v>1</v>
      </c>
      <c r="F181" s="18">
        <f>VLOOKUP($B181,Constraints!$C$2:$Z$86,17, FALSE)</f>
        <v>0</v>
      </c>
      <c r="I181" s="18">
        <f t="shared" si="26"/>
        <v>0</v>
      </c>
      <c r="L181" s="18">
        <f>VLOOKUP($B181,Constraints!$C$2:$AK$86,28, FALSE)</f>
        <v>0</v>
      </c>
      <c r="N181" s="18"/>
    </row>
    <row r="182" spans="1:14" x14ac:dyDescent="0.2">
      <c r="A182" s="40" t="s">
        <v>6</v>
      </c>
      <c r="B182" s="81" t="s">
        <v>138</v>
      </c>
      <c r="C182" s="3" t="s">
        <v>535</v>
      </c>
      <c r="D182" s="3" t="s">
        <v>540</v>
      </c>
      <c r="E182" s="3" t="b">
        <v>1</v>
      </c>
      <c r="F182" s="18">
        <f>VLOOKUP($B182,Constraints!$C$2:$Z$86,17, FALSE)</f>
        <v>0</v>
      </c>
      <c r="I182" s="18">
        <f t="shared" si="26"/>
        <v>0</v>
      </c>
      <c r="L182" s="18">
        <f>VLOOKUP($B182,Constraints!$C$2:$AK$86,28, FALSE)</f>
        <v>0</v>
      </c>
      <c r="N182" s="18"/>
    </row>
    <row r="183" spans="1:14" x14ac:dyDescent="0.2">
      <c r="A183" s="40" t="s">
        <v>6</v>
      </c>
      <c r="B183" s="81" t="s">
        <v>151</v>
      </c>
      <c r="C183" s="3" t="s">
        <v>535</v>
      </c>
      <c r="D183" s="3" t="s">
        <v>540</v>
      </c>
      <c r="E183" s="3" t="b">
        <v>1</v>
      </c>
      <c r="F183" s="18">
        <f>VLOOKUP($B183,Constraints!$C$2:$Z$86,17, FALSE)</f>
        <v>0</v>
      </c>
      <c r="I183" s="18">
        <f t="shared" si="26"/>
        <v>0</v>
      </c>
      <c r="L183" s="18">
        <f>VLOOKUP($B183,Constraints!$C$2:$AK$86,28, FALSE)</f>
        <v>0</v>
      </c>
      <c r="N183" s="18"/>
    </row>
    <row r="184" spans="1:14" x14ac:dyDescent="0.2">
      <c r="A184" s="40" t="s">
        <v>6</v>
      </c>
      <c r="B184" s="81" t="s">
        <v>165</v>
      </c>
      <c r="C184" s="3" t="s">
        <v>535</v>
      </c>
      <c r="D184" s="3" t="s">
        <v>540</v>
      </c>
      <c r="E184" s="3" t="b">
        <v>1</v>
      </c>
      <c r="F184" s="18">
        <f>VLOOKUP($B184,Constraints!$C$2:$Z$86,17, FALSE)</f>
        <v>240</v>
      </c>
      <c r="I184" s="18">
        <f t="shared" si="26"/>
        <v>300</v>
      </c>
      <c r="L184" s="18">
        <f>VLOOKUP($B184,Constraints!$C$2:$AK$86,28, FALSE)</f>
        <v>8</v>
      </c>
      <c r="N184" s="18"/>
    </row>
    <row r="185" spans="1:14" x14ac:dyDescent="0.2">
      <c r="A185" s="40" t="s">
        <v>6</v>
      </c>
      <c r="B185" s="81" t="s">
        <v>178</v>
      </c>
      <c r="C185" s="3" t="s">
        <v>535</v>
      </c>
      <c r="D185" s="3" t="s">
        <v>540</v>
      </c>
      <c r="E185" s="3" t="b">
        <v>1</v>
      </c>
      <c r="F185" s="18">
        <f>VLOOKUP($B185,Constraints!$C$2:$Z$86,17, FALSE)</f>
        <v>240</v>
      </c>
      <c r="I185" s="18">
        <f t="shared" si="26"/>
        <v>300</v>
      </c>
      <c r="L185" s="18">
        <f>VLOOKUP($B185,Constraints!$C$2:$AK$86,28, FALSE)</f>
        <v>8</v>
      </c>
      <c r="N185" s="18"/>
    </row>
    <row r="186" spans="1:14" x14ac:dyDescent="0.2">
      <c r="A186" s="40" t="s">
        <v>6</v>
      </c>
      <c r="B186" s="81" t="s">
        <v>192</v>
      </c>
      <c r="C186" s="3" t="s">
        <v>535</v>
      </c>
      <c r="D186" s="3" t="s">
        <v>540</v>
      </c>
      <c r="E186" s="3" t="b">
        <v>1</v>
      </c>
      <c r="F186" s="18">
        <f>VLOOKUP($B186,Constraints!$C$2:$Z$86,17, FALSE)</f>
        <v>360</v>
      </c>
      <c r="I186" s="18">
        <f t="shared" si="26"/>
        <v>450</v>
      </c>
      <c r="L186" s="18">
        <f>VLOOKUP($B186,Constraints!$C$2:$AK$86,28, FALSE)</f>
        <v>12</v>
      </c>
      <c r="N186" s="18"/>
    </row>
    <row r="187" spans="1:14" x14ac:dyDescent="0.2">
      <c r="A187" s="40" t="s">
        <v>6</v>
      </c>
      <c r="B187" s="81" t="s">
        <v>205</v>
      </c>
      <c r="C187" s="3" t="s">
        <v>535</v>
      </c>
      <c r="D187" s="3" t="s">
        <v>540</v>
      </c>
      <c r="E187" s="3" t="b">
        <v>1</v>
      </c>
      <c r="F187" s="18">
        <f>VLOOKUP($B187,Constraints!$C$2:$Z$86,17, FALSE)</f>
        <v>360</v>
      </c>
      <c r="I187" s="18">
        <f t="shared" si="26"/>
        <v>450</v>
      </c>
      <c r="L187" s="18">
        <f>VLOOKUP($B187,Constraints!$C$2:$AK$86,28, FALSE)</f>
        <v>12</v>
      </c>
      <c r="N187" s="18"/>
    </row>
    <row r="188" spans="1:14" x14ac:dyDescent="0.2">
      <c r="A188" s="40" t="s">
        <v>6</v>
      </c>
      <c r="B188" s="81" t="s">
        <v>219</v>
      </c>
      <c r="C188" s="3" t="s">
        <v>535</v>
      </c>
      <c r="D188" s="3" t="s">
        <v>540</v>
      </c>
      <c r="E188" s="3" t="b">
        <v>1</v>
      </c>
      <c r="F188" s="18">
        <f>VLOOKUP($B188,Constraints!$C$2:$Z$86,17, FALSE)</f>
        <v>360</v>
      </c>
      <c r="I188" s="18">
        <f t="shared" si="26"/>
        <v>450</v>
      </c>
      <c r="L188" s="18">
        <f>VLOOKUP($B188,Constraints!$C$2:$AK$86,28, FALSE)</f>
        <v>12</v>
      </c>
      <c r="N188" s="18"/>
    </row>
    <row r="189" spans="1:14" x14ac:dyDescent="0.2">
      <c r="A189" s="40" t="s">
        <v>6</v>
      </c>
      <c r="B189" s="81" t="s">
        <v>232</v>
      </c>
      <c r="C189" s="3" t="s">
        <v>535</v>
      </c>
      <c r="D189" s="3" t="s">
        <v>540</v>
      </c>
      <c r="E189" s="3" t="b">
        <v>1</v>
      </c>
      <c r="F189" s="18">
        <f>VLOOKUP($B189,Constraints!$C$2:$Z$86,17, FALSE)</f>
        <v>0</v>
      </c>
      <c r="I189" s="18">
        <f t="shared" si="26"/>
        <v>0</v>
      </c>
      <c r="L189" s="18">
        <f>VLOOKUP($B189,Constraints!$C$2:$AK$86,28, FALSE)</f>
        <v>0</v>
      </c>
      <c r="N189" s="18"/>
    </row>
    <row r="190" spans="1:14" x14ac:dyDescent="0.2">
      <c r="A190" s="40" t="s">
        <v>6</v>
      </c>
      <c r="B190" s="81" t="s">
        <v>38</v>
      </c>
      <c r="C190" s="3" t="s">
        <v>535</v>
      </c>
      <c r="D190" s="3" t="s">
        <v>540</v>
      </c>
      <c r="E190" s="3" t="b">
        <v>1</v>
      </c>
      <c r="F190" s="18">
        <f>VLOOKUP($B190,Constraints!$C$2:$Z$86,17, FALSE)</f>
        <v>0</v>
      </c>
      <c r="I190" s="18">
        <f t="shared" si="26"/>
        <v>0</v>
      </c>
      <c r="L190" s="18">
        <f>VLOOKUP($B190,Constraints!$C$2:$AK$86,28, FALSE)</f>
        <v>0</v>
      </c>
      <c r="N190" s="18"/>
    </row>
    <row r="191" spans="1:14" x14ac:dyDescent="0.2">
      <c r="A191" s="40" t="s">
        <v>6</v>
      </c>
      <c r="B191" s="81" t="s">
        <v>302</v>
      </c>
      <c r="C191" s="3" t="s">
        <v>535</v>
      </c>
      <c r="D191" s="3" t="s">
        <v>540</v>
      </c>
      <c r="E191" s="3" t="b">
        <v>1</v>
      </c>
      <c r="F191" s="18">
        <f>VLOOKUP($B191,Constraints!$C$2:$Z$86,17, FALSE)</f>
        <v>0</v>
      </c>
      <c r="I191" s="18">
        <f t="shared" si="26"/>
        <v>0</v>
      </c>
      <c r="L191" s="18">
        <f>VLOOKUP($B191,Constraints!$C$2:$AK$86,28, FALSE)</f>
        <v>0</v>
      </c>
      <c r="N191" s="18"/>
    </row>
    <row r="192" spans="1:14" x14ac:dyDescent="0.2">
      <c r="A192" s="40" t="s">
        <v>6</v>
      </c>
      <c r="B192" s="81" t="s">
        <v>379</v>
      </c>
      <c r="C192" s="3" t="s">
        <v>535</v>
      </c>
      <c r="D192" s="3" t="s">
        <v>540</v>
      </c>
      <c r="E192" s="3" t="b">
        <v>1</v>
      </c>
      <c r="F192" s="18">
        <f>VLOOKUP($B192,Constraints!$C$2:$Z$86,17, FALSE)</f>
        <v>0</v>
      </c>
      <c r="I192" s="18">
        <f t="shared" si="26"/>
        <v>0</v>
      </c>
      <c r="L192" s="18">
        <f>VLOOKUP($B192,Constraints!$C$2:$AK$86,28, FALSE)</f>
        <v>0</v>
      </c>
      <c r="N192" s="18"/>
    </row>
    <row r="193" spans="1:18" x14ac:dyDescent="0.2">
      <c r="A193" s="40" t="s">
        <v>6</v>
      </c>
      <c r="B193" s="81" t="s">
        <v>380</v>
      </c>
      <c r="C193" s="3" t="s">
        <v>535</v>
      </c>
      <c r="D193" s="3" t="s">
        <v>540</v>
      </c>
      <c r="E193" s="3" t="b">
        <v>1</v>
      </c>
      <c r="F193" s="18">
        <f>VLOOKUP($B193,Constraints!$C$2:$Z$86,17, FALSE)</f>
        <v>0</v>
      </c>
      <c r="I193" s="18">
        <f t="shared" si="26"/>
        <v>0</v>
      </c>
      <c r="L193" s="18">
        <f>VLOOKUP($B193,Constraints!$C$2:$AK$86,28, FALSE)</f>
        <v>0</v>
      </c>
      <c r="N193" s="18"/>
    </row>
    <row r="194" spans="1:18" x14ac:dyDescent="0.2">
      <c r="A194" s="40" t="s">
        <v>6</v>
      </c>
      <c r="B194" s="81" t="s">
        <v>381</v>
      </c>
      <c r="C194" s="3" t="s">
        <v>535</v>
      </c>
      <c r="D194" s="3" t="s">
        <v>540</v>
      </c>
      <c r="E194" s="3" t="b">
        <v>1</v>
      </c>
      <c r="F194" s="18">
        <f>VLOOKUP($B194,Constraints!$C$2:$Z$86,17, FALSE)</f>
        <v>0</v>
      </c>
      <c r="I194" s="18">
        <f t="shared" si="26"/>
        <v>0</v>
      </c>
      <c r="L194" s="18">
        <f>VLOOKUP($B194,Constraints!$C$2:$AK$86,28, FALSE)</f>
        <v>0</v>
      </c>
      <c r="N194" s="18"/>
    </row>
    <row r="195" spans="1:18" x14ac:dyDescent="0.2">
      <c r="A195" s="40" t="s">
        <v>6</v>
      </c>
      <c r="B195" s="81" t="s">
        <v>382</v>
      </c>
      <c r="C195" s="3" t="s">
        <v>535</v>
      </c>
      <c r="D195" s="3" t="s">
        <v>540</v>
      </c>
      <c r="E195" s="3" t="b">
        <v>1</v>
      </c>
      <c r="F195" s="18">
        <f>VLOOKUP($B195,Constraints!$C$2:$Z$86,17, FALSE)</f>
        <v>0</v>
      </c>
      <c r="I195" s="18">
        <f t="shared" si="26"/>
        <v>0</v>
      </c>
      <c r="L195" s="18">
        <f>VLOOKUP($B195,Constraints!$C$2:$AK$86,28, FALSE)</f>
        <v>0</v>
      </c>
      <c r="N195" s="18"/>
    </row>
    <row r="196" spans="1:18" x14ac:dyDescent="0.2">
      <c r="A196" s="40" t="s">
        <v>530</v>
      </c>
      <c r="B196" s="81" t="s">
        <v>448</v>
      </c>
      <c r="C196" s="3" t="s">
        <v>535</v>
      </c>
      <c r="D196" s="3" t="s">
        <v>540</v>
      </c>
      <c r="E196" s="3" t="b">
        <v>1</v>
      </c>
      <c r="F196" s="18">
        <f>VLOOKUP($B196,Constraints!$C$2:$Z$86,17, FALSE)</f>
        <v>0</v>
      </c>
      <c r="I196" s="18">
        <f t="shared" si="26"/>
        <v>0</v>
      </c>
      <c r="L196" s="18">
        <f>VLOOKUP($B196,Constraints!$C$2:$AK$86,28, FALSE)</f>
        <v>0</v>
      </c>
      <c r="M196" t="s">
        <v>664</v>
      </c>
      <c r="N196" s="18">
        <f>VLOOKUP($B196,Constraints!$C$28:$F$86,4,FALSE)</f>
        <v>230</v>
      </c>
      <c r="O196" t="str">
        <f>VLOOKUP($A196,'Capacity Name Ref'!$A$2:$G$16,6,FALSE)</f>
        <v>Device_Capacity_Margin</v>
      </c>
      <c r="P196">
        <f>N196-F196</f>
        <v>230</v>
      </c>
      <c r="Q196" t="str">
        <f t="shared" si="24"/>
        <v>Device_Capacity_Margin%</v>
      </c>
      <c r="R196" s="100">
        <f>P196/N196</f>
        <v>1</v>
      </c>
    </row>
    <row r="197" spans="1:18" x14ac:dyDescent="0.2">
      <c r="A197" s="40" t="s">
        <v>530</v>
      </c>
      <c r="B197" s="81" t="s">
        <v>449</v>
      </c>
      <c r="C197" s="3" t="s">
        <v>535</v>
      </c>
      <c r="D197" s="3" t="s">
        <v>540</v>
      </c>
      <c r="E197" s="3" t="b">
        <v>1</v>
      </c>
      <c r="F197" s="18">
        <f>VLOOKUP($B197,Constraints!$C$2:$Z$86,17, FALSE)</f>
        <v>0</v>
      </c>
      <c r="I197" s="18">
        <f t="shared" si="26"/>
        <v>0</v>
      </c>
      <c r="L197" s="18">
        <f>VLOOKUP($B197,Constraints!$C$2:$AK$86,28, FALSE)</f>
        <v>0</v>
      </c>
      <c r="M197" t="s">
        <v>664</v>
      </c>
      <c r="N197" s="18">
        <f>VLOOKUP($B197,Constraints!$C$28:$F$86,4,FALSE)</f>
        <v>230</v>
      </c>
      <c r="O197" t="str">
        <f>VLOOKUP($A197,'Capacity Name Ref'!$A$2:$G$16,6,FALSE)</f>
        <v>Device_Capacity_Margin</v>
      </c>
      <c r="P197">
        <f t="shared" ref="P197:P219" si="27">N197-F197</f>
        <v>230</v>
      </c>
      <c r="Q197" t="str">
        <f t="shared" si="24"/>
        <v>Device_Capacity_Margin%</v>
      </c>
      <c r="R197" s="100">
        <f t="shared" ref="R197:R253" si="28">P197/N197</f>
        <v>1</v>
      </c>
    </row>
    <row r="198" spans="1:18" x14ac:dyDescent="0.2">
      <c r="A198" s="40" t="s">
        <v>530</v>
      </c>
      <c r="B198" s="81" t="s">
        <v>450</v>
      </c>
      <c r="C198" s="3" t="s">
        <v>535</v>
      </c>
      <c r="D198" s="3" t="s">
        <v>540</v>
      </c>
      <c r="E198" s="3" t="b">
        <v>1</v>
      </c>
      <c r="F198" s="18">
        <f>VLOOKUP($B198,Constraints!$C$2:$Z$86,17, FALSE)</f>
        <v>0</v>
      </c>
      <c r="I198" s="18">
        <f t="shared" si="26"/>
        <v>0</v>
      </c>
      <c r="L198" s="18">
        <f>VLOOKUP($B198,Constraints!$C$2:$AK$86,28, FALSE)</f>
        <v>0</v>
      </c>
      <c r="M198" t="s">
        <v>664</v>
      </c>
      <c r="N198" s="18">
        <f>VLOOKUP($B198,Constraints!$C$28:$F$86,4,FALSE)</f>
        <v>230</v>
      </c>
      <c r="O198" t="str">
        <f>VLOOKUP($A198,'Capacity Name Ref'!$A$2:$G$16,6,FALSE)</f>
        <v>Device_Capacity_Margin</v>
      </c>
      <c r="P198">
        <f t="shared" si="27"/>
        <v>230</v>
      </c>
      <c r="Q198" t="str">
        <f t="shared" si="24"/>
        <v>Device_Capacity_Margin%</v>
      </c>
      <c r="R198" s="100">
        <f t="shared" si="28"/>
        <v>1</v>
      </c>
    </row>
    <row r="199" spans="1:18" x14ac:dyDescent="0.2">
      <c r="A199" s="40" t="s">
        <v>530</v>
      </c>
      <c r="B199" s="81" t="s">
        <v>451</v>
      </c>
      <c r="C199" s="3" t="s">
        <v>535</v>
      </c>
      <c r="D199" s="3" t="s">
        <v>540</v>
      </c>
      <c r="E199" s="3" t="b">
        <v>1</v>
      </c>
      <c r="F199" s="18">
        <f>VLOOKUP($B199,Constraints!$C$2:$Z$86,17, FALSE)</f>
        <v>0</v>
      </c>
      <c r="I199" s="18">
        <f t="shared" si="26"/>
        <v>0</v>
      </c>
      <c r="L199" s="18">
        <f>VLOOKUP($B199,Constraints!$C$2:$AK$86,28, FALSE)</f>
        <v>0</v>
      </c>
      <c r="M199" t="s">
        <v>664</v>
      </c>
      <c r="N199" s="18">
        <f>VLOOKUP($B199,Constraints!$C$28:$F$86,4,FALSE)</f>
        <v>230</v>
      </c>
      <c r="O199" t="str">
        <f>VLOOKUP($A199,'Capacity Name Ref'!$A$2:$G$16,6,FALSE)</f>
        <v>Device_Capacity_Margin</v>
      </c>
      <c r="P199">
        <f t="shared" si="27"/>
        <v>230</v>
      </c>
      <c r="Q199" t="str">
        <f t="shared" si="24"/>
        <v>Device_Capacity_Margin%</v>
      </c>
      <c r="R199" s="100">
        <f t="shared" si="28"/>
        <v>1</v>
      </c>
    </row>
    <row r="200" spans="1:18" x14ac:dyDescent="0.2">
      <c r="A200" s="40" t="s">
        <v>530</v>
      </c>
      <c r="B200" s="81" t="s">
        <v>27</v>
      </c>
      <c r="C200" s="3" t="s">
        <v>535</v>
      </c>
      <c r="D200" s="3" t="s">
        <v>540</v>
      </c>
      <c r="E200" s="3" t="b">
        <v>1</v>
      </c>
      <c r="F200" s="18">
        <f>VLOOKUP($B200,Constraints!$C$2:$Z$86,17, FALSE)</f>
        <v>0</v>
      </c>
      <c r="I200" s="18">
        <f t="shared" si="26"/>
        <v>0</v>
      </c>
      <c r="L200" s="18">
        <f>VLOOKUP($B200,Constraints!$C$2:$AK$86,28, FALSE)</f>
        <v>0</v>
      </c>
      <c r="M200" t="s">
        <v>664</v>
      </c>
      <c r="N200" s="18">
        <f>VLOOKUP($B200,Constraints!$C$28:$F$86,4,FALSE)</f>
        <v>920</v>
      </c>
      <c r="O200" t="str">
        <f>VLOOKUP($A200,'Capacity Name Ref'!$A$2:$G$16,6,FALSE)</f>
        <v>Device_Capacity_Margin</v>
      </c>
      <c r="P200">
        <f t="shared" si="27"/>
        <v>920</v>
      </c>
      <c r="Q200" t="str">
        <f t="shared" si="24"/>
        <v>Device_Capacity_Margin%</v>
      </c>
      <c r="R200" s="100">
        <f t="shared" si="28"/>
        <v>1</v>
      </c>
    </row>
    <row r="201" spans="1:18" x14ac:dyDescent="0.2">
      <c r="A201" s="40" t="s">
        <v>530</v>
      </c>
      <c r="B201" s="81" t="s">
        <v>30</v>
      </c>
      <c r="C201" s="3" t="s">
        <v>535</v>
      </c>
      <c r="D201" s="3" t="s">
        <v>540</v>
      </c>
      <c r="E201" s="3" t="b">
        <v>1</v>
      </c>
      <c r="F201" s="18">
        <f>VLOOKUP($B201,Constraints!$C$2:$Z$86,17, FALSE)</f>
        <v>0</v>
      </c>
      <c r="I201" s="18">
        <f t="shared" si="26"/>
        <v>0</v>
      </c>
      <c r="L201" s="18">
        <f>VLOOKUP($B201,Constraints!$C$2:$AK$86,28, FALSE)</f>
        <v>0</v>
      </c>
      <c r="M201" t="s">
        <v>664</v>
      </c>
      <c r="N201" s="18">
        <f>VLOOKUP($B201,Constraints!$C$28:$F$86,4,FALSE)</f>
        <v>920</v>
      </c>
      <c r="O201" t="str">
        <f>VLOOKUP($A201,'Capacity Name Ref'!$A$2:$G$16,6,FALSE)</f>
        <v>Device_Capacity_Margin</v>
      </c>
      <c r="P201">
        <f t="shared" si="27"/>
        <v>920</v>
      </c>
      <c r="Q201" t="str">
        <f t="shared" si="24"/>
        <v>Device_Capacity_Margin%</v>
      </c>
      <c r="R201" s="100">
        <f t="shared" si="28"/>
        <v>1</v>
      </c>
    </row>
    <row r="202" spans="1:18" x14ac:dyDescent="0.2">
      <c r="A202" s="40" t="s">
        <v>530</v>
      </c>
      <c r="B202" s="81" t="s">
        <v>32</v>
      </c>
      <c r="C202" s="3" t="s">
        <v>535</v>
      </c>
      <c r="D202" s="3" t="s">
        <v>540</v>
      </c>
      <c r="E202" s="3" t="b">
        <v>1</v>
      </c>
      <c r="F202" s="18">
        <f>VLOOKUP($B202,Constraints!$C$2:$Z$86,17, FALSE)</f>
        <v>780</v>
      </c>
      <c r="I202" s="18">
        <f t="shared" si="26"/>
        <v>975</v>
      </c>
      <c r="L202" s="18">
        <f>VLOOKUP($B202,Constraints!$C$2:$AK$86,28, FALSE)</f>
        <v>26</v>
      </c>
      <c r="M202" t="s">
        <v>664</v>
      </c>
      <c r="N202" s="18">
        <f>VLOOKUP($B202,Constraints!$C$28:$F$86,4,FALSE)</f>
        <v>920</v>
      </c>
      <c r="O202" t="str">
        <f>VLOOKUP($A202,'Capacity Name Ref'!$A$2:$G$16,6,FALSE)</f>
        <v>Device_Capacity_Margin</v>
      </c>
      <c r="P202">
        <f t="shared" si="27"/>
        <v>140</v>
      </c>
      <c r="Q202" t="str">
        <f t="shared" si="24"/>
        <v>Device_Capacity_Margin%</v>
      </c>
      <c r="R202" s="100">
        <f t="shared" si="28"/>
        <v>0.15217391304347827</v>
      </c>
    </row>
    <row r="203" spans="1:18" x14ac:dyDescent="0.2">
      <c r="A203" s="40" t="s">
        <v>530</v>
      </c>
      <c r="B203" s="81" t="s">
        <v>33</v>
      </c>
      <c r="C203" s="3" t="s">
        <v>535</v>
      </c>
      <c r="D203" s="3" t="s">
        <v>540</v>
      </c>
      <c r="E203" s="3" t="b">
        <v>1</v>
      </c>
      <c r="F203" s="18">
        <f>VLOOKUP($B203,Constraints!$C$2:$Z$86,17, FALSE)</f>
        <v>780</v>
      </c>
      <c r="I203" s="18">
        <f t="shared" si="26"/>
        <v>975</v>
      </c>
      <c r="L203" s="18">
        <f>VLOOKUP($B203,Constraints!$C$2:$AK$86,28, FALSE)</f>
        <v>26</v>
      </c>
      <c r="M203" t="s">
        <v>664</v>
      </c>
      <c r="N203" s="18">
        <f>VLOOKUP($B203,Constraints!$C$28:$F$86,4,FALSE)</f>
        <v>920</v>
      </c>
      <c r="O203" t="str">
        <f>VLOOKUP($A203,'Capacity Name Ref'!$A$2:$G$16,6,FALSE)</f>
        <v>Device_Capacity_Margin</v>
      </c>
      <c r="P203">
        <f t="shared" si="27"/>
        <v>140</v>
      </c>
      <c r="Q203" t="str">
        <f t="shared" si="24"/>
        <v>Device_Capacity_Margin%</v>
      </c>
      <c r="R203" s="100">
        <f t="shared" si="28"/>
        <v>0.15217391304347827</v>
      </c>
    </row>
    <row r="204" spans="1:18" x14ac:dyDescent="0.2">
      <c r="A204" s="40" t="s">
        <v>530</v>
      </c>
      <c r="B204" s="81" t="s">
        <v>64</v>
      </c>
      <c r="C204" s="3" t="s">
        <v>535</v>
      </c>
      <c r="D204" s="3" t="s">
        <v>540</v>
      </c>
      <c r="E204" s="3" t="b">
        <v>1</v>
      </c>
      <c r="F204" s="18">
        <f>VLOOKUP($B204,Constraints!$C$2:$Z$86,17, FALSE)</f>
        <v>0</v>
      </c>
      <c r="I204" s="18">
        <f t="shared" si="26"/>
        <v>0</v>
      </c>
      <c r="L204" s="18">
        <f>VLOOKUP($B204,Constraints!$C$2:$AK$86,28, FALSE)</f>
        <v>0</v>
      </c>
      <c r="M204" t="s">
        <v>664</v>
      </c>
      <c r="N204" s="18">
        <f>VLOOKUP($B204,Constraints!$C$28:$F$86,4,FALSE)</f>
        <v>345</v>
      </c>
      <c r="O204" t="str">
        <f>VLOOKUP($A204,'Capacity Name Ref'!$A$2:$G$16,6,FALSE)</f>
        <v>Device_Capacity_Margin</v>
      </c>
      <c r="P204">
        <f t="shared" si="27"/>
        <v>345</v>
      </c>
      <c r="Q204" t="str">
        <f t="shared" si="24"/>
        <v>Device_Capacity_Margin%</v>
      </c>
      <c r="R204" s="100">
        <f t="shared" si="28"/>
        <v>1</v>
      </c>
    </row>
    <row r="205" spans="1:18" x14ac:dyDescent="0.2">
      <c r="A205" s="40" t="s">
        <v>530</v>
      </c>
      <c r="B205" s="81" t="s">
        <v>65</v>
      </c>
      <c r="C205" s="3" t="s">
        <v>535</v>
      </c>
      <c r="D205" s="3" t="s">
        <v>540</v>
      </c>
      <c r="E205" s="3" t="b">
        <v>1</v>
      </c>
      <c r="F205" s="18">
        <f>VLOOKUP($B205,Constraints!$C$2:$Z$86,17, FALSE)</f>
        <v>0</v>
      </c>
      <c r="I205" s="18">
        <f t="shared" si="26"/>
        <v>0</v>
      </c>
      <c r="L205" s="18">
        <f>VLOOKUP($B205,Constraints!$C$2:$AK$86,28, FALSE)</f>
        <v>0</v>
      </c>
      <c r="M205" t="s">
        <v>664</v>
      </c>
      <c r="N205" s="18">
        <f>VLOOKUP($B205,Constraints!$C$28:$F$86,4,FALSE)</f>
        <v>345</v>
      </c>
      <c r="O205" t="str">
        <f>VLOOKUP($A205,'Capacity Name Ref'!$A$2:$G$16,6,FALSE)</f>
        <v>Device_Capacity_Margin</v>
      </c>
      <c r="P205">
        <f t="shared" si="27"/>
        <v>345</v>
      </c>
      <c r="Q205" t="str">
        <f t="shared" si="24"/>
        <v>Device_Capacity_Margin%</v>
      </c>
      <c r="R205" s="100">
        <f t="shared" si="28"/>
        <v>1</v>
      </c>
    </row>
    <row r="206" spans="1:18" x14ac:dyDescent="0.2">
      <c r="A206" s="40" t="s">
        <v>530</v>
      </c>
      <c r="B206" s="81" t="s">
        <v>305</v>
      </c>
      <c r="C206" s="3" t="s">
        <v>535</v>
      </c>
      <c r="D206" s="3" t="s">
        <v>540</v>
      </c>
      <c r="E206" s="3" t="b">
        <v>1</v>
      </c>
      <c r="F206" s="18">
        <f>VLOOKUP($B206,Constraints!$C$2:$Z$86,17, FALSE)</f>
        <v>0</v>
      </c>
      <c r="I206" s="18">
        <f t="shared" si="26"/>
        <v>0</v>
      </c>
      <c r="L206" s="18">
        <f>VLOOKUP($B206,Constraints!$C$2:$AK$86,28, FALSE)</f>
        <v>0</v>
      </c>
      <c r="M206" t="s">
        <v>664</v>
      </c>
      <c r="N206" s="18">
        <f>VLOOKUP($B206,Constraints!$C$28:$F$86,4,FALSE)</f>
        <v>920</v>
      </c>
      <c r="O206" t="str">
        <f>VLOOKUP($A206,'Capacity Name Ref'!$A$2:$G$16,6,FALSE)</f>
        <v>Device_Capacity_Margin</v>
      </c>
      <c r="P206">
        <f t="shared" si="27"/>
        <v>920</v>
      </c>
      <c r="Q206" t="str">
        <f t="shared" si="24"/>
        <v>Device_Capacity_Margin%</v>
      </c>
      <c r="R206" s="100">
        <f t="shared" si="28"/>
        <v>1</v>
      </c>
    </row>
    <row r="207" spans="1:18" x14ac:dyDescent="0.2">
      <c r="A207" s="40" t="s">
        <v>530</v>
      </c>
      <c r="B207" s="81" t="s">
        <v>307</v>
      </c>
      <c r="C207" s="3" t="s">
        <v>535</v>
      </c>
      <c r="D207" s="3" t="s">
        <v>540</v>
      </c>
      <c r="E207" s="3" t="b">
        <v>1</v>
      </c>
      <c r="F207" s="18">
        <f>VLOOKUP($B207,Constraints!$C$2:$Z$86,17, FALSE)</f>
        <v>0</v>
      </c>
      <c r="I207" s="18">
        <f t="shared" si="26"/>
        <v>0</v>
      </c>
      <c r="L207" s="18">
        <f>VLOOKUP($B207,Constraints!$C$2:$AK$86,28, FALSE)</f>
        <v>0</v>
      </c>
      <c r="M207" t="s">
        <v>664</v>
      </c>
      <c r="N207" s="18">
        <f>VLOOKUP($B207,Constraints!$C$28:$F$86,4,FALSE)</f>
        <v>920</v>
      </c>
      <c r="O207" t="str">
        <f>VLOOKUP($A207,'Capacity Name Ref'!$A$2:$G$16,6,FALSE)</f>
        <v>Device_Capacity_Margin</v>
      </c>
      <c r="P207">
        <f t="shared" si="27"/>
        <v>920</v>
      </c>
      <c r="Q207" t="str">
        <f t="shared" si="24"/>
        <v>Device_Capacity_Margin%</v>
      </c>
      <c r="R207" s="100">
        <f t="shared" si="28"/>
        <v>1</v>
      </c>
    </row>
    <row r="208" spans="1:18" x14ac:dyDescent="0.2">
      <c r="A208" s="40" t="s">
        <v>530</v>
      </c>
      <c r="B208" s="81" t="s">
        <v>309</v>
      </c>
      <c r="C208" s="3" t="s">
        <v>535</v>
      </c>
      <c r="D208" s="3" t="s">
        <v>540</v>
      </c>
      <c r="E208" s="3" t="b">
        <v>1</v>
      </c>
      <c r="F208" s="18">
        <f>VLOOKUP($B208,Constraints!$C$2:$Z$86,17, FALSE)</f>
        <v>0</v>
      </c>
      <c r="I208" s="18">
        <f t="shared" si="26"/>
        <v>0</v>
      </c>
      <c r="L208" s="18">
        <f>VLOOKUP($B208,Constraints!$C$2:$AK$86,28, FALSE)</f>
        <v>0</v>
      </c>
      <c r="M208" t="s">
        <v>664</v>
      </c>
      <c r="N208" s="18">
        <f>VLOOKUP($B208,Constraints!$C$28:$F$86,4,FALSE)</f>
        <v>920</v>
      </c>
      <c r="O208" t="str">
        <f>VLOOKUP($A208,'Capacity Name Ref'!$A$2:$G$16,6,FALSE)</f>
        <v>Device_Capacity_Margin</v>
      </c>
      <c r="P208">
        <f t="shared" si="27"/>
        <v>920</v>
      </c>
      <c r="Q208" t="str">
        <f t="shared" si="24"/>
        <v>Device_Capacity_Margin%</v>
      </c>
      <c r="R208" s="100">
        <f t="shared" si="28"/>
        <v>1</v>
      </c>
    </row>
    <row r="209" spans="1:18" x14ac:dyDescent="0.2">
      <c r="A209" s="40" t="s">
        <v>530</v>
      </c>
      <c r="B209" s="81" t="s">
        <v>311</v>
      </c>
      <c r="C209" s="3" t="s">
        <v>535</v>
      </c>
      <c r="D209" s="3" t="s">
        <v>540</v>
      </c>
      <c r="E209" s="3" t="b">
        <v>1</v>
      </c>
      <c r="F209" s="18">
        <f>VLOOKUP($B209,Constraints!$C$2:$Z$86,17, FALSE)</f>
        <v>0</v>
      </c>
      <c r="I209" s="18">
        <f t="shared" si="26"/>
        <v>0</v>
      </c>
      <c r="L209" s="18">
        <f>VLOOKUP($B209,Constraints!$C$2:$AK$86,28, FALSE)</f>
        <v>0</v>
      </c>
      <c r="M209" t="s">
        <v>664</v>
      </c>
      <c r="N209" s="18">
        <f>VLOOKUP($B209,Constraints!$C$28:$F$86,4,FALSE)</f>
        <v>920</v>
      </c>
      <c r="O209" t="str">
        <f>VLOOKUP($A209,'Capacity Name Ref'!$A$2:$G$16,6,FALSE)</f>
        <v>Device_Capacity_Margin</v>
      </c>
      <c r="P209">
        <f t="shared" si="27"/>
        <v>920</v>
      </c>
      <c r="Q209" t="str">
        <f t="shared" si="24"/>
        <v>Device_Capacity_Margin%</v>
      </c>
      <c r="R209" s="100">
        <f t="shared" si="28"/>
        <v>1</v>
      </c>
    </row>
    <row r="210" spans="1:18" x14ac:dyDescent="0.2">
      <c r="A210" s="40" t="s">
        <v>530</v>
      </c>
      <c r="B210" s="81" t="s">
        <v>29</v>
      </c>
      <c r="C210" s="3" t="s">
        <v>535</v>
      </c>
      <c r="D210" s="3" t="s">
        <v>540</v>
      </c>
      <c r="E210" s="3" t="b">
        <v>1</v>
      </c>
      <c r="F210" s="18">
        <f>VLOOKUP($B210,Constraints!$C$2:$Z$86,17, FALSE)</f>
        <v>420</v>
      </c>
      <c r="I210" s="18">
        <f t="shared" si="26"/>
        <v>525</v>
      </c>
      <c r="L210" s="18">
        <f>VLOOKUP($B210,Constraints!$C$2:$AK$86,28, FALSE)</f>
        <v>0</v>
      </c>
      <c r="M210" t="s">
        <v>664</v>
      </c>
      <c r="N210" s="18">
        <f>VLOOKUP($B210,Constraints!$C$28:$F$86,4,FALSE)</f>
        <v>1380</v>
      </c>
      <c r="O210" t="str">
        <f>VLOOKUP($A210,'Capacity Name Ref'!$A$2:$G$16,6,FALSE)</f>
        <v>Device_Capacity_Margin</v>
      </c>
      <c r="P210">
        <f t="shared" si="27"/>
        <v>960</v>
      </c>
      <c r="Q210" t="str">
        <f t="shared" si="24"/>
        <v>Device_Capacity_Margin%</v>
      </c>
      <c r="R210" s="100">
        <f t="shared" si="28"/>
        <v>0.69565217391304346</v>
      </c>
    </row>
    <row r="211" spans="1:18" x14ac:dyDescent="0.2">
      <c r="A211" s="40" t="s">
        <v>530</v>
      </c>
      <c r="B211" s="81" t="s">
        <v>28</v>
      </c>
      <c r="C211" s="3" t="s">
        <v>535</v>
      </c>
      <c r="D211" s="3" t="s">
        <v>540</v>
      </c>
      <c r="E211" s="3" t="b">
        <v>1</v>
      </c>
      <c r="F211" s="18">
        <f>VLOOKUP($B211,Constraints!$C$2:$Z$86,17, FALSE)</f>
        <v>240</v>
      </c>
      <c r="I211" s="18">
        <f t="shared" si="26"/>
        <v>300</v>
      </c>
      <c r="L211" s="18">
        <f>VLOOKUP($B211,Constraints!$C$2:$AK$86,28, FALSE)</f>
        <v>0</v>
      </c>
      <c r="M211" t="s">
        <v>664</v>
      </c>
      <c r="N211" s="18">
        <f>VLOOKUP($B211,Constraints!$C$28:$F$86,4,FALSE)</f>
        <v>1380</v>
      </c>
      <c r="O211" t="str">
        <f>VLOOKUP($A211,'Capacity Name Ref'!$A$2:$G$16,6,FALSE)</f>
        <v>Device_Capacity_Margin</v>
      </c>
      <c r="P211">
        <f t="shared" si="27"/>
        <v>1140</v>
      </c>
      <c r="Q211" t="str">
        <f t="shared" si="24"/>
        <v>Device_Capacity_Margin%</v>
      </c>
      <c r="R211" s="100">
        <f t="shared" si="28"/>
        <v>0.82608695652173914</v>
      </c>
    </row>
    <row r="212" spans="1:18" x14ac:dyDescent="0.2">
      <c r="A212" s="40" t="s">
        <v>530</v>
      </c>
      <c r="B212" s="81" t="s">
        <v>31</v>
      </c>
      <c r="C212" s="3" t="s">
        <v>535</v>
      </c>
      <c r="D212" s="3" t="s">
        <v>540</v>
      </c>
      <c r="E212" s="3" t="b">
        <v>1</v>
      </c>
      <c r="F212" s="18">
        <f>VLOOKUP($B212,Constraints!$C$2:$Z$86,17, FALSE)</f>
        <v>0</v>
      </c>
      <c r="I212" s="18">
        <f t="shared" si="26"/>
        <v>0</v>
      </c>
      <c r="L212" s="18">
        <f>VLOOKUP($B212,Constraints!$C$2:$AK$86,28, FALSE)</f>
        <v>0</v>
      </c>
      <c r="M212" t="s">
        <v>664</v>
      </c>
      <c r="N212" s="18">
        <f>VLOOKUP($B212,Constraints!$C$28:$F$86,4,FALSE)</f>
        <v>920</v>
      </c>
      <c r="O212" t="str">
        <f>VLOOKUP($A212,'Capacity Name Ref'!$A$2:$G$16,6,FALSE)</f>
        <v>Device_Capacity_Margin</v>
      </c>
      <c r="P212">
        <f t="shared" si="27"/>
        <v>920</v>
      </c>
      <c r="Q212" t="str">
        <f t="shared" si="24"/>
        <v>Device_Capacity_Margin%</v>
      </c>
      <c r="R212" s="100">
        <f t="shared" si="28"/>
        <v>1</v>
      </c>
    </row>
    <row r="213" spans="1:18" x14ac:dyDescent="0.2">
      <c r="A213" s="40" t="s">
        <v>530</v>
      </c>
      <c r="B213" s="81" t="s">
        <v>34</v>
      </c>
      <c r="C213" s="3" t="s">
        <v>535</v>
      </c>
      <c r="D213" s="3" t="s">
        <v>540</v>
      </c>
      <c r="E213" s="3" t="b">
        <v>1</v>
      </c>
      <c r="F213" s="18">
        <f>VLOOKUP($B213,Constraints!$C$2:$Z$86,17, FALSE)</f>
        <v>900</v>
      </c>
      <c r="I213" s="18">
        <f t="shared" si="26"/>
        <v>1125</v>
      </c>
      <c r="L213" s="18">
        <f>VLOOKUP($B213,Constraints!$C$2:$AK$86,28, FALSE)</f>
        <v>0</v>
      </c>
      <c r="M213" t="s">
        <v>664</v>
      </c>
      <c r="N213" s="18">
        <f>VLOOKUP($B213,Constraints!$C$28:$F$86,4,FALSE)</f>
        <v>1380</v>
      </c>
      <c r="O213" t="str">
        <f>VLOOKUP($A213,'Capacity Name Ref'!$A$2:$G$16,6,FALSE)</f>
        <v>Device_Capacity_Margin</v>
      </c>
      <c r="P213">
        <f t="shared" si="27"/>
        <v>480</v>
      </c>
      <c r="Q213" t="str">
        <f t="shared" si="24"/>
        <v>Device_Capacity_Margin%</v>
      </c>
      <c r="R213" s="100">
        <f t="shared" si="28"/>
        <v>0.34782608695652173</v>
      </c>
    </row>
    <row r="214" spans="1:18" x14ac:dyDescent="0.2">
      <c r="A214" s="40" t="s">
        <v>530</v>
      </c>
      <c r="B214" s="81" t="s">
        <v>66</v>
      </c>
      <c r="C214" s="3" t="s">
        <v>535</v>
      </c>
      <c r="D214" s="3" t="s">
        <v>540</v>
      </c>
      <c r="E214" s="3" t="b">
        <v>1</v>
      </c>
      <c r="F214" s="18">
        <f>VLOOKUP($B214,Constraints!$C$2:$Z$86,17, FALSE)</f>
        <v>0</v>
      </c>
      <c r="I214" s="18">
        <f t="shared" si="26"/>
        <v>0</v>
      </c>
      <c r="L214" s="18">
        <f>VLOOKUP($B214,Constraints!$C$2:$AK$86,28, FALSE)</f>
        <v>0</v>
      </c>
      <c r="M214" t="s">
        <v>664</v>
      </c>
      <c r="N214" s="18">
        <f>VLOOKUP($B214,Constraints!$C$28:$F$86,4,FALSE)</f>
        <v>345</v>
      </c>
      <c r="O214" t="str">
        <f>VLOOKUP($A214,'Capacity Name Ref'!$A$2:$G$16,6,FALSE)</f>
        <v>Device_Capacity_Margin</v>
      </c>
      <c r="P214">
        <f t="shared" si="27"/>
        <v>345</v>
      </c>
      <c r="Q214" t="str">
        <f t="shared" si="24"/>
        <v>Device_Capacity_Margin%</v>
      </c>
      <c r="R214" s="100">
        <f t="shared" si="28"/>
        <v>1</v>
      </c>
    </row>
    <row r="215" spans="1:18" x14ac:dyDescent="0.2">
      <c r="A215" s="40" t="s">
        <v>530</v>
      </c>
      <c r="B215" s="81" t="s">
        <v>67</v>
      </c>
      <c r="C215" s="3" t="s">
        <v>535</v>
      </c>
      <c r="D215" s="3" t="s">
        <v>540</v>
      </c>
      <c r="E215" s="3" t="b">
        <v>1</v>
      </c>
      <c r="F215" s="18">
        <f>VLOOKUP($B215,Constraints!$C$2:$Z$86,17, FALSE)</f>
        <v>0</v>
      </c>
      <c r="I215" s="18">
        <f t="shared" si="26"/>
        <v>0</v>
      </c>
      <c r="L215" s="18">
        <f>VLOOKUP($B215,Constraints!$C$2:$AK$86,28, FALSE)</f>
        <v>0</v>
      </c>
      <c r="M215" t="s">
        <v>664</v>
      </c>
      <c r="N215" s="18">
        <f>VLOOKUP($B215,Constraints!$C$28:$F$86,4,FALSE)</f>
        <v>345</v>
      </c>
      <c r="O215" t="str">
        <f>VLOOKUP($A215,'Capacity Name Ref'!$A$2:$G$16,6,FALSE)</f>
        <v>Device_Capacity_Margin</v>
      </c>
      <c r="P215">
        <f t="shared" si="27"/>
        <v>345</v>
      </c>
      <c r="Q215" t="str">
        <f t="shared" si="24"/>
        <v>Device_Capacity_Margin%</v>
      </c>
      <c r="R215" s="100">
        <f t="shared" si="28"/>
        <v>1</v>
      </c>
    </row>
    <row r="216" spans="1:18" x14ac:dyDescent="0.2">
      <c r="A216" s="40" t="s">
        <v>530</v>
      </c>
      <c r="B216" s="81" t="s">
        <v>306</v>
      </c>
      <c r="C216" s="3" t="s">
        <v>535</v>
      </c>
      <c r="D216" s="3" t="s">
        <v>540</v>
      </c>
      <c r="E216" s="3" t="b">
        <v>1</v>
      </c>
      <c r="F216" s="18">
        <f>VLOOKUP($B216,Constraints!$C$2:$Z$86,17, FALSE)</f>
        <v>0</v>
      </c>
      <c r="I216" s="18">
        <f t="shared" si="26"/>
        <v>0</v>
      </c>
      <c r="L216" s="18">
        <f>VLOOKUP($B216,Constraints!$C$2:$AK$86,28, FALSE)</f>
        <v>0</v>
      </c>
      <c r="M216" t="s">
        <v>664</v>
      </c>
      <c r="N216" s="18">
        <f>VLOOKUP($B216,Constraints!$C$28:$F$86,4,FALSE)</f>
        <v>920</v>
      </c>
      <c r="O216" t="str">
        <f>VLOOKUP($A216,'Capacity Name Ref'!$A$2:$G$16,6,FALSE)</f>
        <v>Device_Capacity_Margin</v>
      </c>
      <c r="P216">
        <f t="shared" si="27"/>
        <v>920</v>
      </c>
      <c r="Q216" t="str">
        <f t="shared" si="24"/>
        <v>Device_Capacity_Margin%</v>
      </c>
      <c r="R216" s="100">
        <f t="shared" si="28"/>
        <v>1</v>
      </c>
    </row>
    <row r="217" spans="1:18" x14ac:dyDescent="0.2">
      <c r="A217" s="40" t="s">
        <v>530</v>
      </c>
      <c r="B217" s="81" t="s">
        <v>308</v>
      </c>
      <c r="C217" s="3" t="s">
        <v>535</v>
      </c>
      <c r="D217" s="3" t="s">
        <v>540</v>
      </c>
      <c r="E217" s="3" t="b">
        <v>1</v>
      </c>
      <c r="F217" s="18">
        <f>VLOOKUP($B217,Constraints!$C$2:$Z$86,17, FALSE)</f>
        <v>0</v>
      </c>
      <c r="I217" s="18">
        <f t="shared" si="26"/>
        <v>0</v>
      </c>
      <c r="L217" s="18">
        <f>VLOOKUP($B217,Constraints!$C$2:$AK$86,28, FALSE)</f>
        <v>0</v>
      </c>
      <c r="M217" t="s">
        <v>664</v>
      </c>
      <c r="N217" s="18">
        <f>VLOOKUP($B217,Constraints!$C$28:$F$86,4,FALSE)</f>
        <v>920</v>
      </c>
      <c r="O217" t="str">
        <f>VLOOKUP($A217,'Capacity Name Ref'!$A$2:$G$16,6,FALSE)</f>
        <v>Device_Capacity_Margin</v>
      </c>
      <c r="P217">
        <f t="shared" si="27"/>
        <v>920</v>
      </c>
      <c r="Q217" t="str">
        <f t="shared" si="24"/>
        <v>Device_Capacity_Margin%</v>
      </c>
      <c r="R217" s="100">
        <f t="shared" si="28"/>
        <v>1</v>
      </c>
    </row>
    <row r="218" spans="1:18" x14ac:dyDescent="0.2">
      <c r="A218" s="40" t="s">
        <v>530</v>
      </c>
      <c r="B218" s="81" t="s">
        <v>310</v>
      </c>
      <c r="C218" s="3" t="s">
        <v>535</v>
      </c>
      <c r="D218" s="3" t="s">
        <v>540</v>
      </c>
      <c r="E218" s="3" t="b">
        <v>1</v>
      </c>
      <c r="F218" s="18">
        <f>VLOOKUP($B218,Constraints!$C$2:$Z$86,17, FALSE)</f>
        <v>0</v>
      </c>
      <c r="I218" s="18">
        <f t="shared" si="26"/>
        <v>0</v>
      </c>
      <c r="L218" s="18">
        <f>VLOOKUP($B218,Constraints!$C$2:$AK$86,28, FALSE)</f>
        <v>0</v>
      </c>
      <c r="M218" t="s">
        <v>664</v>
      </c>
      <c r="N218" s="18">
        <f>VLOOKUP($B218,Constraints!$C$28:$F$86,4,FALSE)</f>
        <v>920</v>
      </c>
      <c r="O218" t="str">
        <f>VLOOKUP($A218,'Capacity Name Ref'!$A$2:$G$16,6,FALSE)</f>
        <v>Device_Capacity_Margin</v>
      </c>
      <c r="P218">
        <f t="shared" si="27"/>
        <v>920</v>
      </c>
      <c r="Q218" t="str">
        <f t="shared" si="24"/>
        <v>Device_Capacity_Margin%</v>
      </c>
      <c r="R218" s="100">
        <f t="shared" si="28"/>
        <v>1</v>
      </c>
    </row>
    <row r="219" spans="1:18" x14ac:dyDescent="0.2">
      <c r="A219" s="40" t="s">
        <v>530</v>
      </c>
      <c r="B219" s="81" t="s">
        <v>312</v>
      </c>
      <c r="C219" s="3" t="s">
        <v>535</v>
      </c>
      <c r="D219" s="3" t="s">
        <v>540</v>
      </c>
      <c r="E219" s="3" t="b">
        <v>1</v>
      </c>
      <c r="F219" s="18">
        <f>VLOOKUP($B219,Constraints!$C$2:$Z$86,17, FALSE)</f>
        <v>0</v>
      </c>
      <c r="I219" s="18">
        <f t="shared" si="26"/>
        <v>0</v>
      </c>
      <c r="L219" s="18">
        <f>VLOOKUP($B219,Constraints!$C$2:$AK$86,28, FALSE)</f>
        <v>0</v>
      </c>
      <c r="M219" t="s">
        <v>664</v>
      </c>
      <c r="N219" s="18">
        <f>VLOOKUP($B219,Constraints!$C$28:$F$86,4,FALSE)</f>
        <v>920</v>
      </c>
      <c r="O219" t="str">
        <f>VLOOKUP($A219,'Capacity Name Ref'!$A$2:$G$16,6,FALSE)</f>
        <v>Device_Capacity_Margin</v>
      </c>
      <c r="P219">
        <f t="shared" si="27"/>
        <v>920</v>
      </c>
      <c r="Q219" t="str">
        <f t="shared" si="24"/>
        <v>Device_Capacity_Margin%</v>
      </c>
      <c r="R219" s="100">
        <f t="shared" si="28"/>
        <v>1</v>
      </c>
    </row>
    <row r="220" spans="1:18" x14ac:dyDescent="0.2">
      <c r="A220" s="40" t="s">
        <v>1</v>
      </c>
      <c r="B220" s="81" t="s">
        <v>397</v>
      </c>
      <c r="C220" s="3" t="s">
        <v>535</v>
      </c>
      <c r="D220" s="3" t="s">
        <v>540</v>
      </c>
      <c r="E220" s="3" t="b">
        <v>1</v>
      </c>
      <c r="H220" s="18">
        <f>VLOOKUP($B220,Constraints!$C$2:$Z$86,17, FALSE)</f>
        <v>0</v>
      </c>
      <c r="K220" s="18">
        <f>H220/0.8</f>
        <v>0</v>
      </c>
      <c r="L220" s="18">
        <f>VLOOKUP($B220,Constraints!$C$2:$AK$86,28, FALSE)</f>
        <v>0</v>
      </c>
      <c r="M220" t="s">
        <v>668</v>
      </c>
      <c r="N220" s="18">
        <f>VLOOKUP($B220,Constraints!$C$28:$F$86,4,FALSE)</f>
        <v>200</v>
      </c>
      <c r="O220" t="str">
        <f>VLOOKUP($A220,'Capacity Name Ref'!$A$2:$G$16,6,FALSE)</f>
        <v>Local_Capacity_Margin</v>
      </c>
      <c r="P220">
        <f>N220-H220</f>
        <v>200</v>
      </c>
      <c r="Q220" t="str">
        <f t="shared" si="24"/>
        <v>Local_Capacity_Margin%</v>
      </c>
      <c r="R220" s="100">
        <f t="shared" si="28"/>
        <v>1</v>
      </c>
    </row>
    <row r="221" spans="1:18" x14ac:dyDescent="0.2">
      <c r="A221" s="40" t="s">
        <v>1</v>
      </c>
      <c r="B221" s="81" t="s">
        <v>422</v>
      </c>
      <c r="C221" s="3" t="s">
        <v>535</v>
      </c>
      <c r="D221" s="3" t="s">
        <v>540</v>
      </c>
      <c r="E221" s="3" t="b">
        <v>1</v>
      </c>
      <c r="H221" s="18">
        <f>VLOOKUP($B221,Constraints!$C$2:$Z$86,17, FALSE)</f>
        <v>0</v>
      </c>
      <c r="K221" s="18">
        <f t="shared" ref="K221:K226" si="29">H221/0.8</f>
        <v>0</v>
      </c>
      <c r="L221" s="18">
        <f>VLOOKUP($B221,Constraints!$C$2:$AK$86,28, FALSE)</f>
        <v>0</v>
      </c>
      <c r="M221" t="s">
        <v>668</v>
      </c>
      <c r="N221" s="18">
        <f>VLOOKUP($B221,Constraints!$C$28:$F$86,4,FALSE)</f>
        <v>200</v>
      </c>
      <c r="O221" t="str">
        <f>VLOOKUP($A221,'Capacity Name Ref'!$A$2:$G$16,6,FALSE)</f>
        <v>Local_Capacity_Margin</v>
      </c>
      <c r="P221">
        <f t="shared" ref="P221:P226" si="30">N221-H221</f>
        <v>200</v>
      </c>
      <c r="Q221" t="str">
        <f t="shared" ref="Q221:Q284" si="31">O221&amp;"%"</f>
        <v>Local_Capacity_Margin%</v>
      </c>
      <c r="R221" s="100">
        <f t="shared" si="28"/>
        <v>1</v>
      </c>
    </row>
    <row r="222" spans="1:18" x14ac:dyDescent="0.2">
      <c r="A222" s="40" t="s">
        <v>1</v>
      </c>
      <c r="B222" s="81" t="s">
        <v>247</v>
      </c>
      <c r="C222" s="3" t="s">
        <v>535</v>
      </c>
      <c r="D222" s="3" t="s">
        <v>540</v>
      </c>
      <c r="E222" s="3" t="b">
        <v>1</v>
      </c>
      <c r="H222" s="18">
        <f>VLOOKUP($B222,Constraints!$C$2:$Z$86,17, FALSE)</f>
        <v>1326</v>
      </c>
      <c r="K222" s="18">
        <f t="shared" si="29"/>
        <v>1657.5</v>
      </c>
      <c r="L222" s="18">
        <f>VLOOKUP($B222,Constraints!$C$2:$AK$86,28, FALSE)</f>
        <v>52</v>
      </c>
      <c r="M222" t="s">
        <v>668</v>
      </c>
      <c r="N222" s="18">
        <f>VLOOKUP($B222,Constraints!$C$28:$F$86,4,FALSE)</f>
        <v>2000</v>
      </c>
      <c r="O222" t="str">
        <f>VLOOKUP($A222,'Capacity Name Ref'!$A$2:$G$16,6,FALSE)</f>
        <v>Local_Capacity_Margin</v>
      </c>
      <c r="P222">
        <f t="shared" si="30"/>
        <v>674</v>
      </c>
      <c r="Q222" t="str">
        <f t="shared" si="31"/>
        <v>Local_Capacity_Margin%</v>
      </c>
      <c r="R222" s="100">
        <f t="shared" si="28"/>
        <v>0.33700000000000002</v>
      </c>
    </row>
    <row r="223" spans="1:18" x14ac:dyDescent="0.2">
      <c r="A223" s="40" t="s">
        <v>1</v>
      </c>
      <c r="B223" s="81" t="s">
        <v>246</v>
      </c>
      <c r="C223" s="3" t="s">
        <v>535</v>
      </c>
      <c r="D223" s="3" t="s">
        <v>540</v>
      </c>
      <c r="E223" s="3" t="b">
        <v>1</v>
      </c>
      <c r="H223" s="18">
        <f>VLOOKUP($B223,Constraints!$C$2:$Z$86,17, FALSE)</f>
        <v>0</v>
      </c>
      <c r="K223" s="18">
        <f t="shared" si="29"/>
        <v>0</v>
      </c>
      <c r="L223" s="18">
        <f>VLOOKUP($B223,Constraints!$C$2:$AK$86,28, FALSE)</f>
        <v>0</v>
      </c>
      <c r="M223" t="s">
        <v>668</v>
      </c>
      <c r="N223" s="18">
        <f>VLOOKUP($B223,Constraints!$C$28:$F$86,4,FALSE)</f>
        <v>1000</v>
      </c>
      <c r="O223" t="str">
        <f>VLOOKUP($A223,'Capacity Name Ref'!$A$2:$G$16,6,FALSE)</f>
        <v>Local_Capacity_Margin</v>
      </c>
      <c r="P223">
        <f t="shared" si="30"/>
        <v>1000</v>
      </c>
      <c r="Q223" t="str">
        <f t="shared" si="31"/>
        <v>Local_Capacity_Margin%</v>
      </c>
      <c r="R223" s="100">
        <f t="shared" si="28"/>
        <v>1</v>
      </c>
    </row>
    <row r="224" spans="1:18" x14ac:dyDescent="0.2">
      <c r="A224" s="40" t="s">
        <v>1</v>
      </c>
      <c r="B224" s="81" t="s">
        <v>252</v>
      </c>
      <c r="C224" s="3" t="s">
        <v>535</v>
      </c>
      <c r="D224" s="3" t="s">
        <v>540</v>
      </c>
      <c r="E224" s="3" t="b">
        <v>1</v>
      </c>
      <c r="H224" s="18">
        <f>VLOOKUP($B224,Constraints!$C$2:$Z$86,17, FALSE)</f>
        <v>0</v>
      </c>
      <c r="K224" s="18">
        <f t="shared" si="29"/>
        <v>0</v>
      </c>
      <c r="L224" s="18">
        <f>VLOOKUP($B224,Constraints!$C$2:$AK$86,28, FALSE)</f>
        <v>0</v>
      </c>
      <c r="M224" t="s">
        <v>668</v>
      </c>
      <c r="N224" s="18">
        <f>VLOOKUP($B224,Constraints!$C$28:$F$86,4,FALSE)</f>
        <v>500</v>
      </c>
      <c r="O224" t="str">
        <f>VLOOKUP($A224,'Capacity Name Ref'!$A$2:$G$16,6,FALSE)</f>
        <v>Local_Capacity_Margin</v>
      </c>
      <c r="P224">
        <f t="shared" si="30"/>
        <v>500</v>
      </c>
      <c r="Q224" t="str">
        <f t="shared" si="31"/>
        <v>Local_Capacity_Margin%</v>
      </c>
      <c r="R224" s="100">
        <f t="shared" si="28"/>
        <v>1</v>
      </c>
    </row>
    <row r="225" spans="1:24" x14ac:dyDescent="0.2">
      <c r="A225" s="40" t="s">
        <v>1</v>
      </c>
      <c r="B225" s="81" t="s">
        <v>318</v>
      </c>
      <c r="C225" s="3" t="s">
        <v>535</v>
      </c>
      <c r="D225" s="3" t="s">
        <v>540</v>
      </c>
      <c r="E225" s="3" t="b">
        <v>1</v>
      </c>
      <c r="H225" s="18">
        <f>VLOOKUP($B225,Constraints!$C$2:$Z$86,17, FALSE)</f>
        <v>0</v>
      </c>
      <c r="K225" s="18">
        <f t="shared" si="29"/>
        <v>0</v>
      </c>
      <c r="L225" s="18">
        <f>VLOOKUP($B225,Constraints!$C$2:$AK$86,28, FALSE)</f>
        <v>0</v>
      </c>
      <c r="M225" t="s">
        <v>668</v>
      </c>
      <c r="N225" s="18">
        <f>VLOOKUP($B225,Constraints!$C$28:$F$86,4,FALSE)</f>
        <v>1500</v>
      </c>
      <c r="O225" t="str">
        <f>VLOOKUP($A225,'Capacity Name Ref'!$A$2:$G$16,6,FALSE)</f>
        <v>Local_Capacity_Margin</v>
      </c>
      <c r="P225">
        <f t="shared" si="30"/>
        <v>1500</v>
      </c>
      <c r="Q225" t="str">
        <f t="shared" si="31"/>
        <v>Local_Capacity_Margin%</v>
      </c>
      <c r="R225" s="100">
        <f t="shared" si="28"/>
        <v>1</v>
      </c>
    </row>
    <row r="226" spans="1:24" x14ac:dyDescent="0.2">
      <c r="A226" s="40" t="s">
        <v>1</v>
      </c>
      <c r="B226" s="81" t="s">
        <v>317</v>
      </c>
      <c r="C226" s="3" t="s">
        <v>535</v>
      </c>
      <c r="D226" s="3" t="s">
        <v>540</v>
      </c>
      <c r="E226" s="3" t="b">
        <v>1</v>
      </c>
      <c r="H226" s="18">
        <f>VLOOKUP($B226,Constraints!$C$2:$Z$86,17, FALSE)</f>
        <v>0</v>
      </c>
      <c r="K226" s="18">
        <f t="shared" si="29"/>
        <v>0</v>
      </c>
      <c r="L226" s="18">
        <f>VLOOKUP($B226,Constraints!$C$2:$AK$86,28, FALSE)</f>
        <v>0</v>
      </c>
      <c r="M226" t="s">
        <v>668</v>
      </c>
      <c r="N226" s="18">
        <f>VLOOKUP($B226,Constraints!$C$28:$F$86,4,FALSE)</f>
        <v>1500</v>
      </c>
      <c r="O226" t="str">
        <f>VLOOKUP($A226,'Capacity Name Ref'!$A$2:$G$16,6,FALSE)</f>
        <v>Local_Capacity_Margin</v>
      </c>
      <c r="P226">
        <f t="shared" si="30"/>
        <v>1500</v>
      </c>
      <c r="Q226" t="str">
        <f t="shared" si="31"/>
        <v>Local_Capacity_Margin%</v>
      </c>
      <c r="R226" s="100">
        <f t="shared" si="28"/>
        <v>1</v>
      </c>
    </row>
    <row r="227" spans="1:24" x14ac:dyDescent="0.2">
      <c r="A227" s="40" t="s">
        <v>245</v>
      </c>
      <c r="B227" s="81" t="s">
        <v>446</v>
      </c>
      <c r="C227" s="3" t="s">
        <v>535</v>
      </c>
      <c r="D227" s="3" t="s">
        <v>540</v>
      </c>
      <c r="E227" s="3" t="b">
        <v>1</v>
      </c>
      <c r="G227" s="18">
        <f>VLOOKUP($B227,Constraints!$C$2:$Z$86,17, FALSE)</f>
        <v>0</v>
      </c>
      <c r="J227" s="18">
        <f>G227/0.8</f>
        <v>0</v>
      </c>
      <c r="L227" s="18">
        <f>VLOOKUP($B227,Constraints!$C$2:$AK$86,28, FALSE)</f>
        <v>0</v>
      </c>
      <c r="M227" t="s">
        <v>667</v>
      </c>
      <c r="N227" s="18">
        <f>VLOOKUP($B227,Constraints!$C$28:$F$86,4,FALSE)</f>
        <v>270</v>
      </c>
      <c r="O227" t="str">
        <f>VLOOKUP($A227,'Capacity Name Ref'!$A$2:$G$16,6,FALSE)</f>
        <v>Local_Capacity_Margin</v>
      </c>
      <c r="P227">
        <f>N227-G227</f>
        <v>270</v>
      </c>
      <c r="Q227" t="str">
        <f t="shared" si="31"/>
        <v>Local_Capacity_Margin%</v>
      </c>
      <c r="R227" s="100">
        <f t="shared" si="28"/>
        <v>1</v>
      </c>
    </row>
    <row r="228" spans="1:24" x14ac:dyDescent="0.2">
      <c r="A228" s="40" t="s">
        <v>245</v>
      </c>
      <c r="B228" s="81" t="s">
        <v>447</v>
      </c>
      <c r="C228" s="3" t="s">
        <v>535</v>
      </c>
      <c r="D228" s="3" t="s">
        <v>540</v>
      </c>
      <c r="E228" s="3" t="b">
        <v>1</v>
      </c>
      <c r="G228" s="18">
        <f>VLOOKUP($B228,Constraints!$C$2:$Z$86,17, FALSE)</f>
        <v>0</v>
      </c>
      <c r="J228" s="18">
        <f t="shared" ref="J228:J233" si="32">G228/0.8</f>
        <v>0</v>
      </c>
      <c r="L228" s="18">
        <f>VLOOKUP($B228,Constraints!$C$2:$AK$86,28, FALSE)</f>
        <v>0</v>
      </c>
      <c r="M228" t="s">
        <v>667</v>
      </c>
      <c r="N228" s="18">
        <f>VLOOKUP($B228,Constraints!$C$28:$F$86,4,FALSE)</f>
        <v>270</v>
      </c>
      <c r="O228" t="str">
        <f>VLOOKUP($A228,'Capacity Name Ref'!$A$2:$G$16,6,FALSE)</f>
        <v>Local_Capacity_Margin</v>
      </c>
      <c r="P228">
        <f t="shared" ref="P228:P235" si="33">N228-G228</f>
        <v>270</v>
      </c>
      <c r="Q228" t="str">
        <f t="shared" si="31"/>
        <v>Local_Capacity_Margin%</v>
      </c>
      <c r="R228" s="100">
        <f t="shared" si="28"/>
        <v>1</v>
      </c>
    </row>
    <row r="229" spans="1:24" x14ac:dyDescent="0.2">
      <c r="A229" s="40" t="s">
        <v>245</v>
      </c>
      <c r="B229" s="81" t="s">
        <v>250</v>
      </c>
      <c r="C229" s="3" t="s">
        <v>535</v>
      </c>
      <c r="D229" s="3" t="s">
        <v>540</v>
      </c>
      <c r="E229" s="3" t="b">
        <v>1</v>
      </c>
      <c r="G229" s="18">
        <f>VLOOKUP($B229,Constraints!$C$2:$Z$86,17, FALSE)</f>
        <v>180</v>
      </c>
      <c r="J229" s="18">
        <f t="shared" si="32"/>
        <v>225</v>
      </c>
      <c r="L229" s="18">
        <f>VLOOKUP($B229,Constraints!$C$2:$AK$86,28, FALSE)</f>
        <v>40</v>
      </c>
      <c r="M229" t="s">
        <v>667</v>
      </c>
      <c r="N229" s="18">
        <f>VLOOKUP($B229,Constraints!$C$28:$F$86,4,FALSE)</f>
        <v>240</v>
      </c>
      <c r="O229" t="str">
        <f>VLOOKUP($A229,'Capacity Name Ref'!$A$2:$G$16,6,FALSE)</f>
        <v>Local_Capacity_Margin</v>
      </c>
      <c r="P229">
        <f t="shared" si="33"/>
        <v>60</v>
      </c>
      <c r="Q229" t="str">
        <f t="shared" si="31"/>
        <v>Local_Capacity_Margin%</v>
      </c>
      <c r="R229" s="100">
        <f t="shared" si="28"/>
        <v>0.25</v>
      </c>
    </row>
    <row r="230" spans="1:24" x14ac:dyDescent="0.2">
      <c r="A230" s="40" t="s">
        <v>245</v>
      </c>
      <c r="B230" s="81" t="s">
        <v>251</v>
      </c>
      <c r="C230" s="3" t="s">
        <v>535</v>
      </c>
      <c r="D230" s="3" t="s">
        <v>540</v>
      </c>
      <c r="E230" s="3" t="b">
        <v>1</v>
      </c>
      <c r="G230" s="18">
        <f>VLOOKUP($B230,Constraints!$C$2:$Z$86,17, FALSE)</f>
        <v>54</v>
      </c>
      <c r="J230" s="18">
        <f t="shared" si="32"/>
        <v>67.5</v>
      </c>
      <c r="L230" s="18">
        <f>VLOOKUP($B230,Constraints!$C$2:$AK$86,28, FALSE)</f>
        <v>12</v>
      </c>
      <c r="M230" t="s">
        <v>667</v>
      </c>
      <c r="N230" s="18">
        <f>VLOOKUP($B230,Constraints!$C$28:$F$86,4,FALSE)</f>
        <v>180</v>
      </c>
      <c r="O230" t="str">
        <f>VLOOKUP($A230,'Capacity Name Ref'!$A$2:$G$16,6,FALSE)</f>
        <v>Local_Capacity_Margin</v>
      </c>
      <c r="P230">
        <f t="shared" si="33"/>
        <v>126</v>
      </c>
      <c r="Q230" t="str">
        <f t="shared" si="31"/>
        <v>Local_Capacity_Margin%</v>
      </c>
      <c r="R230" s="100">
        <f t="shared" si="28"/>
        <v>0.7</v>
      </c>
    </row>
    <row r="231" spans="1:24" x14ac:dyDescent="0.2">
      <c r="A231" s="40" t="s">
        <v>245</v>
      </c>
      <c r="B231" s="81" t="s">
        <v>248</v>
      </c>
      <c r="C231" s="3" t="s">
        <v>535</v>
      </c>
      <c r="D231" s="3" t="s">
        <v>540</v>
      </c>
      <c r="E231" s="3" t="b">
        <v>1</v>
      </c>
      <c r="G231" s="18">
        <f>VLOOKUP($B231,Constraints!$C$2:$Z$86,17, FALSE)</f>
        <v>0</v>
      </c>
      <c r="J231" s="18">
        <f t="shared" si="32"/>
        <v>0</v>
      </c>
      <c r="L231" s="18">
        <f>VLOOKUP($B231,Constraints!$C$2:$AK$86,28, FALSE)</f>
        <v>0</v>
      </c>
      <c r="M231" t="s">
        <v>667</v>
      </c>
      <c r="N231" s="18">
        <f>VLOOKUP($B231,Constraints!$C$28:$F$86,4,FALSE)</f>
        <v>240</v>
      </c>
      <c r="O231" t="str">
        <f>VLOOKUP($A231,'Capacity Name Ref'!$A$2:$G$16,6,FALSE)</f>
        <v>Local_Capacity_Margin</v>
      </c>
      <c r="P231">
        <f t="shared" si="33"/>
        <v>240</v>
      </c>
      <c r="Q231" t="str">
        <f t="shared" si="31"/>
        <v>Local_Capacity_Margin%</v>
      </c>
      <c r="R231" s="100">
        <f t="shared" si="28"/>
        <v>1</v>
      </c>
    </row>
    <row r="232" spans="1:24" x14ac:dyDescent="0.2">
      <c r="A232" s="40" t="s">
        <v>245</v>
      </c>
      <c r="B232" s="81" t="s">
        <v>249</v>
      </c>
      <c r="C232" s="3" t="s">
        <v>535</v>
      </c>
      <c r="D232" s="3" t="s">
        <v>540</v>
      </c>
      <c r="E232" s="3" t="b">
        <v>1</v>
      </c>
      <c r="G232" s="18">
        <f>VLOOKUP($B232,Constraints!$C$2:$Z$86,17, FALSE)</f>
        <v>0</v>
      </c>
      <c r="J232" s="18">
        <f t="shared" si="32"/>
        <v>0</v>
      </c>
      <c r="L232" s="18">
        <f>VLOOKUP($B232,Constraints!$C$2:$AK$86,28, FALSE)</f>
        <v>0</v>
      </c>
      <c r="M232" t="s">
        <v>667</v>
      </c>
      <c r="N232" s="18">
        <f>VLOOKUP($B232,Constraints!$C$28:$F$86,4,FALSE)</f>
        <v>180</v>
      </c>
      <c r="O232" t="str">
        <f>VLOOKUP($A232,'Capacity Name Ref'!$A$2:$G$16,6,FALSE)</f>
        <v>Local_Capacity_Margin</v>
      </c>
      <c r="P232">
        <f t="shared" si="33"/>
        <v>180</v>
      </c>
      <c r="Q232" t="str">
        <f t="shared" si="31"/>
        <v>Local_Capacity_Margin%</v>
      </c>
      <c r="R232" s="100">
        <f t="shared" si="28"/>
        <v>1</v>
      </c>
    </row>
    <row r="233" spans="1:24" x14ac:dyDescent="0.2">
      <c r="A233" s="40" t="s">
        <v>245</v>
      </c>
      <c r="B233" s="81" t="s">
        <v>253</v>
      </c>
      <c r="C233" s="3" t="s">
        <v>535</v>
      </c>
      <c r="D233" s="3" t="s">
        <v>540</v>
      </c>
      <c r="E233" s="3" t="b">
        <v>1</v>
      </c>
      <c r="G233" s="18">
        <f>VLOOKUP($B233,Constraints!$C$2:$Z$86,17, FALSE)</f>
        <v>0</v>
      </c>
      <c r="J233" s="18">
        <f t="shared" si="32"/>
        <v>0</v>
      </c>
      <c r="L233" s="18">
        <f>VLOOKUP($B233,Constraints!$C$2:$AK$86,28, FALSE)</f>
        <v>0</v>
      </c>
      <c r="M233" t="s">
        <v>667</v>
      </c>
      <c r="N233" s="18">
        <f>VLOOKUP($B233,Constraints!$C$28:$F$86,4,FALSE)</f>
        <v>180</v>
      </c>
      <c r="O233" t="str">
        <f>VLOOKUP($A233,'Capacity Name Ref'!$A$2:$G$16,6,FALSE)</f>
        <v>Local_Capacity_Margin</v>
      </c>
      <c r="P233">
        <f t="shared" si="33"/>
        <v>180</v>
      </c>
      <c r="Q233" t="str">
        <f t="shared" si="31"/>
        <v>Local_Capacity_Margin%</v>
      </c>
      <c r="R233" s="100">
        <f t="shared" si="28"/>
        <v>1</v>
      </c>
    </row>
    <row r="234" spans="1:24" x14ac:dyDescent="0.2">
      <c r="A234" s="40" t="s">
        <v>245</v>
      </c>
      <c r="B234" s="81" t="s">
        <v>320</v>
      </c>
      <c r="C234" s="3" t="s">
        <v>535</v>
      </c>
      <c r="D234" s="3" t="s">
        <v>540</v>
      </c>
      <c r="E234" s="3" t="b">
        <v>1</v>
      </c>
      <c r="G234" s="18">
        <f>VLOOKUP($B234,Constraints!$C$2:$Z$86,17, FALSE)</f>
        <v>0</v>
      </c>
      <c r="J234" s="18">
        <f>G234/0.8</f>
        <v>0</v>
      </c>
      <c r="L234" s="18">
        <f>VLOOKUP($B234,Constraints!$C$2:$AK$86,28, FALSE)</f>
        <v>0</v>
      </c>
      <c r="M234" t="s">
        <v>667</v>
      </c>
      <c r="N234" s="18">
        <f>VLOOKUP($B234,Constraints!$C$28:$F$86,4,FALSE)</f>
        <v>270</v>
      </c>
      <c r="O234" t="str">
        <f>VLOOKUP($A234,'Capacity Name Ref'!$A$2:$G$16,6,FALSE)</f>
        <v>Local_Capacity_Margin</v>
      </c>
      <c r="P234">
        <f t="shared" si="33"/>
        <v>270</v>
      </c>
      <c r="Q234" t="str">
        <f t="shared" si="31"/>
        <v>Local_Capacity_Margin%</v>
      </c>
      <c r="R234" s="100">
        <f t="shared" si="28"/>
        <v>1</v>
      </c>
    </row>
    <row r="235" spans="1:24" x14ac:dyDescent="0.2">
      <c r="A235" s="40" t="s">
        <v>245</v>
      </c>
      <c r="B235" s="81" t="s">
        <v>319</v>
      </c>
      <c r="C235" s="3" t="s">
        <v>535</v>
      </c>
      <c r="D235" s="3" t="s">
        <v>540</v>
      </c>
      <c r="E235" s="3" t="b">
        <v>1</v>
      </c>
      <c r="G235" s="18">
        <f>VLOOKUP($B235,Constraints!$C$2:$Z$86,17, FALSE)</f>
        <v>0</v>
      </c>
      <c r="J235" s="18">
        <f t="shared" ref="J235" si="34">G235/0.8</f>
        <v>0</v>
      </c>
      <c r="L235" s="18">
        <f>VLOOKUP($B235,Constraints!$C$2:$AK$86,28, FALSE)</f>
        <v>0</v>
      </c>
      <c r="M235" t="s">
        <v>667</v>
      </c>
      <c r="N235" s="18">
        <f>VLOOKUP($B235,Constraints!$C$28:$F$86,4,FALSE)</f>
        <v>270</v>
      </c>
      <c r="O235" t="str">
        <f>VLOOKUP($A235,'Capacity Name Ref'!$A$2:$G$16,6,FALSE)</f>
        <v>Local_Capacity_Margin</v>
      </c>
      <c r="P235">
        <f t="shared" si="33"/>
        <v>270</v>
      </c>
      <c r="Q235" t="str">
        <f t="shared" si="31"/>
        <v>Local_Capacity_Margin%</v>
      </c>
      <c r="R235" s="100">
        <f t="shared" si="28"/>
        <v>1</v>
      </c>
    </row>
    <row r="236" spans="1:24" x14ac:dyDescent="0.2">
      <c r="A236" s="40" t="s">
        <v>645</v>
      </c>
      <c r="B236" s="81" t="s">
        <v>452</v>
      </c>
      <c r="C236" s="3" t="s">
        <v>535</v>
      </c>
      <c r="D236" s="3" t="s">
        <v>540</v>
      </c>
      <c r="E236" s="3" t="b">
        <v>1</v>
      </c>
      <c r="F236" s="18">
        <f>VLOOKUP($B236,Constraints!$C$2:$Z$86,17, FALSE)</f>
        <v>0</v>
      </c>
      <c r="I236" s="18">
        <f t="shared" ref="I236:I246" si="35">F236/0.8</f>
        <v>0</v>
      </c>
      <c r="L236" s="18">
        <f>VLOOKUP($B236,Constraints!$C$2:$AK$86,28, FALSE)</f>
        <v>0</v>
      </c>
      <c r="M236" t="s">
        <v>670</v>
      </c>
      <c r="N236" s="18">
        <f>VLOOKUP($B236,Constraints!$C$28:$F$86,4,FALSE)</f>
        <v>400</v>
      </c>
      <c r="O236" t="str">
        <f>VLOOKUP($A236,'Capacity Name Ref'!$A$2:$G$16,6,FALSE)</f>
        <v>Local_Capacity_Margin</v>
      </c>
      <c r="P236">
        <f>N236-F236</f>
        <v>400</v>
      </c>
      <c r="Q236" t="str">
        <f t="shared" si="31"/>
        <v>Local_Capacity_Margin%</v>
      </c>
      <c r="R236" s="100">
        <f t="shared" si="28"/>
        <v>1</v>
      </c>
      <c r="S236" s="71" t="s">
        <v>671</v>
      </c>
      <c r="T236">
        <f>VLOOKUP($B236,Constraints!$C$68:$H$78,6,FALSE)</f>
        <v>480</v>
      </c>
      <c r="U236" s="71" t="s">
        <v>682</v>
      </c>
      <c r="V236">
        <f>T236-F236</f>
        <v>480</v>
      </c>
      <c r="W236" s="71" t="s">
        <v>688</v>
      </c>
      <c r="X236" s="100">
        <f>V236/T236</f>
        <v>1</v>
      </c>
    </row>
    <row r="237" spans="1:24" x14ac:dyDescent="0.2">
      <c r="A237" s="40" t="s">
        <v>645</v>
      </c>
      <c r="B237" s="81" t="s">
        <v>453</v>
      </c>
      <c r="C237" s="3" t="s">
        <v>535</v>
      </c>
      <c r="D237" s="3" t="s">
        <v>540</v>
      </c>
      <c r="E237" s="3" t="b">
        <v>1</v>
      </c>
      <c r="F237" s="18">
        <f>VLOOKUP($B237,Constraints!$C$2:$Z$86,17, FALSE)</f>
        <v>0</v>
      </c>
      <c r="I237" s="18">
        <f t="shared" si="35"/>
        <v>0</v>
      </c>
      <c r="L237" s="18">
        <f>VLOOKUP($B237,Constraints!$C$2:$AK$86,28, FALSE)</f>
        <v>0</v>
      </c>
      <c r="M237" t="s">
        <v>670</v>
      </c>
      <c r="N237" s="18">
        <f>VLOOKUP($B237,Constraints!$C$28:$F$86,4,FALSE)</f>
        <v>400</v>
      </c>
      <c r="O237" t="str">
        <f>VLOOKUP($A237,'Capacity Name Ref'!$A$2:$G$16,6,FALSE)</f>
        <v>Local_Capacity_Margin</v>
      </c>
      <c r="P237">
        <f t="shared" ref="P237:P253" si="36">N237-F237</f>
        <v>400</v>
      </c>
      <c r="Q237" t="str">
        <f t="shared" si="31"/>
        <v>Local_Capacity_Margin%</v>
      </c>
      <c r="R237" s="100">
        <f t="shared" si="28"/>
        <v>1</v>
      </c>
      <c r="S237" s="71" t="s">
        <v>671</v>
      </c>
      <c r="T237">
        <f>VLOOKUP($B237,Constraints!$C$68:$H$78,6,FALSE)</f>
        <v>480</v>
      </c>
      <c r="U237" s="71" t="s">
        <v>682</v>
      </c>
      <c r="V237">
        <f t="shared" ref="V237:V246" si="37">T237-F237</f>
        <v>480</v>
      </c>
      <c r="W237" s="71" t="s">
        <v>688</v>
      </c>
      <c r="X237" s="100">
        <f t="shared" ref="X237:X246" si="38">V237/T237</f>
        <v>1</v>
      </c>
    </row>
    <row r="238" spans="1:24" x14ac:dyDescent="0.2">
      <c r="A238" s="40" t="s">
        <v>645</v>
      </c>
      <c r="B238" s="81" t="s">
        <v>70</v>
      </c>
      <c r="C238" s="3" t="s">
        <v>535</v>
      </c>
      <c r="D238" s="3" t="s">
        <v>540</v>
      </c>
      <c r="E238" s="3" t="b">
        <v>1</v>
      </c>
      <c r="F238" s="18">
        <f>VLOOKUP($B238,Constraints!$C$2:$Z$86,17, FALSE)</f>
        <v>1560</v>
      </c>
      <c r="I238" s="18">
        <f t="shared" si="35"/>
        <v>1950</v>
      </c>
      <c r="L238" s="18">
        <f>VLOOKUP($B238,Constraints!$C$2:$AK$86,28, FALSE)</f>
        <v>52</v>
      </c>
      <c r="M238" t="s">
        <v>670</v>
      </c>
      <c r="N238" s="18">
        <f>VLOOKUP($B238,Constraints!$C$28:$F$86,4,FALSE)</f>
        <v>4000</v>
      </c>
      <c r="O238" t="str">
        <f>VLOOKUP($A238,'Capacity Name Ref'!$A$2:$G$16,6,FALSE)</f>
        <v>Local_Capacity_Margin</v>
      </c>
      <c r="P238">
        <f t="shared" si="36"/>
        <v>2440</v>
      </c>
      <c r="Q238" t="str">
        <f t="shared" si="31"/>
        <v>Local_Capacity_Margin%</v>
      </c>
      <c r="R238" s="100">
        <f t="shared" si="28"/>
        <v>0.61</v>
      </c>
      <c r="S238" s="71" t="s">
        <v>671</v>
      </c>
      <c r="T238">
        <f>VLOOKUP($B238,Constraints!$C$68:$H$78,6,FALSE)</f>
        <v>4000</v>
      </c>
      <c r="U238" s="71" t="s">
        <v>682</v>
      </c>
      <c r="V238">
        <f t="shared" si="37"/>
        <v>2440</v>
      </c>
      <c r="W238" s="71" t="s">
        <v>688</v>
      </c>
      <c r="X238" s="100">
        <f t="shared" si="38"/>
        <v>0.61</v>
      </c>
    </row>
    <row r="239" spans="1:24" x14ac:dyDescent="0.2">
      <c r="A239" s="40" t="s">
        <v>645</v>
      </c>
      <c r="B239" s="81" t="s">
        <v>73</v>
      </c>
      <c r="C239" s="3" t="s">
        <v>535</v>
      </c>
      <c r="D239" s="3" t="s">
        <v>540</v>
      </c>
      <c r="E239" s="3" t="b">
        <v>1</v>
      </c>
      <c r="F239" s="18">
        <f>VLOOKUP($B239,Constraints!$C$2:$Z$86,17, FALSE)</f>
        <v>0</v>
      </c>
      <c r="I239" s="18">
        <f t="shared" si="35"/>
        <v>0</v>
      </c>
      <c r="L239" s="18">
        <f>VLOOKUP($B239,Constraints!$C$2:$AK$86,28, FALSE)</f>
        <v>0</v>
      </c>
      <c r="M239" t="s">
        <v>670</v>
      </c>
      <c r="N239" s="18">
        <f>VLOOKUP($B239,Constraints!$C$28:$F$86,4,FALSE)</f>
        <v>2500</v>
      </c>
      <c r="O239" t="str">
        <f>VLOOKUP($A239,'Capacity Name Ref'!$A$2:$G$16,6,FALSE)</f>
        <v>Local_Capacity_Margin</v>
      </c>
      <c r="P239">
        <f t="shared" si="36"/>
        <v>2500</v>
      </c>
      <c r="Q239" t="str">
        <f t="shared" si="31"/>
        <v>Local_Capacity_Margin%</v>
      </c>
      <c r="R239" s="100">
        <f t="shared" si="28"/>
        <v>1</v>
      </c>
      <c r="S239" s="71" t="s">
        <v>671</v>
      </c>
      <c r="T239">
        <f>VLOOKUP($B239,Constraints!$C$68:$H$78,6,FALSE)</f>
        <v>3200</v>
      </c>
      <c r="U239" s="71" t="s">
        <v>682</v>
      </c>
      <c r="V239">
        <f t="shared" si="37"/>
        <v>3200</v>
      </c>
      <c r="W239" s="71" t="s">
        <v>688</v>
      </c>
      <c r="X239" s="100">
        <f t="shared" si="38"/>
        <v>1</v>
      </c>
    </row>
    <row r="240" spans="1:24" x14ac:dyDescent="0.2">
      <c r="A240" s="40" t="s">
        <v>645</v>
      </c>
      <c r="B240" s="81" t="s">
        <v>313</v>
      </c>
      <c r="C240" s="3" t="s">
        <v>535</v>
      </c>
      <c r="D240" s="3" t="s">
        <v>540</v>
      </c>
      <c r="E240" s="3" t="b">
        <v>1</v>
      </c>
      <c r="F240" s="18">
        <f>VLOOKUP($B240,Constraints!$C$2:$Z$86,17, FALSE)</f>
        <v>0</v>
      </c>
      <c r="I240" s="18">
        <f t="shared" si="35"/>
        <v>0</v>
      </c>
      <c r="L240" s="18">
        <f>VLOOKUP($B240,Constraints!$C$2:$AK$86,28, FALSE)</f>
        <v>0</v>
      </c>
      <c r="M240" t="s">
        <v>670</v>
      </c>
      <c r="N240" s="18">
        <f>VLOOKUP($B240,Constraints!$C$28:$F$86,4,FALSE)</f>
        <v>3000</v>
      </c>
      <c r="O240" t="str">
        <f>VLOOKUP($A240,'Capacity Name Ref'!$A$2:$G$16,6,FALSE)</f>
        <v>Local_Capacity_Margin</v>
      </c>
      <c r="P240">
        <f t="shared" si="36"/>
        <v>3000</v>
      </c>
      <c r="Q240" t="str">
        <f t="shared" si="31"/>
        <v>Local_Capacity_Margin%</v>
      </c>
      <c r="R240" s="100">
        <f t="shared" si="28"/>
        <v>1</v>
      </c>
      <c r="S240" s="71" t="s">
        <v>671</v>
      </c>
      <c r="T240">
        <f>VLOOKUP($B240,Constraints!$C$68:$H$78,6,FALSE)</f>
        <v>3200</v>
      </c>
      <c r="U240" s="71" t="s">
        <v>682</v>
      </c>
      <c r="V240">
        <f t="shared" si="37"/>
        <v>3200</v>
      </c>
      <c r="W240" s="71" t="s">
        <v>688</v>
      </c>
      <c r="X240" s="100">
        <f t="shared" si="38"/>
        <v>1</v>
      </c>
    </row>
    <row r="241" spans="1:24" x14ac:dyDescent="0.2">
      <c r="A241" s="40" t="s">
        <v>645</v>
      </c>
      <c r="B241" s="81" t="s">
        <v>71</v>
      </c>
      <c r="C241" s="3" t="s">
        <v>535</v>
      </c>
      <c r="D241" s="3" t="s">
        <v>540</v>
      </c>
      <c r="E241" s="3" t="b">
        <v>1</v>
      </c>
      <c r="F241" s="18">
        <f>VLOOKUP($B241,Constraints!$C$2:$Z$86,17, FALSE)</f>
        <v>0</v>
      </c>
      <c r="I241" s="18">
        <f t="shared" si="35"/>
        <v>0</v>
      </c>
      <c r="L241" s="18">
        <f>VLOOKUP($B241,Constraints!$C$2:$AK$86,28, FALSE)</f>
        <v>0</v>
      </c>
      <c r="M241" t="s">
        <v>670</v>
      </c>
      <c r="N241" s="18">
        <f>VLOOKUP($B241,Constraints!$C$28:$F$86,4,FALSE)</f>
        <v>960</v>
      </c>
      <c r="O241" t="str">
        <f>VLOOKUP($A241,'Capacity Name Ref'!$A$2:$G$16,6,FALSE)</f>
        <v>Local_Capacity_Margin</v>
      </c>
      <c r="P241">
        <f t="shared" si="36"/>
        <v>960</v>
      </c>
      <c r="Q241" t="str">
        <f t="shared" si="31"/>
        <v>Local_Capacity_Margin%</v>
      </c>
      <c r="R241" s="100">
        <f t="shared" si="28"/>
        <v>1</v>
      </c>
      <c r="S241" s="71" t="s">
        <v>671</v>
      </c>
      <c r="T241">
        <f>VLOOKUP($B241,Constraints!$C$68:$H$78,6,FALSE)</f>
        <v>960</v>
      </c>
      <c r="U241" s="71" t="s">
        <v>682</v>
      </c>
      <c r="V241">
        <f t="shared" si="37"/>
        <v>960</v>
      </c>
      <c r="W241" s="71" t="s">
        <v>688</v>
      </c>
      <c r="X241" s="100">
        <f t="shared" si="38"/>
        <v>1</v>
      </c>
    </row>
    <row r="242" spans="1:24" x14ac:dyDescent="0.2">
      <c r="A242" s="40" t="s">
        <v>645</v>
      </c>
      <c r="B242" s="81" t="s">
        <v>72</v>
      </c>
      <c r="C242" s="3" t="s">
        <v>535</v>
      </c>
      <c r="D242" s="3" t="s">
        <v>540</v>
      </c>
      <c r="E242" s="3" t="b">
        <v>1</v>
      </c>
      <c r="F242" s="18">
        <f>VLOOKUP($B242,Constraints!$C$2:$Z$86,17, FALSE)</f>
        <v>1560</v>
      </c>
      <c r="I242" s="18">
        <f t="shared" si="35"/>
        <v>1950</v>
      </c>
      <c r="L242" s="18">
        <f>VLOOKUP($B242,Constraints!$C$2:$AK$86,28, FALSE)</f>
        <v>0</v>
      </c>
      <c r="M242" t="s">
        <v>670</v>
      </c>
      <c r="N242" s="18">
        <f>VLOOKUP($B242,Constraints!$C$28:$F$86,4,FALSE)</f>
        <v>4000</v>
      </c>
      <c r="O242" t="str">
        <f>VLOOKUP($A242,'Capacity Name Ref'!$A$2:$G$16,6,FALSE)</f>
        <v>Local_Capacity_Margin</v>
      </c>
      <c r="P242">
        <f t="shared" si="36"/>
        <v>2440</v>
      </c>
      <c r="Q242" t="str">
        <f t="shared" si="31"/>
        <v>Local_Capacity_Margin%</v>
      </c>
      <c r="R242" s="100">
        <f t="shared" si="28"/>
        <v>0.61</v>
      </c>
      <c r="S242" s="71" t="s">
        <v>671</v>
      </c>
      <c r="T242">
        <f>VLOOKUP($B242,Constraints!$C$68:$H$78,6,FALSE)</f>
        <v>4000</v>
      </c>
      <c r="U242" s="71" t="s">
        <v>682</v>
      </c>
      <c r="V242">
        <f t="shared" si="37"/>
        <v>2440</v>
      </c>
      <c r="W242" s="71" t="s">
        <v>688</v>
      </c>
      <c r="X242" s="100">
        <f t="shared" si="38"/>
        <v>0.61</v>
      </c>
    </row>
    <row r="243" spans="1:24" x14ac:dyDescent="0.2">
      <c r="A243" s="40" t="s">
        <v>645</v>
      </c>
      <c r="B243" s="81" t="s">
        <v>314</v>
      </c>
      <c r="C243" s="3" t="s">
        <v>535</v>
      </c>
      <c r="D243" s="3" t="s">
        <v>540</v>
      </c>
      <c r="E243" s="3" t="b">
        <v>1</v>
      </c>
      <c r="F243" s="18">
        <f>VLOOKUP($B243,Constraints!$C$2:$Z$86,17, FALSE)</f>
        <v>0</v>
      </c>
      <c r="I243" s="18">
        <f t="shared" si="35"/>
        <v>0</v>
      </c>
      <c r="L243" s="18">
        <f>VLOOKUP($B243,Constraints!$C$2:$AK$86,28, FALSE)</f>
        <v>0</v>
      </c>
      <c r="M243" t="s">
        <v>670</v>
      </c>
      <c r="N243" s="18">
        <f>VLOOKUP($B243,Constraints!$C$28:$F$86,4,FALSE)</f>
        <v>3000</v>
      </c>
      <c r="O243" t="str">
        <f>VLOOKUP($A243,'Capacity Name Ref'!$A$2:$G$16,6,FALSE)</f>
        <v>Local_Capacity_Margin</v>
      </c>
      <c r="P243">
        <f t="shared" si="36"/>
        <v>3000</v>
      </c>
      <c r="Q243" t="str">
        <f t="shared" si="31"/>
        <v>Local_Capacity_Margin%</v>
      </c>
      <c r="R243" s="100">
        <f t="shared" si="28"/>
        <v>1</v>
      </c>
      <c r="S243" s="71" t="s">
        <v>671</v>
      </c>
      <c r="T243">
        <f>VLOOKUP($B243,Constraints!$C$68:$H$78,6,FALSE)</f>
        <v>3200</v>
      </c>
      <c r="U243" s="71" t="s">
        <v>682</v>
      </c>
      <c r="V243">
        <f t="shared" si="37"/>
        <v>3200</v>
      </c>
      <c r="W243" s="71" t="s">
        <v>688</v>
      </c>
      <c r="X243" s="100">
        <f t="shared" si="38"/>
        <v>1</v>
      </c>
    </row>
    <row r="244" spans="1:24" x14ac:dyDescent="0.2">
      <c r="A244" s="40" t="s">
        <v>531</v>
      </c>
      <c r="B244" s="81" t="s">
        <v>454</v>
      </c>
      <c r="C244" s="3" t="s">
        <v>535</v>
      </c>
      <c r="D244" s="3" t="s">
        <v>540</v>
      </c>
      <c r="E244" s="3" t="b">
        <v>1</v>
      </c>
      <c r="F244" s="18">
        <f>VLOOKUP($B244,Constraints!$C$2:$Z$86,17, FALSE)</f>
        <v>0</v>
      </c>
      <c r="I244" s="18">
        <f t="shared" si="35"/>
        <v>0</v>
      </c>
      <c r="L244" s="18">
        <f>VLOOKUP($B244,Constraints!$C$2:$AK$86,28, FALSE)</f>
        <v>0</v>
      </c>
      <c r="M244" t="s">
        <v>675</v>
      </c>
      <c r="N244" s="18">
        <f>VLOOKUP($B244,Constraints!$C$28:$F$86,4,FALSE)</f>
        <v>780</v>
      </c>
      <c r="O244" t="str">
        <f>VLOOKUP($A244,'Capacity Name Ref'!$A$2:$G$16,6,FALSE)</f>
        <v>Local_Capacity_Margin</v>
      </c>
      <c r="P244">
        <f t="shared" si="36"/>
        <v>780</v>
      </c>
      <c r="Q244" t="str">
        <f t="shared" si="31"/>
        <v>Local_Capacity_Margin%</v>
      </c>
      <c r="R244" s="100">
        <f t="shared" si="28"/>
        <v>1</v>
      </c>
      <c r="S244" s="71" t="s">
        <v>674</v>
      </c>
      <c r="T244">
        <f>VLOOKUP($B244,Constraints!$C$68:$H$78,6,FALSE)</f>
        <v>800</v>
      </c>
      <c r="U244" s="71" t="s">
        <v>682</v>
      </c>
      <c r="V244">
        <f t="shared" si="37"/>
        <v>800</v>
      </c>
      <c r="W244" s="71" t="s">
        <v>688</v>
      </c>
      <c r="X244" s="100">
        <f t="shared" si="38"/>
        <v>1</v>
      </c>
    </row>
    <row r="245" spans="1:24" x14ac:dyDescent="0.2">
      <c r="A245" s="40" t="s">
        <v>531</v>
      </c>
      <c r="B245" s="81" t="s">
        <v>293</v>
      </c>
      <c r="C245" s="3" t="s">
        <v>535</v>
      </c>
      <c r="D245" s="3" t="s">
        <v>540</v>
      </c>
      <c r="E245" s="3" t="b">
        <v>1</v>
      </c>
      <c r="F245" s="18">
        <f>VLOOKUP($B245,Constraints!$C$2:$Z$86,17, FALSE)</f>
        <v>1560</v>
      </c>
      <c r="I245" s="18">
        <f t="shared" si="35"/>
        <v>1950</v>
      </c>
      <c r="L245" s="18">
        <f>VLOOKUP($B245,Constraints!$C$2:$AK$86,28, FALSE)</f>
        <v>52</v>
      </c>
      <c r="M245" t="s">
        <v>675</v>
      </c>
      <c r="N245" s="18">
        <f>VLOOKUP($B245,Constraints!$C$28:$F$86,4,FALSE)</f>
        <v>9000</v>
      </c>
      <c r="O245" t="str">
        <f>VLOOKUP($A245,'Capacity Name Ref'!$A$2:$G$16,6,FALSE)</f>
        <v>Local_Capacity_Margin</v>
      </c>
      <c r="P245">
        <f t="shared" si="36"/>
        <v>7440</v>
      </c>
      <c r="Q245" t="str">
        <f t="shared" si="31"/>
        <v>Local_Capacity_Margin%</v>
      </c>
      <c r="R245" s="100">
        <f t="shared" si="28"/>
        <v>0.82666666666666666</v>
      </c>
      <c r="S245" s="71" t="s">
        <v>674</v>
      </c>
      <c r="T245">
        <f>VLOOKUP($B245,Constraints!$C$68:$H$78,6,FALSE)</f>
        <v>9600</v>
      </c>
      <c r="U245" s="71" t="s">
        <v>682</v>
      </c>
      <c r="V245">
        <f t="shared" si="37"/>
        <v>8040</v>
      </c>
      <c r="W245" s="71" t="s">
        <v>688</v>
      </c>
      <c r="X245" s="100">
        <f t="shared" si="38"/>
        <v>0.83750000000000002</v>
      </c>
    </row>
    <row r="246" spans="1:24" x14ac:dyDescent="0.2">
      <c r="A246" s="40" t="s">
        <v>531</v>
      </c>
      <c r="B246" s="81" t="s">
        <v>294</v>
      </c>
      <c r="C246" s="3" t="s">
        <v>535</v>
      </c>
      <c r="D246" s="3" t="s">
        <v>540</v>
      </c>
      <c r="E246" s="3" t="b">
        <v>1</v>
      </c>
      <c r="F246" s="18">
        <f>VLOOKUP($B246,Constraints!$C$2:$Z$86,17, FALSE)</f>
        <v>1560</v>
      </c>
      <c r="I246" s="18">
        <f t="shared" si="35"/>
        <v>1950</v>
      </c>
      <c r="L246" s="18">
        <f>VLOOKUP($B246,Constraints!$C$2:$AK$86,28, FALSE)</f>
        <v>0</v>
      </c>
      <c r="M246" t="s">
        <v>675</v>
      </c>
      <c r="N246" s="18">
        <f>VLOOKUP($B246,Constraints!$C$28:$F$86,4,FALSE)</f>
        <v>9000</v>
      </c>
      <c r="O246" t="str">
        <f>VLOOKUP($A246,'Capacity Name Ref'!$A$2:$G$16,6,FALSE)</f>
        <v>Local_Capacity_Margin</v>
      </c>
      <c r="P246">
        <f t="shared" si="36"/>
        <v>7440</v>
      </c>
      <c r="Q246" t="str">
        <f t="shared" si="31"/>
        <v>Local_Capacity_Margin%</v>
      </c>
      <c r="R246" s="100">
        <f t="shared" si="28"/>
        <v>0.82666666666666666</v>
      </c>
      <c r="S246" s="71" t="s">
        <v>674</v>
      </c>
      <c r="T246">
        <f>VLOOKUP($B246,Constraints!$C$68:$H$78,6,FALSE)</f>
        <v>9600</v>
      </c>
      <c r="U246" s="71" t="s">
        <v>682</v>
      </c>
      <c r="V246">
        <f t="shared" si="37"/>
        <v>8040</v>
      </c>
      <c r="W246" s="71" t="s">
        <v>688</v>
      </c>
      <c r="X246" s="100">
        <f t="shared" si="38"/>
        <v>0.83750000000000002</v>
      </c>
    </row>
    <row r="247" spans="1:24" x14ac:dyDescent="0.2">
      <c r="A247" s="40" t="s">
        <v>259</v>
      </c>
      <c r="B247" s="3" t="s">
        <v>281</v>
      </c>
      <c r="C247" s="3" t="s">
        <v>535</v>
      </c>
      <c r="D247" s="3" t="s">
        <v>540</v>
      </c>
      <c r="E247" s="3" t="b">
        <v>1</v>
      </c>
      <c r="G247" s="18">
        <f>VLOOKUP($B247,Constraints!$C$2:$Z$86,17, FALSE)</f>
        <v>1326</v>
      </c>
      <c r="J247" s="18">
        <f>G247/0.8</f>
        <v>1657.5</v>
      </c>
      <c r="L247" s="18">
        <f>VLOOKUP($B247,Constraints!$C$2:$AK$86,28, FALSE)</f>
        <v>52</v>
      </c>
      <c r="N247" s="18">
        <f>VLOOKUP($B247,Constraints!$C$28:$F$86,4,FALSE)</f>
        <v>2000</v>
      </c>
      <c r="O247" t="str">
        <f>VLOOKUP($A247,'Capacity Name Ref'!$A$2:$G$16,6,FALSE)</f>
        <v>Local_Capacity_Margin</v>
      </c>
      <c r="P247">
        <f t="shared" si="36"/>
        <v>2000</v>
      </c>
      <c r="Q247" t="str">
        <f t="shared" si="31"/>
        <v>Local_Capacity_Margin%</v>
      </c>
      <c r="R247" s="100">
        <f t="shared" si="28"/>
        <v>1</v>
      </c>
    </row>
    <row r="248" spans="1:24" x14ac:dyDescent="0.2">
      <c r="A248" s="40" t="s">
        <v>259</v>
      </c>
      <c r="B248" s="3" t="s">
        <v>283</v>
      </c>
      <c r="C248" s="3" t="s">
        <v>535</v>
      </c>
      <c r="D248" s="3" t="s">
        <v>540</v>
      </c>
      <c r="E248" s="3" t="b">
        <v>1</v>
      </c>
      <c r="H248" s="18">
        <f>VLOOKUP($B248,Constraints!$C$2:$Z$86,17, FALSE)</f>
        <v>234</v>
      </c>
      <c r="K248" s="18">
        <f>H248/0.8</f>
        <v>292.5</v>
      </c>
      <c r="L248" s="18">
        <f>VLOOKUP($B248,Constraints!$C$2:$AK$86,28, FALSE)</f>
        <v>52</v>
      </c>
      <c r="N248" s="18">
        <f>VLOOKUP($B248,Constraints!$C$28:$F$86,4,FALSE)</f>
        <v>7000</v>
      </c>
      <c r="O248" t="str">
        <f>VLOOKUP($A248,'Capacity Name Ref'!$A$2:$G$16,6,FALSE)</f>
        <v>Local_Capacity_Margin</v>
      </c>
      <c r="P248">
        <f t="shared" si="36"/>
        <v>7000</v>
      </c>
      <c r="Q248" t="str">
        <f t="shared" si="31"/>
        <v>Local_Capacity_Margin%</v>
      </c>
      <c r="R248" s="100">
        <f t="shared" si="28"/>
        <v>1</v>
      </c>
    </row>
    <row r="249" spans="1:24" x14ac:dyDescent="0.2">
      <c r="A249" s="40" t="s">
        <v>295</v>
      </c>
      <c r="B249" s="82" t="s">
        <v>455</v>
      </c>
      <c r="C249" s="3" t="s">
        <v>535</v>
      </c>
      <c r="D249" s="3" t="s">
        <v>540</v>
      </c>
      <c r="E249" s="3" t="b">
        <v>1</v>
      </c>
      <c r="F249" s="18">
        <f>VLOOKUP($B249,Constraints!$C$2:$Z$86,17, FALSE)</f>
        <v>0</v>
      </c>
      <c r="I249" s="18">
        <f t="shared" ref="I249:I253" si="39">F249/0.8</f>
        <v>0</v>
      </c>
      <c r="L249" s="18">
        <f>VLOOKUP($B249,Constraints!$C$2:$AK$86,28, FALSE)</f>
        <v>0</v>
      </c>
      <c r="M249" t="s">
        <v>676</v>
      </c>
      <c r="N249" s="18">
        <f>VLOOKUP($B249,Constraints!$C$28:$F$86,4,FALSE)</f>
        <v>920</v>
      </c>
      <c r="O249" t="str">
        <f>VLOOKUP($A249,'Capacity Name Ref'!$A$2:$G$16,6,FALSE)</f>
        <v>Cell_Margin</v>
      </c>
      <c r="P249">
        <f t="shared" si="36"/>
        <v>920</v>
      </c>
      <c r="Q249" t="str">
        <f t="shared" si="31"/>
        <v>Cell_Margin%</v>
      </c>
      <c r="R249" s="100">
        <f t="shared" si="28"/>
        <v>1</v>
      </c>
    </row>
    <row r="250" spans="1:24" x14ac:dyDescent="0.2">
      <c r="A250" s="40" t="s">
        <v>295</v>
      </c>
      <c r="B250" s="82" t="s">
        <v>385</v>
      </c>
      <c r="C250" s="3" t="s">
        <v>535</v>
      </c>
      <c r="D250" s="3" t="s">
        <v>540</v>
      </c>
      <c r="E250" s="3" t="b">
        <v>1</v>
      </c>
      <c r="F250" s="18">
        <f>VLOOKUP($B250,Constraints!$C$2:$Z$86,17, FALSE)</f>
        <v>1560</v>
      </c>
      <c r="I250" s="18">
        <f t="shared" si="39"/>
        <v>1950</v>
      </c>
      <c r="L250" s="18">
        <f>VLOOKUP($B250,Constraints!$C$2:$AK$86,28, FALSE)</f>
        <v>52</v>
      </c>
      <c r="M250" t="s">
        <v>676</v>
      </c>
      <c r="N250" s="18">
        <f>VLOOKUP($B250,Constraints!$C$28:$F$86,4,FALSE)</f>
        <v>3680</v>
      </c>
      <c r="O250" t="str">
        <f>VLOOKUP($A250,'Capacity Name Ref'!$A$2:$G$16,6,FALSE)</f>
        <v>Cell_Margin</v>
      </c>
      <c r="P250">
        <f t="shared" si="36"/>
        <v>2120</v>
      </c>
      <c r="Q250" t="str">
        <f t="shared" si="31"/>
        <v>Cell_Margin%</v>
      </c>
      <c r="R250" s="100">
        <f t="shared" si="28"/>
        <v>0.57608695652173914</v>
      </c>
    </row>
    <row r="251" spans="1:24" x14ac:dyDescent="0.2">
      <c r="A251" s="40" t="s">
        <v>295</v>
      </c>
      <c r="B251" s="82" t="s">
        <v>386</v>
      </c>
      <c r="C251" s="3" t="s">
        <v>535</v>
      </c>
      <c r="D251" s="3" t="s">
        <v>540</v>
      </c>
      <c r="E251" s="3" t="b">
        <v>1</v>
      </c>
      <c r="F251" s="18">
        <f>VLOOKUP($B251,Constraints!$C$2:$Z$86,17, FALSE)</f>
        <v>0</v>
      </c>
      <c r="I251" s="18">
        <f t="shared" si="39"/>
        <v>0</v>
      </c>
      <c r="L251" s="18">
        <f>VLOOKUP($B251,Constraints!$C$2:$AK$86,28, FALSE)</f>
        <v>0</v>
      </c>
      <c r="M251" t="s">
        <v>676</v>
      </c>
      <c r="N251" s="18">
        <f>VLOOKUP($B251,Constraints!$C$28:$F$86,4,FALSE)</f>
        <v>680</v>
      </c>
      <c r="O251" t="str">
        <f>VLOOKUP($A251,'Capacity Name Ref'!$A$2:$G$16,6,FALSE)</f>
        <v>Cell_Margin</v>
      </c>
      <c r="P251">
        <f t="shared" si="36"/>
        <v>680</v>
      </c>
      <c r="Q251" t="str">
        <f t="shared" si="31"/>
        <v>Cell_Margin%</v>
      </c>
      <c r="R251" s="100">
        <f t="shared" si="28"/>
        <v>1</v>
      </c>
    </row>
    <row r="252" spans="1:24" x14ac:dyDescent="0.2">
      <c r="A252" s="40" t="s">
        <v>295</v>
      </c>
      <c r="B252" s="82" t="s">
        <v>388</v>
      </c>
      <c r="C252" s="3" t="s">
        <v>535</v>
      </c>
      <c r="D252" s="3" t="s">
        <v>540</v>
      </c>
      <c r="E252" s="3" t="b">
        <v>1</v>
      </c>
      <c r="F252" s="18">
        <f>VLOOKUP($B252,Constraints!$C$2:$Z$86,17, FALSE)</f>
        <v>0</v>
      </c>
      <c r="I252" s="18">
        <f t="shared" si="39"/>
        <v>0</v>
      </c>
      <c r="L252" s="18">
        <f>VLOOKUP($B252,Constraints!$C$2:$AK$86,28, FALSE)</f>
        <v>0</v>
      </c>
      <c r="M252" t="s">
        <v>676</v>
      </c>
      <c r="N252" s="18">
        <f>VLOOKUP($B252,Constraints!$C$28:$F$86,4,FALSE)</f>
        <v>1770</v>
      </c>
      <c r="O252" t="str">
        <f>VLOOKUP($A252,'Capacity Name Ref'!$A$2:$G$16,6,FALSE)</f>
        <v>Cell_Margin</v>
      </c>
      <c r="P252">
        <f t="shared" si="36"/>
        <v>1770</v>
      </c>
      <c r="Q252" t="str">
        <f t="shared" si="31"/>
        <v>Cell_Margin%</v>
      </c>
      <c r="R252" s="100">
        <f t="shared" si="28"/>
        <v>1</v>
      </c>
    </row>
    <row r="253" spans="1:24" x14ac:dyDescent="0.2">
      <c r="A253" s="40" t="s">
        <v>295</v>
      </c>
      <c r="B253" s="82" t="s">
        <v>387</v>
      </c>
      <c r="C253" s="3" t="s">
        <v>535</v>
      </c>
      <c r="D253" s="3" t="s">
        <v>540</v>
      </c>
      <c r="E253" s="3" t="b">
        <v>1</v>
      </c>
      <c r="F253" s="18">
        <f>VLOOKUP($B253,Constraints!$C$2:$Z$86,17, FALSE)</f>
        <v>0</v>
      </c>
      <c r="I253" s="18">
        <f t="shared" si="39"/>
        <v>0</v>
      </c>
      <c r="L253" s="18">
        <f>VLOOKUP($B253,Constraints!$C$2:$AK$86,28, FALSE)</f>
        <v>0</v>
      </c>
      <c r="M253" t="s">
        <v>676</v>
      </c>
      <c r="N253" s="18">
        <f>VLOOKUP($B253,Constraints!$C$28:$F$86,4,FALSE)</f>
        <v>1770</v>
      </c>
      <c r="O253" t="str">
        <f>VLOOKUP($A253,'Capacity Name Ref'!$A$2:$G$16,6,FALSE)</f>
        <v>Cell_Margin</v>
      </c>
      <c r="P253">
        <f t="shared" si="36"/>
        <v>1770</v>
      </c>
      <c r="Q253" t="str">
        <f t="shared" si="31"/>
        <v>Cell_Margin%</v>
      </c>
      <c r="R253" s="100">
        <f t="shared" si="28"/>
        <v>1</v>
      </c>
    </row>
    <row r="254" spans="1:24" x14ac:dyDescent="0.2">
      <c r="A254" s="83" t="s">
        <v>6</v>
      </c>
      <c r="B254" s="84" t="s">
        <v>466</v>
      </c>
      <c r="C254" s="85" t="s">
        <v>535</v>
      </c>
      <c r="D254" s="85" t="s">
        <v>541</v>
      </c>
      <c r="E254" s="85" t="b">
        <v>1</v>
      </c>
      <c r="F254" s="18">
        <f>VLOOKUP($B254,Constraints!$C$2:$Z$86,18, FALSE)</f>
        <v>0</v>
      </c>
      <c r="I254" s="18">
        <f>F254/0.8</f>
        <v>0</v>
      </c>
      <c r="L254" s="18">
        <f>VLOOKUP($B254,Constraints!$C$2:$AK$86,29, FALSE)</f>
        <v>0</v>
      </c>
      <c r="N254" s="18"/>
    </row>
    <row r="255" spans="1:24" x14ac:dyDescent="0.2">
      <c r="A255" s="83" t="s">
        <v>6</v>
      </c>
      <c r="B255" s="84" t="s">
        <v>467</v>
      </c>
      <c r="C255" s="85" t="s">
        <v>535</v>
      </c>
      <c r="D255" s="85" t="s">
        <v>541</v>
      </c>
      <c r="E255" s="85" t="b">
        <v>1</v>
      </c>
      <c r="F255" s="18">
        <f>VLOOKUP($B255,Constraints!$C$2:$Z$86,18, FALSE)</f>
        <v>0</v>
      </c>
      <c r="I255" s="18">
        <f t="shared" ref="I255:I303" si="40">F255/0.8</f>
        <v>0</v>
      </c>
      <c r="L255" s="18">
        <f>VLOOKUP($B255,Constraints!$C$2:$AK$86,29, FALSE)</f>
        <v>0</v>
      </c>
      <c r="N255" s="18"/>
    </row>
    <row r="256" spans="1:24" x14ac:dyDescent="0.2">
      <c r="A256" s="83" t="s">
        <v>6</v>
      </c>
      <c r="B256" s="84" t="s">
        <v>468</v>
      </c>
      <c r="C256" s="85" t="s">
        <v>535</v>
      </c>
      <c r="D256" s="85" t="s">
        <v>541</v>
      </c>
      <c r="E256" s="85" t="b">
        <v>1</v>
      </c>
      <c r="F256" s="18">
        <f>VLOOKUP($B256,Constraints!$C$2:$Z$86,18, FALSE)</f>
        <v>0</v>
      </c>
      <c r="I256" s="18">
        <f t="shared" si="40"/>
        <v>0</v>
      </c>
      <c r="L256" s="18">
        <f>VLOOKUP($B256,Constraints!$C$2:$AK$86,29, FALSE)</f>
        <v>0</v>
      </c>
      <c r="N256" s="18"/>
    </row>
    <row r="257" spans="1:14" x14ac:dyDescent="0.2">
      <c r="A257" s="83" t="s">
        <v>6</v>
      </c>
      <c r="B257" s="84" t="s">
        <v>469</v>
      </c>
      <c r="C257" s="85" t="s">
        <v>535</v>
      </c>
      <c r="D257" s="85" t="s">
        <v>541</v>
      </c>
      <c r="E257" s="85" t="b">
        <v>1</v>
      </c>
      <c r="F257" s="18">
        <f>VLOOKUP($B257,Constraints!$C$2:$Z$86,18, FALSE)</f>
        <v>0</v>
      </c>
      <c r="I257" s="18">
        <f t="shared" si="40"/>
        <v>0</v>
      </c>
      <c r="L257" s="18">
        <f>VLOOKUP($B257,Constraints!$C$2:$AK$86,29, FALSE)</f>
        <v>0</v>
      </c>
      <c r="N257" s="18"/>
    </row>
    <row r="258" spans="1:14" x14ac:dyDescent="0.2">
      <c r="A258" s="83" t="s">
        <v>6</v>
      </c>
      <c r="B258" s="84" t="s">
        <v>470</v>
      </c>
      <c r="C258" s="85" t="s">
        <v>535</v>
      </c>
      <c r="D258" s="85" t="s">
        <v>541</v>
      </c>
      <c r="E258" s="85" t="b">
        <v>1</v>
      </c>
      <c r="F258" s="18">
        <f>VLOOKUP($B258,Constraints!$C$2:$Z$86,18, FALSE)</f>
        <v>0</v>
      </c>
      <c r="I258" s="18">
        <f t="shared" si="40"/>
        <v>0</v>
      </c>
      <c r="L258" s="18">
        <f>VLOOKUP($B258,Constraints!$C$2:$AK$86,29, FALSE)</f>
        <v>0</v>
      </c>
      <c r="N258" s="18"/>
    </row>
    <row r="259" spans="1:14" x14ac:dyDescent="0.2">
      <c r="A259" s="83" t="s">
        <v>6</v>
      </c>
      <c r="B259" s="84" t="s">
        <v>471</v>
      </c>
      <c r="C259" s="85" t="s">
        <v>535</v>
      </c>
      <c r="D259" s="85" t="s">
        <v>541</v>
      </c>
      <c r="E259" s="85" t="b">
        <v>1</v>
      </c>
      <c r="F259" s="18">
        <f>VLOOKUP($B259,Constraints!$C$2:$Z$86,18, FALSE)</f>
        <v>0</v>
      </c>
      <c r="I259" s="18">
        <f t="shared" si="40"/>
        <v>0</v>
      </c>
      <c r="L259" s="18">
        <f>VLOOKUP($B259,Constraints!$C$2:$AK$86,29, FALSE)</f>
        <v>0</v>
      </c>
      <c r="N259" s="18"/>
    </row>
    <row r="260" spans="1:14" x14ac:dyDescent="0.2">
      <c r="A260" s="83" t="s">
        <v>6</v>
      </c>
      <c r="B260" s="84" t="s">
        <v>472</v>
      </c>
      <c r="C260" s="85" t="s">
        <v>535</v>
      </c>
      <c r="D260" s="85" t="s">
        <v>541</v>
      </c>
      <c r="E260" s="85" t="b">
        <v>1</v>
      </c>
      <c r="F260" s="18">
        <f>VLOOKUP($B260,Constraints!$C$2:$Z$86,18, FALSE)</f>
        <v>0</v>
      </c>
      <c r="I260" s="18">
        <f t="shared" si="40"/>
        <v>0</v>
      </c>
      <c r="L260" s="18">
        <f>VLOOKUP($B260,Constraints!$C$2:$AK$86,29, FALSE)</f>
        <v>0</v>
      </c>
      <c r="N260" s="18"/>
    </row>
    <row r="261" spans="1:14" x14ac:dyDescent="0.2">
      <c r="A261" s="83" t="s">
        <v>6</v>
      </c>
      <c r="B261" s="84" t="s">
        <v>473</v>
      </c>
      <c r="C261" s="85" t="s">
        <v>535</v>
      </c>
      <c r="D261" s="85" t="s">
        <v>541</v>
      </c>
      <c r="E261" s="85" t="b">
        <v>1</v>
      </c>
      <c r="F261" s="18">
        <f>VLOOKUP($B261,Constraints!$C$2:$Z$86,18, FALSE)</f>
        <v>0</v>
      </c>
      <c r="I261" s="18">
        <f t="shared" si="40"/>
        <v>0</v>
      </c>
      <c r="L261" s="18">
        <f>VLOOKUP($B261,Constraints!$C$2:$AK$86,29, FALSE)</f>
        <v>0</v>
      </c>
      <c r="N261" s="18"/>
    </row>
    <row r="262" spans="1:14" x14ac:dyDescent="0.2">
      <c r="A262" s="83" t="s">
        <v>6</v>
      </c>
      <c r="B262" s="84" t="s">
        <v>84</v>
      </c>
      <c r="C262" s="85" t="s">
        <v>535</v>
      </c>
      <c r="D262" s="85" t="s">
        <v>541</v>
      </c>
      <c r="E262" s="85" t="b">
        <v>1</v>
      </c>
      <c r="F262" s="18">
        <f>VLOOKUP($B262,Constraints!$C$2:$Z$86,18, FALSE)</f>
        <v>0</v>
      </c>
      <c r="I262" s="18">
        <f t="shared" si="40"/>
        <v>0</v>
      </c>
      <c r="L262" s="18">
        <f>VLOOKUP($B262,Constraints!$C$2:$AK$86,29, FALSE)</f>
        <v>0</v>
      </c>
      <c r="N262" s="18"/>
    </row>
    <row r="263" spans="1:14" x14ac:dyDescent="0.2">
      <c r="A263" s="83" t="s">
        <v>6</v>
      </c>
      <c r="B263" s="84" t="s">
        <v>97</v>
      </c>
      <c r="C263" s="85" t="s">
        <v>535</v>
      </c>
      <c r="D263" s="85" t="s">
        <v>541</v>
      </c>
      <c r="E263" s="85" t="b">
        <v>1</v>
      </c>
      <c r="F263" s="18">
        <f>VLOOKUP($B263,Constraints!$C$2:$Z$86,18, FALSE)</f>
        <v>0</v>
      </c>
      <c r="I263" s="18">
        <f t="shared" si="40"/>
        <v>0</v>
      </c>
      <c r="L263" s="18">
        <f>VLOOKUP($B263,Constraints!$C$2:$AK$86,29, FALSE)</f>
        <v>0</v>
      </c>
      <c r="N263" s="18"/>
    </row>
    <row r="264" spans="1:14" x14ac:dyDescent="0.2">
      <c r="A264" s="83" t="s">
        <v>6</v>
      </c>
      <c r="B264" s="84" t="s">
        <v>111</v>
      </c>
      <c r="C264" s="85" t="s">
        <v>535</v>
      </c>
      <c r="D264" s="85" t="s">
        <v>541</v>
      </c>
      <c r="E264" s="85" t="b">
        <v>1</v>
      </c>
      <c r="F264" s="18">
        <f>VLOOKUP($B264,Constraints!$C$2:$Z$86,18, FALSE)</f>
        <v>0</v>
      </c>
      <c r="I264" s="18">
        <f t="shared" si="40"/>
        <v>0</v>
      </c>
      <c r="L264" s="18">
        <f>VLOOKUP($B264,Constraints!$C$2:$AK$86,29, FALSE)</f>
        <v>0</v>
      </c>
      <c r="N264" s="18"/>
    </row>
    <row r="265" spans="1:14" x14ac:dyDescent="0.2">
      <c r="A265" s="83" t="s">
        <v>6</v>
      </c>
      <c r="B265" s="84" t="s">
        <v>124</v>
      </c>
      <c r="C265" s="85" t="s">
        <v>535</v>
      </c>
      <c r="D265" s="85" t="s">
        <v>541</v>
      </c>
      <c r="E265" s="85" t="b">
        <v>1</v>
      </c>
      <c r="F265" s="18">
        <f>VLOOKUP($B265,Constraints!$C$2:$Z$86,18, FALSE)</f>
        <v>0</v>
      </c>
      <c r="I265" s="18">
        <f t="shared" si="40"/>
        <v>0</v>
      </c>
      <c r="L265" s="18">
        <f>VLOOKUP($B265,Constraints!$C$2:$AK$86,29, FALSE)</f>
        <v>0</v>
      </c>
      <c r="N265" s="18"/>
    </row>
    <row r="266" spans="1:14" x14ac:dyDescent="0.2">
      <c r="A266" s="83" t="s">
        <v>6</v>
      </c>
      <c r="B266" s="84" t="s">
        <v>138</v>
      </c>
      <c r="C266" s="85" t="s">
        <v>535</v>
      </c>
      <c r="D266" s="85" t="s">
        <v>541</v>
      </c>
      <c r="E266" s="85" t="b">
        <v>1</v>
      </c>
      <c r="F266" s="18">
        <f>VLOOKUP($B266,Constraints!$C$2:$Z$86,18, FALSE)</f>
        <v>0</v>
      </c>
      <c r="I266" s="18">
        <f t="shared" si="40"/>
        <v>0</v>
      </c>
      <c r="L266" s="18">
        <f>VLOOKUP($B266,Constraints!$C$2:$AK$86,29, FALSE)</f>
        <v>0</v>
      </c>
      <c r="N266" s="18"/>
    </row>
    <row r="267" spans="1:14" x14ac:dyDescent="0.2">
      <c r="A267" s="83" t="s">
        <v>6</v>
      </c>
      <c r="B267" s="84" t="s">
        <v>151</v>
      </c>
      <c r="C267" s="85" t="s">
        <v>535</v>
      </c>
      <c r="D267" s="85" t="s">
        <v>541</v>
      </c>
      <c r="E267" s="85" t="b">
        <v>1</v>
      </c>
      <c r="F267" s="18">
        <f>VLOOKUP($B267,Constraints!$C$2:$Z$86,18, FALSE)</f>
        <v>0</v>
      </c>
      <c r="I267" s="18">
        <f t="shared" si="40"/>
        <v>0</v>
      </c>
      <c r="L267" s="18">
        <f>VLOOKUP($B267,Constraints!$C$2:$AK$86,29, FALSE)</f>
        <v>0</v>
      </c>
      <c r="N267" s="18"/>
    </row>
    <row r="268" spans="1:14" x14ac:dyDescent="0.2">
      <c r="A268" s="83" t="s">
        <v>6</v>
      </c>
      <c r="B268" s="84" t="s">
        <v>165</v>
      </c>
      <c r="C268" s="85" t="s">
        <v>535</v>
      </c>
      <c r="D268" s="85" t="s">
        <v>541</v>
      </c>
      <c r="E268" s="85" t="b">
        <v>1</v>
      </c>
      <c r="F268" s="18">
        <f>VLOOKUP($B268,Constraints!$C$2:$Z$86,18, FALSE)</f>
        <v>360</v>
      </c>
      <c r="I268" s="18">
        <f t="shared" si="40"/>
        <v>450</v>
      </c>
      <c r="L268" s="18">
        <f>VLOOKUP($B268,Constraints!$C$2:$AK$86,29, FALSE)</f>
        <v>12</v>
      </c>
      <c r="N268" s="18"/>
    </row>
    <row r="269" spans="1:14" x14ac:dyDescent="0.2">
      <c r="A269" s="83" t="s">
        <v>6</v>
      </c>
      <c r="B269" s="84" t="s">
        <v>178</v>
      </c>
      <c r="C269" s="85" t="s">
        <v>535</v>
      </c>
      <c r="D269" s="85" t="s">
        <v>541</v>
      </c>
      <c r="E269" s="85" t="b">
        <v>1</v>
      </c>
      <c r="F269" s="18">
        <f>VLOOKUP($B269,Constraints!$C$2:$Z$86,18, FALSE)</f>
        <v>360</v>
      </c>
      <c r="I269" s="18">
        <f t="shared" si="40"/>
        <v>450</v>
      </c>
      <c r="L269" s="18">
        <f>VLOOKUP($B269,Constraints!$C$2:$AK$86,29, FALSE)</f>
        <v>12</v>
      </c>
      <c r="N269" s="18"/>
    </row>
    <row r="270" spans="1:14" x14ac:dyDescent="0.2">
      <c r="A270" s="83" t="s">
        <v>6</v>
      </c>
      <c r="B270" s="84" t="s">
        <v>192</v>
      </c>
      <c r="C270" s="85" t="s">
        <v>535</v>
      </c>
      <c r="D270" s="85" t="s">
        <v>541</v>
      </c>
      <c r="E270" s="85" t="b">
        <v>1</v>
      </c>
      <c r="F270" s="18">
        <f>VLOOKUP($B270,Constraints!$C$2:$Z$86,18, FALSE)</f>
        <v>360</v>
      </c>
      <c r="I270" s="18">
        <f t="shared" si="40"/>
        <v>450</v>
      </c>
      <c r="L270" s="18">
        <f>VLOOKUP($B270,Constraints!$C$2:$AK$86,29, FALSE)</f>
        <v>12</v>
      </c>
      <c r="N270" s="18"/>
    </row>
    <row r="271" spans="1:14" x14ac:dyDescent="0.2">
      <c r="A271" s="83" t="s">
        <v>6</v>
      </c>
      <c r="B271" s="84" t="s">
        <v>205</v>
      </c>
      <c r="C271" s="85" t="s">
        <v>535</v>
      </c>
      <c r="D271" s="85" t="s">
        <v>541</v>
      </c>
      <c r="E271" s="85" t="b">
        <v>1</v>
      </c>
      <c r="F271" s="18">
        <f>VLOOKUP($B271,Constraints!$C$2:$Z$86,18, FALSE)</f>
        <v>0</v>
      </c>
      <c r="I271" s="18">
        <f t="shared" si="40"/>
        <v>0</v>
      </c>
      <c r="L271" s="18">
        <f>VLOOKUP($B271,Constraints!$C$2:$AK$86,29, FALSE)</f>
        <v>0</v>
      </c>
      <c r="N271" s="18"/>
    </row>
    <row r="272" spans="1:14" x14ac:dyDescent="0.2">
      <c r="A272" s="83" t="s">
        <v>6</v>
      </c>
      <c r="B272" s="84" t="s">
        <v>219</v>
      </c>
      <c r="C272" s="85" t="s">
        <v>535</v>
      </c>
      <c r="D272" s="85" t="s">
        <v>541</v>
      </c>
      <c r="E272" s="85" t="b">
        <v>1</v>
      </c>
      <c r="F272" s="18">
        <f>VLOOKUP($B272,Constraints!$C$2:$Z$86,18, FALSE)</f>
        <v>360</v>
      </c>
      <c r="I272" s="18">
        <f t="shared" si="40"/>
        <v>450</v>
      </c>
      <c r="L272" s="18">
        <f>VLOOKUP($B272,Constraints!$C$2:$AK$86,29, FALSE)</f>
        <v>12</v>
      </c>
      <c r="N272" s="18"/>
    </row>
    <row r="273" spans="1:18" x14ac:dyDescent="0.2">
      <c r="A273" s="83" t="s">
        <v>6</v>
      </c>
      <c r="B273" s="84" t="s">
        <v>232</v>
      </c>
      <c r="C273" s="85" t="s">
        <v>535</v>
      </c>
      <c r="D273" s="85" t="s">
        <v>541</v>
      </c>
      <c r="E273" s="85" t="b">
        <v>1</v>
      </c>
      <c r="F273" s="18">
        <f>VLOOKUP($B273,Constraints!$C$2:$Z$86,18, FALSE)</f>
        <v>120</v>
      </c>
      <c r="I273" s="18">
        <f t="shared" si="40"/>
        <v>150</v>
      </c>
      <c r="L273" s="18">
        <f>VLOOKUP($B273,Constraints!$C$2:$AK$86,29, FALSE)</f>
        <v>4</v>
      </c>
      <c r="N273" s="18"/>
    </row>
    <row r="274" spans="1:18" x14ac:dyDescent="0.2">
      <c r="A274" s="83" t="s">
        <v>6</v>
      </c>
      <c r="B274" s="84" t="s">
        <v>38</v>
      </c>
      <c r="C274" s="85" t="s">
        <v>535</v>
      </c>
      <c r="D274" s="85" t="s">
        <v>541</v>
      </c>
      <c r="E274" s="85" t="b">
        <v>1</v>
      </c>
      <c r="F274" s="18">
        <f>VLOOKUP($B274,Constraints!$C$2:$Z$86,18, FALSE)</f>
        <v>0</v>
      </c>
      <c r="I274" s="18">
        <f t="shared" si="40"/>
        <v>0</v>
      </c>
      <c r="L274" s="18">
        <f>VLOOKUP($B274,Constraints!$C$2:$AK$86,29, FALSE)</f>
        <v>0</v>
      </c>
      <c r="N274" s="18"/>
    </row>
    <row r="275" spans="1:18" x14ac:dyDescent="0.2">
      <c r="A275" s="83" t="s">
        <v>6</v>
      </c>
      <c r="B275" s="84" t="s">
        <v>302</v>
      </c>
      <c r="C275" s="85" t="s">
        <v>535</v>
      </c>
      <c r="D275" s="85" t="s">
        <v>541</v>
      </c>
      <c r="E275" s="85" t="b">
        <v>1</v>
      </c>
      <c r="F275" s="18">
        <f>VLOOKUP($B275,Constraints!$C$2:$Z$86,18, FALSE)</f>
        <v>0</v>
      </c>
      <c r="I275" s="18">
        <f t="shared" si="40"/>
        <v>0</v>
      </c>
      <c r="L275" s="18">
        <f>VLOOKUP($B275,Constraints!$C$2:$AK$86,29, FALSE)</f>
        <v>0</v>
      </c>
      <c r="N275" s="18"/>
    </row>
    <row r="276" spans="1:18" x14ac:dyDescent="0.2">
      <c r="A276" s="83" t="s">
        <v>6</v>
      </c>
      <c r="B276" s="84" t="s">
        <v>379</v>
      </c>
      <c r="C276" s="85" t="s">
        <v>535</v>
      </c>
      <c r="D276" s="85" t="s">
        <v>541</v>
      </c>
      <c r="E276" s="85" t="b">
        <v>1</v>
      </c>
      <c r="F276" s="18">
        <f>VLOOKUP($B276,Constraints!$C$2:$Z$86,18, FALSE)</f>
        <v>0</v>
      </c>
      <c r="I276" s="18">
        <f t="shared" si="40"/>
        <v>0</v>
      </c>
      <c r="L276" s="18">
        <f>VLOOKUP($B276,Constraints!$C$2:$AK$86,29, FALSE)</f>
        <v>0</v>
      </c>
      <c r="N276" s="18"/>
    </row>
    <row r="277" spans="1:18" x14ac:dyDescent="0.2">
      <c r="A277" s="83" t="s">
        <v>6</v>
      </c>
      <c r="B277" s="84" t="s">
        <v>380</v>
      </c>
      <c r="C277" s="85" t="s">
        <v>535</v>
      </c>
      <c r="D277" s="85" t="s">
        <v>541</v>
      </c>
      <c r="E277" s="85" t="b">
        <v>1</v>
      </c>
      <c r="F277" s="18">
        <f>VLOOKUP($B277,Constraints!$C$2:$Z$86,18, FALSE)</f>
        <v>0</v>
      </c>
      <c r="I277" s="18">
        <f t="shared" si="40"/>
        <v>0</v>
      </c>
      <c r="L277" s="18">
        <f>VLOOKUP($B277,Constraints!$C$2:$AK$86,29, FALSE)</f>
        <v>0</v>
      </c>
      <c r="N277" s="18"/>
    </row>
    <row r="278" spans="1:18" x14ac:dyDescent="0.2">
      <c r="A278" s="83" t="s">
        <v>6</v>
      </c>
      <c r="B278" s="84" t="s">
        <v>381</v>
      </c>
      <c r="C278" s="85" t="s">
        <v>535</v>
      </c>
      <c r="D278" s="85" t="s">
        <v>541</v>
      </c>
      <c r="E278" s="85" t="b">
        <v>1</v>
      </c>
      <c r="F278" s="18">
        <f>VLOOKUP($B278,Constraints!$C$2:$Z$86,18, FALSE)</f>
        <v>0</v>
      </c>
      <c r="I278" s="18">
        <f t="shared" si="40"/>
        <v>0</v>
      </c>
      <c r="L278" s="18">
        <f>VLOOKUP($B278,Constraints!$C$2:$AK$86,29, FALSE)</f>
        <v>0</v>
      </c>
      <c r="N278" s="18"/>
    </row>
    <row r="279" spans="1:18" x14ac:dyDescent="0.2">
      <c r="A279" s="83" t="s">
        <v>6</v>
      </c>
      <c r="B279" s="84" t="s">
        <v>382</v>
      </c>
      <c r="C279" s="85" t="s">
        <v>535</v>
      </c>
      <c r="D279" s="85" t="s">
        <v>541</v>
      </c>
      <c r="E279" s="85" t="b">
        <v>1</v>
      </c>
      <c r="F279" s="18">
        <f>VLOOKUP($B279,Constraints!$C$2:$Z$86,18, FALSE)</f>
        <v>0</v>
      </c>
      <c r="I279" s="18">
        <f t="shared" si="40"/>
        <v>0</v>
      </c>
      <c r="L279" s="18">
        <f>VLOOKUP($B279,Constraints!$C$2:$AK$86,29, FALSE)</f>
        <v>0</v>
      </c>
      <c r="N279" s="18"/>
    </row>
    <row r="280" spans="1:18" x14ac:dyDescent="0.2">
      <c r="A280" s="83" t="s">
        <v>530</v>
      </c>
      <c r="B280" s="84" t="s">
        <v>448</v>
      </c>
      <c r="C280" s="85" t="s">
        <v>535</v>
      </c>
      <c r="D280" s="85" t="s">
        <v>541</v>
      </c>
      <c r="E280" s="85" t="b">
        <v>1</v>
      </c>
      <c r="F280" s="18">
        <f>VLOOKUP($B280,Constraints!$C$2:$Z$86,18, FALSE)</f>
        <v>0</v>
      </c>
      <c r="I280" s="18">
        <f t="shared" si="40"/>
        <v>0</v>
      </c>
      <c r="L280" s="18">
        <f>VLOOKUP($B280,Constraints!$C$2:$AK$86,29, FALSE)</f>
        <v>0</v>
      </c>
      <c r="M280" t="s">
        <v>664</v>
      </c>
      <c r="N280" s="18">
        <f>VLOOKUP($B280,Constraints!$C$28:$F$86,4,FALSE)</f>
        <v>230</v>
      </c>
      <c r="O280" t="str">
        <f>VLOOKUP($A280,'Capacity Name Ref'!$A$2:$G$16,6,FALSE)</f>
        <v>Device_Capacity_Margin</v>
      </c>
      <c r="P280">
        <f>N280-F280</f>
        <v>230</v>
      </c>
      <c r="Q280" t="str">
        <f t="shared" si="31"/>
        <v>Device_Capacity_Margin%</v>
      </c>
      <c r="R280" s="100">
        <f>P280/N280</f>
        <v>1</v>
      </c>
    </row>
    <row r="281" spans="1:18" x14ac:dyDescent="0.2">
      <c r="A281" s="83" t="s">
        <v>530</v>
      </c>
      <c r="B281" s="84" t="s">
        <v>449</v>
      </c>
      <c r="C281" s="85" t="s">
        <v>535</v>
      </c>
      <c r="D281" s="85" t="s">
        <v>541</v>
      </c>
      <c r="E281" s="85" t="b">
        <v>1</v>
      </c>
      <c r="F281" s="18">
        <f>VLOOKUP($B281,Constraints!$C$2:$Z$86,18, FALSE)</f>
        <v>0</v>
      </c>
      <c r="I281" s="18">
        <f t="shared" si="40"/>
        <v>0</v>
      </c>
      <c r="L281" s="18">
        <f>VLOOKUP($B281,Constraints!$C$2:$AK$86,29, FALSE)</f>
        <v>0</v>
      </c>
      <c r="M281" t="s">
        <v>664</v>
      </c>
      <c r="N281" s="18">
        <f>VLOOKUP($B281,Constraints!$C$28:$F$86,4,FALSE)</f>
        <v>230</v>
      </c>
      <c r="O281" t="str">
        <f>VLOOKUP($A281,'Capacity Name Ref'!$A$2:$G$16,6,FALSE)</f>
        <v>Device_Capacity_Margin</v>
      </c>
      <c r="P281">
        <f t="shared" ref="P281:P303" si="41">N281-F281</f>
        <v>230</v>
      </c>
      <c r="Q281" t="str">
        <f t="shared" si="31"/>
        <v>Device_Capacity_Margin%</v>
      </c>
      <c r="R281" s="100">
        <f t="shared" ref="R281:R337" si="42">P281/N281</f>
        <v>1</v>
      </c>
    </row>
    <row r="282" spans="1:18" x14ac:dyDescent="0.2">
      <c r="A282" s="83" t="s">
        <v>530</v>
      </c>
      <c r="B282" s="84" t="s">
        <v>450</v>
      </c>
      <c r="C282" s="85" t="s">
        <v>535</v>
      </c>
      <c r="D282" s="85" t="s">
        <v>541</v>
      </c>
      <c r="E282" s="85" t="b">
        <v>1</v>
      </c>
      <c r="F282" s="18">
        <f>VLOOKUP($B282,Constraints!$C$2:$Z$86,18, FALSE)</f>
        <v>0</v>
      </c>
      <c r="I282" s="18">
        <f t="shared" si="40"/>
        <v>0</v>
      </c>
      <c r="L282" s="18">
        <f>VLOOKUP($B282,Constraints!$C$2:$AK$86,29, FALSE)</f>
        <v>0</v>
      </c>
      <c r="M282" t="s">
        <v>664</v>
      </c>
      <c r="N282" s="18">
        <f>VLOOKUP($B282,Constraints!$C$28:$F$86,4,FALSE)</f>
        <v>230</v>
      </c>
      <c r="O282" t="str">
        <f>VLOOKUP($A282,'Capacity Name Ref'!$A$2:$G$16,6,FALSE)</f>
        <v>Device_Capacity_Margin</v>
      </c>
      <c r="P282">
        <f t="shared" si="41"/>
        <v>230</v>
      </c>
      <c r="Q282" t="str">
        <f t="shared" si="31"/>
        <v>Device_Capacity_Margin%</v>
      </c>
      <c r="R282" s="100">
        <f t="shared" si="42"/>
        <v>1</v>
      </c>
    </row>
    <row r="283" spans="1:18" x14ac:dyDescent="0.2">
      <c r="A283" s="83" t="s">
        <v>530</v>
      </c>
      <c r="B283" s="84" t="s">
        <v>451</v>
      </c>
      <c r="C283" s="85" t="s">
        <v>535</v>
      </c>
      <c r="D283" s="85" t="s">
        <v>541</v>
      </c>
      <c r="E283" s="85" t="b">
        <v>1</v>
      </c>
      <c r="F283" s="18">
        <f>VLOOKUP($B283,Constraints!$C$2:$Z$86,18, FALSE)</f>
        <v>0</v>
      </c>
      <c r="I283" s="18">
        <f t="shared" si="40"/>
        <v>0</v>
      </c>
      <c r="L283" s="18">
        <f>VLOOKUP($B283,Constraints!$C$2:$AK$86,29, FALSE)</f>
        <v>0</v>
      </c>
      <c r="M283" t="s">
        <v>664</v>
      </c>
      <c r="N283" s="18">
        <f>VLOOKUP($B283,Constraints!$C$28:$F$86,4,FALSE)</f>
        <v>230</v>
      </c>
      <c r="O283" t="str">
        <f>VLOOKUP($A283,'Capacity Name Ref'!$A$2:$G$16,6,FALSE)</f>
        <v>Device_Capacity_Margin</v>
      </c>
      <c r="P283">
        <f t="shared" si="41"/>
        <v>230</v>
      </c>
      <c r="Q283" t="str">
        <f t="shared" si="31"/>
        <v>Device_Capacity_Margin%</v>
      </c>
      <c r="R283" s="100">
        <f t="shared" si="42"/>
        <v>1</v>
      </c>
    </row>
    <row r="284" spans="1:18" x14ac:dyDescent="0.2">
      <c r="A284" s="83" t="s">
        <v>530</v>
      </c>
      <c r="B284" s="84" t="s">
        <v>27</v>
      </c>
      <c r="C284" s="85" t="s">
        <v>535</v>
      </c>
      <c r="D284" s="85" t="s">
        <v>541</v>
      </c>
      <c r="E284" s="85" t="b">
        <v>1</v>
      </c>
      <c r="F284" s="18">
        <f>VLOOKUP($B284,Constraints!$C$2:$Z$86,18, FALSE)</f>
        <v>120</v>
      </c>
      <c r="I284" s="18">
        <f t="shared" si="40"/>
        <v>150</v>
      </c>
      <c r="L284" s="18">
        <f>VLOOKUP($B284,Constraints!$C$2:$AK$86,29, FALSE)</f>
        <v>4</v>
      </c>
      <c r="M284" t="s">
        <v>664</v>
      </c>
      <c r="N284" s="18">
        <f>VLOOKUP($B284,Constraints!$C$28:$F$86,4,FALSE)</f>
        <v>920</v>
      </c>
      <c r="O284" t="str">
        <f>VLOOKUP($A284,'Capacity Name Ref'!$A$2:$G$16,6,FALSE)</f>
        <v>Device_Capacity_Margin</v>
      </c>
      <c r="P284">
        <f t="shared" si="41"/>
        <v>800</v>
      </c>
      <c r="Q284" t="str">
        <f t="shared" si="31"/>
        <v>Device_Capacity_Margin%</v>
      </c>
      <c r="R284" s="100">
        <f t="shared" si="42"/>
        <v>0.86956521739130432</v>
      </c>
    </row>
    <row r="285" spans="1:18" x14ac:dyDescent="0.2">
      <c r="A285" s="83" t="s">
        <v>530</v>
      </c>
      <c r="B285" s="84" t="s">
        <v>30</v>
      </c>
      <c r="C285" s="85" t="s">
        <v>535</v>
      </c>
      <c r="D285" s="85" t="s">
        <v>541</v>
      </c>
      <c r="E285" s="85" t="b">
        <v>1</v>
      </c>
      <c r="F285" s="18">
        <f>VLOOKUP($B285,Constraints!$C$2:$Z$86,18, FALSE)</f>
        <v>120</v>
      </c>
      <c r="I285" s="18">
        <f t="shared" si="40"/>
        <v>150</v>
      </c>
      <c r="L285" s="18">
        <f>VLOOKUP($B285,Constraints!$C$2:$AK$86,29, FALSE)</f>
        <v>4</v>
      </c>
      <c r="M285" t="s">
        <v>664</v>
      </c>
      <c r="N285" s="18">
        <f>VLOOKUP($B285,Constraints!$C$28:$F$86,4,FALSE)</f>
        <v>920</v>
      </c>
      <c r="O285" t="str">
        <f>VLOOKUP($A285,'Capacity Name Ref'!$A$2:$G$16,6,FALSE)</f>
        <v>Device_Capacity_Margin</v>
      </c>
      <c r="P285">
        <f t="shared" si="41"/>
        <v>800</v>
      </c>
      <c r="Q285" t="str">
        <f t="shared" ref="Q285:Q337" si="43">O285&amp;"%"</f>
        <v>Device_Capacity_Margin%</v>
      </c>
      <c r="R285" s="100">
        <f t="shared" si="42"/>
        <v>0.86956521739130432</v>
      </c>
    </row>
    <row r="286" spans="1:18" x14ac:dyDescent="0.2">
      <c r="A286" s="83" t="s">
        <v>530</v>
      </c>
      <c r="B286" s="84" t="s">
        <v>32</v>
      </c>
      <c r="C286" s="85" t="s">
        <v>535</v>
      </c>
      <c r="D286" s="85" t="s">
        <v>541</v>
      </c>
      <c r="E286" s="85" t="b">
        <v>1</v>
      </c>
      <c r="F286" s="18">
        <f>VLOOKUP($B286,Constraints!$C$2:$Z$86,18, FALSE)</f>
        <v>660</v>
      </c>
      <c r="I286" s="18">
        <f t="shared" si="40"/>
        <v>825</v>
      </c>
      <c r="L286" s="18">
        <f>VLOOKUP($B286,Constraints!$C$2:$AK$86,29, FALSE)</f>
        <v>22</v>
      </c>
      <c r="M286" t="s">
        <v>664</v>
      </c>
      <c r="N286" s="18">
        <f>VLOOKUP($B286,Constraints!$C$28:$F$86,4,FALSE)</f>
        <v>920</v>
      </c>
      <c r="O286" t="str">
        <f>VLOOKUP($A286,'Capacity Name Ref'!$A$2:$G$16,6,FALSE)</f>
        <v>Device_Capacity_Margin</v>
      </c>
      <c r="P286">
        <f t="shared" si="41"/>
        <v>260</v>
      </c>
      <c r="Q286" t="str">
        <f t="shared" si="43"/>
        <v>Device_Capacity_Margin%</v>
      </c>
      <c r="R286" s="100">
        <f t="shared" si="42"/>
        <v>0.28260869565217389</v>
      </c>
    </row>
    <row r="287" spans="1:18" x14ac:dyDescent="0.2">
      <c r="A287" s="83" t="s">
        <v>530</v>
      </c>
      <c r="B287" s="84" t="s">
        <v>33</v>
      </c>
      <c r="C287" s="85" t="s">
        <v>535</v>
      </c>
      <c r="D287" s="85" t="s">
        <v>541</v>
      </c>
      <c r="E287" s="85" t="b">
        <v>1</v>
      </c>
      <c r="F287" s="18">
        <f>VLOOKUP($B287,Constraints!$C$2:$Z$86,18, FALSE)</f>
        <v>660</v>
      </c>
      <c r="I287" s="18">
        <f t="shared" si="40"/>
        <v>825</v>
      </c>
      <c r="L287" s="18">
        <f>VLOOKUP($B287,Constraints!$C$2:$AK$86,29, FALSE)</f>
        <v>22</v>
      </c>
      <c r="M287" t="s">
        <v>664</v>
      </c>
      <c r="N287" s="18">
        <f>VLOOKUP($B287,Constraints!$C$28:$F$86,4,FALSE)</f>
        <v>920</v>
      </c>
      <c r="O287" t="str">
        <f>VLOOKUP($A287,'Capacity Name Ref'!$A$2:$G$16,6,FALSE)</f>
        <v>Device_Capacity_Margin</v>
      </c>
      <c r="P287">
        <f t="shared" si="41"/>
        <v>260</v>
      </c>
      <c r="Q287" t="str">
        <f t="shared" si="43"/>
        <v>Device_Capacity_Margin%</v>
      </c>
      <c r="R287" s="100">
        <f t="shared" si="42"/>
        <v>0.28260869565217389</v>
      </c>
    </row>
    <row r="288" spans="1:18" x14ac:dyDescent="0.2">
      <c r="A288" s="83" t="s">
        <v>530</v>
      </c>
      <c r="B288" s="84" t="s">
        <v>64</v>
      </c>
      <c r="C288" s="85" t="s">
        <v>535</v>
      </c>
      <c r="D288" s="85" t="s">
        <v>541</v>
      </c>
      <c r="E288" s="85" t="b">
        <v>1</v>
      </c>
      <c r="F288" s="18">
        <f>VLOOKUP($B288,Constraints!$C$2:$Z$86,18, FALSE)</f>
        <v>0</v>
      </c>
      <c r="I288" s="18">
        <f t="shared" si="40"/>
        <v>0</v>
      </c>
      <c r="L288" s="18">
        <f>VLOOKUP($B288,Constraints!$C$2:$AK$86,29, FALSE)</f>
        <v>0</v>
      </c>
      <c r="M288" t="s">
        <v>664</v>
      </c>
      <c r="N288" s="18">
        <f>VLOOKUP($B288,Constraints!$C$28:$F$86,4,FALSE)</f>
        <v>345</v>
      </c>
      <c r="O288" t="str">
        <f>VLOOKUP($A288,'Capacity Name Ref'!$A$2:$G$16,6,FALSE)</f>
        <v>Device_Capacity_Margin</v>
      </c>
      <c r="P288">
        <f t="shared" si="41"/>
        <v>345</v>
      </c>
      <c r="Q288" t="str">
        <f t="shared" si="43"/>
        <v>Device_Capacity_Margin%</v>
      </c>
      <c r="R288" s="100">
        <f t="shared" si="42"/>
        <v>1</v>
      </c>
    </row>
    <row r="289" spans="1:18" x14ac:dyDescent="0.2">
      <c r="A289" s="83" t="s">
        <v>530</v>
      </c>
      <c r="B289" s="84" t="s">
        <v>65</v>
      </c>
      <c r="C289" s="85" t="s">
        <v>535</v>
      </c>
      <c r="D289" s="85" t="s">
        <v>541</v>
      </c>
      <c r="E289" s="85" t="b">
        <v>1</v>
      </c>
      <c r="F289" s="18">
        <f>VLOOKUP($B289,Constraints!$C$2:$Z$86,18, FALSE)</f>
        <v>0</v>
      </c>
      <c r="I289" s="18">
        <f t="shared" si="40"/>
        <v>0</v>
      </c>
      <c r="L289" s="18">
        <f>VLOOKUP($B289,Constraints!$C$2:$AK$86,29, FALSE)</f>
        <v>0</v>
      </c>
      <c r="M289" t="s">
        <v>664</v>
      </c>
      <c r="N289" s="18">
        <f>VLOOKUP($B289,Constraints!$C$28:$F$86,4,FALSE)</f>
        <v>345</v>
      </c>
      <c r="O289" t="str">
        <f>VLOOKUP($A289,'Capacity Name Ref'!$A$2:$G$16,6,FALSE)</f>
        <v>Device_Capacity_Margin</v>
      </c>
      <c r="P289">
        <f t="shared" si="41"/>
        <v>345</v>
      </c>
      <c r="Q289" t="str">
        <f t="shared" si="43"/>
        <v>Device_Capacity_Margin%</v>
      </c>
      <c r="R289" s="100">
        <f t="shared" si="42"/>
        <v>1</v>
      </c>
    </row>
    <row r="290" spans="1:18" x14ac:dyDescent="0.2">
      <c r="A290" s="83" t="s">
        <v>530</v>
      </c>
      <c r="B290" s="84" t="s">
        <v>305</v>
      </c>
      <c r="C290" s="85" t="s">
        <v>535</v>
      </c>
      <c r="D290" s="85" t="s">
        <v>541</v>
      </c>
      <c r="E290" s="85" t="b">
        <v>1</v>
      </c>
      <c r="F290" s="18">
        <f>VLOOKUP($B290,Constraints!$C$2:$Z$86,18, FALSE)</f>
        <v>0</v>
      </c>
      <c r="I290" s="18">
        <f t="shared" si="40"/>
        <v>0</v>
      </c>
      <c r="L290" s="18">
        <f>VLOOKUP($B290,Constraints!$C$2:$AK$86,29, FALSE)</f>
        <v>0</v>
      </c>
      <c r="M290" t="s">
        <v>664</v>
      </c>
      <c r="N290" s="18">
        <f>VLOOKUP($B290,Constraints!$C$28:$F$86,4,FALSE)</f>
        <v>920</v>
      </c>
      <c r="O290" t="str">
        <f>VLOOKUP($A290,'Capacity Name Ref'!$A$2:$G$16,6,FALSE)</f>
        <v>Device_Capacity_Margin</v>
      </c>
      <c r="P290">
        <f t="shared" si="41"/>
        <v>920</v>
      </c>
      <c r="Q290" t="str">
        <f t="shared" si="43"/>
        <v>Device_Capacity_Margin%</v>
      </c>
      <c r="R290" s="100">
        <f t="shared" si="42"/>
        <v>1</v>
      </c>
    </row>
    <row r="291" spans="1:18" x14ac:dyDescent="0.2">
      <c r="A291" s="83" t="s">
        <v>530</v>
      </c>
      <c r="B291" s="84" t="s">
        <v>307</v>
      </c>
      <c r="C291" s="85" t="s">
        <v>535</v>
      </c>
      <c r="D291" s="85" t="s">
        <v>541</v>
      </c>
      <c r="E291" s="85" t="b">
        <v>1</v>
      </c>
      <c r="F291" s="18">
        <f>VLOOKUP($B291,Constraints!$C$2:$Z$86,18, FALSE)</f>
        <v>0</v>
      </c>
      <c r="I291" s="18">
        <f t="shared" si="40"/>
        <v>0</v>
      </c>
      <c r="L291" s="18">
        <f>VLOOKUP($B291,Constraints!$C$2:$AK$86,29, FALSE)</f>
        <v>0</v>
      </c>
      <c r="M291" t="s">
        <v>664</v>
      </c>
      <c r="N291" s="18">
        <f>VLOOKUP($B291,Constraints!$C$28:$F$86,4,FALSE)</f>
        <v>920</v>
      </c>
      <c r="O291" t="str">
        <f>VLOOKUP($A291,'Capacity Name Ref'!$A$2:$G$16,6,FALSE)</f>
        <v>Device_Capacity_Margin</v>
      </c>
      <c r="P291">
        <f t="shared" si="41"/>
        <v>920</v>
      </c>
      <c r="Q291" t="str">
        <f t="shared" si="43"/>
        <v>Device_Capacity_Margin%</v>
      </c>
      <c r="R291" s="100">
        <f t="shared" si="42"/>
        <v>1</v>
      </c>
    </row>
    <row r="292" spans="1:18" x14ac:dyDescent="0.2">
      <c r="A292" s="83" t="s">
        <v>530</v>
      </c>
      <c r="B292" s="84" t="s">
        <v>309</v>
      </c>
      <c r="C292" s="85" t="s">
        <v>535</v>
      </c>
      <c r="D292" s="85" t="s">
        <v>541</v>
      </c>
      <c r="E292" s="85" t="b">
        <v>1</v>
      </c>
      <c r="F292" s="18">
        <f>VLOOKUP($B292,Constraints!$C$2:$Z$86,18, FALSE)</f>
        <v>0</v>
      </c>
      <c r="I292" s="18">
        <f t="shared" si="40"/>
        <v>0</v>
      </c>
      <c r="L292" s="18">
        <f>VLOOKUP($B292,Constraints!$C$2:$AK$86,29, FALSE)</f>
        <v>0</v>
      </c>
      <c r="M292" t="s">
        <v>664</v>
      </c>
      <c r="N292" s="18">
        <f>VLOOKUP($B292,Constraints!$C$28:$F$86,4,FALSE)</f>
        <v>920</v>
      </c>
      <c r="O292" t="str">
        <f>VLOOKUP($A292,'Capacity Name Ref'!$A$2:$G$16,6,FALSE)</f>
        <v>Device_Capacity_Margin</v>
      </c>
      <c r="P292">
        <f t="shared" si="41"/>
        <v>920</v>
      </c>
      <c r="Q292" t="str">
        <f t="shared" si="43"/>
        <v>Device_Capacity_Margin%</v>
      </c>
      <c r="R292" s="100">
        <f t="shared" si="42"/>
        <v>1</v>
      </c>
    </row>
    <row r="293" spans="1:18" x14ac:dyDescent="0.2">
      <c r="A293" s="83" t="s">
        <v>530</v>
      </c>
      <c r="B293" s="84" t="s">
        <v>311</v>
      </c>
      <c r="C293" s="85" t="s">
        <v>535</v>
      </c>
      <c r="D293" s="85" t="s">
        <v>541</v>
      </c>
      <c r="E293" s="85" t="b">
        <v>1</v>
      </c>
      <c r="F293" s="18">
        <f>VLOOKUP($B293,Constraints!$C$2:$Z$86,18, FALSE)</f>
        <v>0</v>
      </c>
      <c r="I293" s="18">
        <f t="shared" si="40"/>
        <v>0</v>
      </c>
      <c r="L293" s="18">
        <f>VLOOKUP($B293,Constraints!$C$2:$AK$86,29, FALSE)</f>
        <v>0</v>
      </c>
      <c r="M293" t="s">
        <v>664</v>
      </c>
      <c r="N293" s="18">
        <f>VLOOKUP($B293,Constraints!$C$28:$F$86,4,FALSE)</f>
        <v>920</v>
      </c>
      <c r="O293" t="str">
        <f>VLOOKUP($A293,'Capacity Name Ref'!$A$2:$G$16,6,FALSE)</f>
        <v>Device_Capacity_Margin</v>
      </c>
      <c r="P293">
        <f t="shared" si="41"/>
        <v>920</v>
      </c>
      <c r="Q293" t="str">
        <f t="shared" si="43"/>
        <v>Device_Capacity_Margin%</v>
      </c>
      <c r="R293" s="100">
        <f t="shared" si="42"/>
        <v>1</v>
      </c>
    </row>
    <row r="294" spans="1:18" x14ac:dyDescent="0.2">
      <c r="A294" s="83" t="s">
        <v>530</v>
      </c>
      <c r="B294" s="84" t="s">
        <v>29</v>
      </c>
      <c r="C294" s="85" t="s">
        <v>535</v>
      </c>
      <c r="D294" s="85" t="s">
        <v>541</v>
      </c>
      <c r="E294" s="85" t="b">
        <v>1</v>
      </c>
      <c r="F294" s="18">
        <f>VLOOKUP($B294,Constraints!$C$2:$Z$86,18, FALSE)</f>
        <v>540</v>
      </c>
      <c r="I294" s="18">
        <f t="shared" si="40"/>
        <v>675</v>
      </c>
      <c r="L294" s="18">
        <f>VLOOKUP($B294,Constraints!$C$2:$AK$86,29, FALSE)</f>
        <v>0</v>
      </c>
      <c r="M294" t="s">
        <v>664</v>
      </c>
      <c r="N294" s="18">
        <f>VLOOKUP($B294,Constraints!$C$28:$F$86,4,FALSE)</f>
        <v>1380</v>
      </c>
      <c r="O294" t="str">
        <f>VLOOKUP($A294,'Capacity Name Ref'!$A$2:$G$16,6,FALSE)</f>
        <v>Device_Capacity_Margin</v>
      </c>
      <c r="P294">
        <f t="shared" si="41"/>
        <v>840</v>
      </c>
      <c r="Q294" t="str">
        <f t="shared" si="43"/>
        <v>Device_Capacity_Margin%</v>
      </c>
      <c r="R294" s="100">
        <f t="shared" si="42"/>
        <v>0.60869565217391308</v>
      </c>
    </row>
    <row r="295" spans="1:18" x14ac:dyDescent="0.2">
      <c r="A295" s="83" t="s">
        <v>530</v>
      </c>
      <c r="B295" s="84" t="s">
        <v>28</v>
      </c>
      <c r="C295" s="85" t="s">
        <v>535</v>
      </c>
      <c r="D295" s="85" t="s">
        <v>541</v>
      </c>
      <c r="E295" s="85" t="b">
        <v>1</v>
      </c>
      <c r="F295" s="18">
        <f>VLOOKUP($B295,Constraints!$C$2:$Z$86,18, FALSE)</f>
        <v>300</v>
      </c>
      <c r="I295" s="18">
        <f t="shared" si="40"/>
        <v>375</v>
      </c>
      <c r="L295" s="18">
        <f>VLOOKUP($B295,Constraints!$C$2:$AK$86,29, FALSE)</f>
        <v>0</v>
      </c>
      <c r="M295" t="s">
        <v>664</v>
      </c>
      <c r="N295" s="18">
        <f>VLOOKUP($B295,Constraints!$C$28:$F$86,4,FALSE)</f>
        <v>1380</v>
      </c>
      <c r="O295" t="str">
        <f>VLOOKUP($A295,'Capacity Name Ref'!$A$2:$G$16,6,FALSE)</f>
        <v>Device_Capacity_Margin</v>
      </c>
      <c r="P295">
        <f t="shared" si="41"/>
        <v>1080</v>
      </c>
      <c r="Q295" t="str">
        <f t="shared" si="43"/>
        <v>Device_Capacity_Margin%</v>
      </c>
      <c r="R295" s="100">
        <f t="shared" si="42"/>
        <v>0.78260869565217395</v>
      </c>
    </row>
    <row r="296" spans="1:18" x14ac:dyDescent="0.2">
      <c r="A296" s="83" t="s">
        <v>530</v>
      </c>
      <c r="B296" s="84" t="s">
        <v>31</v>
      </c>
      <c r="C296" s="85" t="s">
        <v>535</v>
      </c>
      <c r="D296" s="85" t="s">
        <v>541</v>
      </c>
      <c r="E296" s="85" t="b">
        <v>1</v>
      </c>
      <c r="F296" s="18">
        <f>VLOOKUP($B296,Constraints!$C$2:$Z$86,18, FALSE)</f>
        <v>0</v>
      </c>
      <c r="I296" s="18">
        <f t="shared" si="40"/>
        <v>0</v>
      </c>
      <c r="L296" s="18">
        <f>VLOOKUP($B296,Constraints!$C$2:$AK$86,29, FALSE)</f>
        <v>0</v>
      </c>
      <c r="M296" t="s">
        <v>664</v>
      </c>
      <c r="N296" s="18">
        <f>VLOOKUP($B296,Constraints!$C$28:$F$86,4,FALSE)</f>
        <v>920</v>
      </c>
      <c r="O296" t="str">
        <f>VLOOKUP($A296,'Capacity Name Ref'!$A$2:$G$16,6,FALSE)</f>
        <v>Device_Capacity_Margin</v>
      </c>
      <c r="P296">
        <f t="shared" si="41"/>
        <v>920</v>
      </c>
      <c r="Q296" t="str">
        <f t="shared" si="43"/>
        <v>Device_Capacity_Margin%</v>
      </c>
      <c r="R296" s="100">
        <f t="shared" si="42"/>
        <v>1</v>
      </c>
    </row>
    <row r="297" spans="1:18" x14ac:dyDescent="0.2">
      <c r="A297" s="83" t="s">
        <v>530</v>
      </c>
      <c r="B297" s="84" t="s">
        <v>34</v>
      </c>
      <c r="C297" s="85" t="s">
        <v>535</v>
      </c>
      <c r="D297" s="85" t="s">
        <v>541</v>
      </c>
      <c r="E297" s="85" t="b">
        <v>1</v>
      </c>
      <c r="F297" s="18">
        <f>VLOOKUP($B297,Constraints!$C$2:$Z$86,18, FALSE)</f>
        <v>720</v>
      </c>
      <c r="I297" s="18">
        <f t="shared" si="40"/>
        <v>900</v>
      </c>
      <c r="L297" s="18">
        <f>VLOOKUP($B297,Constraints!$C$2:$AK$86,29, FALSE)</f>
        <v>0</v>
      </c>
      <c r="M297" t="s">
        <v>664</v>
      </c>
      <c r="N297" s="18">
        <f>VLOOKUP($B297,Constraints!$C$28:$F$86,4,FALSE)</f>
        <v>1380</v>
      </c>
      <c r="O297" t="str">
        <f>VLOOKUP($A297,'Capacity Name Ref'!$A$2:$G$16,6,FALSE)</f>
        <v>Device_Capacity_Margin</v>
      </c>
      <c r="P297">
        <f t="shared" si="41"/>
        <v>660</v>
      </c>
      <c r="Q297" t="str">
        <f t="shared" si="43"/>
        <v>Device_Capacity_Margin%</v>
      </c>
      <c r="R297" s="100">
        <f t="shared" si="42"/>
        <v>0.47826086956521741</v>
      </c>
    </row>
    <row r="298" spans="1:18" x14ac:dyDescent="0.2">
      <c r="A298" s="83" t="s">
        <v>530</v>
      </c>
      <c r="B298" s="84" t="s">
        <v>66</v>
      </c>
      <c r="C298" s="85" t="s">
        <v>535</v>
      </c>
      <c r="D298" s="85" t="s">
        <v>541</v>
      </c>
      <c r="E298" s="85" t="b">
        <v>1</v>
      </c>
      <c r="F298" s="18">
        <f>VLOOKUP($B298,Constraints!$C$2:$Z$86,18, FALSE)</f>
        <v>0</v>
      </c>
      <c r="I298" s="18">
        <f t="shared" si="40"/>
        <v>0</v>
      </c>
      <c r="L298" s="18">
        <f>VLOOKUP($B298,Constraints!$C$2:$AK$86,29, FALSE)</f>
        <v>0</v>
      </c>
      <c r="M298" t="s">
        <v>664</v>
      </c>
      <c r="N298" s="18">
        <f>VLOOKUP($B298,Constraints!$C$28:$F$86,4,FALSE)</f>
        <v>345</v>
      </c>
      <c r="O298" t="str">
        <f>VLOOKUP($A298,'Capacity Name Ref'!$A$2:$G$16,6,FALSE)</f>
        <v>Device_Capacity_Margin</v>
      </c>
      <c r="P298">
        <f t="shared" si="41"/>
        <v>345</v>
      </c>
      <c r="Q298" t="str">
        <f t="shared" si="43"/>
        <v>Device_Capacity_Margin%</v>
      </c>
      <c r="R298" s="100">
        <f t="shared" si="42"/>
        <v>1</v>
      </c>
    </row>
    <row r="299" spans="1:18" x14ac:dyDescent="0.2">
      <c r="A299" s="83" t="s">
        <v>530</v>
      </c>
      <c r="B299" s="84" t="s">
        <v>67</v>
      </c>
      <c r="C299" s="85" t="s">
        <v>535</v>
      </c>
      <c r="D299" s="85" t="s">
        <v>541</v>
      </c>
      <c r="E299" s="85" t="b">
        <v>1</v>
      </c>
      <c r="F299" s="18">
        <f>VLOOKUP($B299,Constraints!$C$2:$Z$86,18, FALSE)</f>
        <v>0</v>
      </c>
      <c r="I299" s="18">
        <f t="shared" si="40"/>
        <v>0</v>
      </c>
      <c r="L299" s="18">
        <f>VLOOKUP($B299,Constraints!$C$2:$AK$86,29, FALSE)</f>
        <v>0</v>
      </c>
      <c r="M299" t="s">
        <v>664</v>
      </c>
      <c r="N299" s="18">
        <f>VLOOKUP($B299,Constraints!$C$28:$F$86,4,FALSE)</f>
        <v>345</v>
      </c>
      <c r="O299" t="str">
        <f>VLOOKUP($A299,'Capacity Name Ref'!$A$2:$G$16,6,FALSE)</f>
        <v>Device_Capacity_Margin</v>
      </c>
      <c r="P299">
        <f t="shared" si="41"/>
        <v>345</v>
      </c>
      <c r="Q299" t="str">
        <f t="shared" si="43"/>
        <v>Device_Capacity_Margin%</v>
      </c>
      <c r="R299" s="100">
        <f t="shared" si="42"/>
        <v>1</v>
      </c>
    </row>
    <row r="300" spans="1:18" x14ac:dyDescent="0.2">
      <c r="A300" s="83" t="s">
        <v>530</v>
      </c>
      <c r="B300" s="84" t="s">
        <v>306</v>
      </c>
      <c r="C300" s="85" t="s">
        <v>535</v>
      </c>
      <c r="D300" s="85" t="s">
        <v>541</v>
      </c>
      <c r="E300" s="85" t="b">
        <v>1</v>
      </c>
      <c r="F300" s="18">
        <f>VLOOKUP($B300,Constraints!$C$2:$Z$86,18, FALSE)</f>
        <v>0</v>
      </c>
      <c r="I300" s="18">
        <f t="shared" si="40"/>
        <v>0</v>
      </c>
      <c r="L300" s="18">
        <f>VLOOKUP($B300,Constraints!$C$2:$AK$86,29, FALSE)</f>
        <v>0</v>
      </c>
      <c r="M300" t="s">
        <v>664</v>
      </c>
      <c r="N300" s="18">
        <f>VLOOKUP($B300,Constraints!$C$28:$F$86,4,FALSE)</f>
        <v>920</v>
      </c>
      <c r="O300" t="str">
        <f>VLOOKUP($A300,'Capacity Name Ref'!$A$2:$G$16,6,FALSE)</f>
        <v>Device_Capacity_Margin</v>
      </c>
      <c r="P300">
        <f t="shared" si="41"/>
        <v>920</v>
      </c>
      <c r="Q300" t="str">
        <f t="shared" si="43"/>
        <v>Device_Capacity_Margin%</v>
      </c>
      <c r="R300" s="100">
        <f t="shared" si="42"/>
        <v>1</v>
      </c>
    </row>
    <row r="301" spans="1:18" x14ac:dyDescent="0.2">
      <c r="A301" s="83" t="s">
        <v>530</v>
      </c>
      <c r="B301" s="84" t="s">
        <v>308</v>
      </c>
      <c r="C301" s="85" t="s">
        <v>535</v>
      </c>
      <c r="D301" s="85" t="s">
        <v>541</v>
      </c>
      <c r="E301" s="85" t="b">
        <v>1</v>
      </c>
      <c r="F301" s="18">
        <f>VLOOKUP($B301,Constraints!$C$2:$Z$86,18, FALSE)</f>
        <v>0</v>
      </c>
      <c r="I301" s="18">
        <f t="shared" si="40"/>
        <v>0</v>
      </c>
      <c r="L301" s="18">
        <f>VLOOKUP($B301,Constraints!$C$2:$AK$86,29, FALSE)</f>
        <v>0</v>
      </c>
      <c r="M301" t="s">
        <v>664</v>
      </c>
      <c r="N301" s="18">
        <f>VLOOKUP($B301,Constraints!$C$28:$F$86,4,FALSE)</f>
        <v>920</v>
      </c>
      <c r="O301" t="str">
        <f>VLOOKUP($A301,'Capacity Name Ref'!$A$2:$G$16,6,FALSE)</f>
        <v>Device_Capacity_Margin</v>
      </c>
      <c r="P301">
        <f t="shared" si="41"/>
        <v>920</v>
      </c>
      <c r="Q301" t="str">
        <f t="shared" si="43"/>
        <v>Device_Capacity_Margin%</v>
      </c>
      <c r="R301" s="100">
        <f t="shared" si="42"/>
        <v>1</v>
      </c>
    </row>
    <row r="302" spans="1:18" x14ac:dyDescent="0.2">
      <c r="A302" s="83" t="s">
        <v>530</v>
      </c>
      <c r="B302" s="84" t="s">
        <v>310</v>
      </c>
      <c r="C302" s="85" t="s">
        <v>535</v>
      </c>
      <c r="D302" s="85" t="s">
        <v>541</v>
      </c>
      <c r="E302" s="85" t="b">
        <v>1</v>
      </c>
      <c r="F302" s="18">
        <f>VLOOKUP($B302,Constraints!$C$2:$Z$86,18, FALSE)</f>
        <v>0</v>
      </c>
      <c r="I302" s="18">
        <f t="shared" si="40"/>
        <v>0</v>
      </c>
      <c r="L302" s="18">
        <f>VLOOKUP($B302,Constraints!$C$2:$AK$86,29, FALSE)</f>
        <v>0</v>
      </c>
      <c r="M302" t="s">
        <v>664</v>
      </c>
      <c r="N302" s="18">
        <f>VLOOKUP($B302,Constraints!$C$28:$F$86,4,FALSE)</f>
        <v>920</v>
      </c>
      <c r="O302" t="str">
        <f>VLOOKUP($A302,'Capacity Name Ref'!$A$2:$G$16,6,FALSE)</f>
        <v>Device_Capacity_Margin</v>
      </c>
      <c r="P302">
        <f t="shared" si="41"/>
        <v>920</v>
      </c>
      <c r="Q302" t="str">
        <f t="shared" si="43"/>
        <v>Device_Capacity_Margin%</v>
      </c>
      <c r="R302" s="100">
        <f t="shared" si="42"/>
        <v>1</v>
      </c>
    </row>
    <row r="303" spans="1:18" x14ac:dyDescent="0.2">
      <c r="A303" s="83" t="s">
        <v>530</v>
      </c>
      <c r="B303" s="84" t="s">
        <v>312</v>
      </c>
      <c r="C303" s="85" t="s">
        <v>535</v>
      </c>
      <c r="D303" s="85" t="s">
        <v>541</v>
      </c>
      <c r="E303" s="85" t="b">
        <v>1</v>
      </c>
      <c r="F303" s="18">
        <f>VLOOKUP($B303,Constraints!$C$2:$Z$86,18, FALSE)</f>
        <v>0</v>
      </c>
      <c r="I303" s="18">
        <f t="shared" si="40"/>
        <v>0</v>
      </c>
      <c r="L303" s="18">
        <f>VLOOKUP($B303,Constraints!$C$2:$AK$86,29, FALSE)</f>
        <v>0</v>
      </c>
      <c r="M303" t="s">
        <v>664</v>
      </c>
      <c r="N303" s="18">
        <f>VLOOKUP($B303,Constraints!$C$28:$F$86,4,FALSE)</f>
        <v>920</v>
      </c>
      <c r="O303" t="str">
        <f>VLOOKUP($A303,'Capacity Name Ref'!$A$2:$G$16,6,FALSE)</f>
        <v>Device_Capacity_Margin</v>
      </c>
      <c r="P303">
        <f t="shared" si="41"/>
        <v>920</v>
      </c>
      <c r="Q303" t="str">
        <f t="shared" si="43"/>
        <v>Device_Capacity_Margin%</v>
      </c>
      <c r="R303" s="100">
        <f t="shared" si="42"/>
        <v>1</v>
      </c>
    </row>
    <row r="304" spans="1:18" x14ac:dyDescent="0.2">
      <c r="A304" s="83" t="s">
        <v>1</v>
      </c>
      <c r="B304" s="84" t="s">
        <v>397</v>
      </c>
      <c r="C304" s="85" t="s">
        <v>535</v>
      </c>
      <c r="D304" s="85" t="s">
        <v>541</v>
      </c>
      <c r="E304" s="85" t="b">
        <v>1</v>
      </c>
      <c r="H304" s="18">
        <f>VLOOKUP($B304,Constraints!$C$2:$Z$86,18, FALSE)</f>
        <v>0</v>
      </c>
      <c r="K304" s="18">
        <f>H304/0.8</f>
        <v>0</v>
      </c>
      <c r="L304" s="18">
        <f>VLOOKUP($B304,Constraints!$C$2:$AK$86,29, FALSE)</f>
        <v>0</v>
      </c>
      <c r="M304" t="s">
        <v>668</v>
      </c>
      <c r="N304" s="18">
        <f>VLOOKUP($B304,Constraints!$C$28:$F$86,4,FALSE)</f>
        <v>200</v>
      </c>
      <c r="O304" t="str">
        <f>VLOOKUP($A304,'Capacity Name Ref'!$A$2:$G$16,6,FALSE)</f>
        <v>Local_Capacity_Margin</v>
      </c>
      <c r="P304">
        <f>N304-H304</f>
        <v>200</v>
      </c>
      <c r="Q304" t="str">
        <f t="shared" si="43"/>
        <v>Local_Capacity_Margin%</v>
      </c>
      <c r="R304" s="100">
        <f t="shared" si="42"/>
        <v>1</v>
      </c>
    </row>
    <row r="305" spans="1:24" x14ac:dyDescent="0.2">
      <c r="A305" s="83" t="s">
        <v>1</v>
      </c>
      <c r="B305" s="84" t="s">
        <v>422</v>
      </c>
      <c r="C305" s="85" t="s">
        <v>535</v>
      </c>
      <c r="D305" s="85" t="s">
        <v>541</v>
      </c>
      <c r="E305" s="85" t="b">
        <v>1</v>
      </c>
      <c r="H305" s="18">
        <f>VLOOKUP($B305,Constraints!$C$2:$Z$86,18, FALSE)</f>
        <v>0</v>
      </c>
      <c r="K305" s="18">
        <f t="shared" ref="K305:K310" si="44">H305/0.8</f>
        <v>0</v>
      </c>
      <c r="L305" s="18">
        <f>VLOOKUP($B305,Constraints!$C$2:$AK$86,29, FALSE)</f>
        <v>0</v>
      </c>
      <c r="M305" t="s">
        <v>668</v>
      </c>
      <c r="N305" s="18">
        <f>VLOOKUP($B305,Constraints!$C$28:$F$86,4,FALSE)</f>
        <v>200</v>
      </c>
      <c r="O305" t="str">
        <f>VLOOKUP($A305,'Capacity Name Ref'!$A$2:$G$16,6,FALSE)</f>
        <v>Local_Capacity_Margin</v>
      </c>
      <c r="P305">
        <f t="shared" ref="P305:P310" si="45">N305-H305</f>
        <v>200</v>
      </c>
      <c r="Q305" t="str">
        <f t="shared" si="43"/>
        <v>Local_Capacity_Margin%</v>
      </c>
      <c r="R305" s="100">
        <f t="shared" si="42"/>
        <v>1</v>
      </c>
    </row>
    <row r="306" spans="1:24" x14ac:dyDescent="0.2">
      <c r="A306" s="83" t="s">
        <v>1</v>
      </c>
      <c r="B306" s="84" t="s">
        <v>247</v>
      </c>
      <c r="C306" s="85" t="s">
        <v>535</v>
      </c>
      <c r="D306" s="85" t="s">
        <v>541</v>
      </c>
      <c r="E306" s="85" t="b">
        <v>1</v>
      </c>
      <c r="H306" s="18">
        <f>VLOOKUP($B306,Constraints!$C$2:$Z$86,18, FALSE)</f>
        <v>1326</v>
      </c>
      <c r="K306" s="18">
        <f t="shared" si="44"/>
        <v>1657.5</v>
      </c>
      <c r="L306" s="18">
        <f>VLOOKUP($B306,Constraints!$C$2:$AK$86,29, FALSE)</f>
        <v>52</v>
      </c>
      <c r="M306" t="s">
        <v>668</v>
      </c>
      <c r="N306" s="18">
        <f>VLOOKUP($B306,Constraints!$C$28:$F$86,4,FALSE)</f>
        <v>2000</v>
      </c>
      <c r="O306" t="str">
        <f>VLOOKUP($A306,'Capacity Name Ref'!$A$2:$G$16,6,FALSE)</f>
        <v>Local_Capacity_Margin</v>
      </c>
      <c r="P306">
        <f t="shared" si="45"/>
        <v>674</v>
      </c>
      <c r="Q306" t="str">
        <f t="shared" si="43"/>
        <v>Local_Capacity_Margin%</v>
      </c>
      <c r="R306" s="100">
        <f t="shared" si="42"/>
        <v>0.33700000000000002</v>
      </c>
    </row>
    <row r="307" spans="1:24" x14ac:dyDescent="0.2">
      <c r="A307" s="83" t="s">
        <v>1</v>
      </c>
      <c r="B307" s="84" t="s">
        <v>246</v>
      </c>
      <c r="C307" s="85" t="s">
        <v>535</v>
      </c>
      <c r="D307" s="85" t="s">
        <v>541</v>
      </c>
      <c r="E307" s="85" t="b">
        <v>1</v>
      </c>
      <c r="H307" s="18">
        <f>VLOOKUP($B307,Constraints!$C$2:$Z$86,18, FALSE)</f>
        <v>0</v>
      </c>
      <c r="K307" s="18">
        <f t="shared" si="44"/>
        <v>0</v>
      </c>
      <c r="L307" s="18">
        <f>VLOOKUP($B307,Constraints!$C$2:$AK$86,29, FALSE)</f>
        <v>0</v>
      </c>
      <c r="M307" t="s">
        <v>668</v>
      </c>
      <c r="N307" s="18">
        <f>VLOOKUP($B307,Constraints!$C$28:$F$86,4,FALSE)</f>
        <v>1000</v>
      </c>
      <c r="O307" t="str">
        <f>VLOOKUP($A307,'Capacity Name Ref'!$A$2:$G$16,6,FALSE)</f>
        <v>Local_Capacity_Margin</v>
      </c>
      <c r="P307">
        <f t="shared" si="45"/>
        <v>1000</v>
      </c>
      <c r="Q307" t="str">
        <f t="shared" si="43"/>
        <v>Local_Capacity_Margin%</v>
      </c>
      <c r="R307" s="100">
        <f t="shared" si="42"/>
        <v>1</v>
      </c>
    </row>
    <row r="308" spans="1:24" x14ac:dyDescent="0.2">
      <c r="A308" s="83" t="s">
        <v>1</v>
      </c>
      <c r="B308" s="84" t="s">
        <v>252</v>
      </c>
      <c r="C308" s="85" t="s">
        <v>535</v>
      </c>
      <c r="D308" s="85" t="s">
        <v>541</v>
      </c>
      <c r="E308" s="85" t="b">
        <v>1</v>
      </c>
      <c r="H308" s="18">
        <f>VLOOKUP($B308,Constraints!$C$2:$Z$86,18, FALSE)</f>
        <v>0</v>
      </c>
      <c r="K308" s="18">
        <f t="shared" si="44"/>
        <v>0</v>
      </c>
      <c r="L308" s="18">
        <f>VLOOKUP($B308,Constraints!$C$2:$AK$86,29, FALSE)</f>
        <v>0</v>
      </c>
      <c r="M308" t="s">
        <v>668</v>
      </c>
      <c r="N308" s="18">
        <f>VLOOKUP($B308,Constraints!$C$28:$F$86,4,FALSE)</f>
        <v>500</v>
      </c>
      <c r="O308" t="str">
        <f>VLOOKUP($A308,'Capacity Name Ref'!$A$2:$G$16,6,FALSE)</f>
        <v>Local_Capacity_Margin</v>
      </c>
      <c r="P308">
        <f t="shared" si="45"/>
        <v>500</v>
      </c>
      <c r="Q308" t="str">
        <f t="shared" si="43"/>
        <v>Local_Capacity_Margin%</v>
      </c>
      <c r="R308" s="100">
        <f t="shared" si="42"/>
        <v>1</v>
      </c>
    </row>
    <row r="309" spans="1:24" x14ac:dyDescent="0.2">
      <c r="A309" s="83" t="s">
        <v>1</v>
      </c>
      <c r="B309" s="84" t="s">
        <v>318</v>
      </c>
      <c r="C309" s="85" t="s">
        <v>535</v>
      </c>
      <c r="D309" s="85" t="s">
        <v>541</v>
      </c>
      <c r="E309" s="85" t="b">
        <v>1</v>
      </c>
      <c r="H309" s="18">
        <f>VLOOKUP($B309,Constraints!$C$2:$Z$86,18, FALSE)</f>
        <v>0</v>
      </c>
      <c r="K309" s="18">
        <f t="shared" si="44"/>
        <v>0</v>
      </c>
      <c r="L309" s="18">
        <f>VLOOKUP($B309,Constraints!$C$2:$AK$86,29, FALSE)</f>
        <v>0</v>
      </c>
      <c r="M309" t="s">
        <v>668</v>
      </c>
      <c r="N309" s="18">
        <f>VLOOKUP($B309,Constraints!$C$28:$F$86,4,FALSE)</f>
        <v>1500</v>
      </c>
      <c r="O309" t="str">
        <f>VLOOKUP($A309,'Capacity Name Ref'!$A$2:$G$16,6,FALSE)</f>
        <v>Local_Capacity_Margin</v>
      </c>
      <c r="P309">
        <f t="shared" si="45"/>
        <v>1500</v>
      </c>
      <c r="Q309" t="str">
        <f t="shared" si="43"/>
        <v>Local_Capacity_Margin%</v>
      </c>
      <c r="R309" s="100">
        <f t="shared" si="42"/>
        <v>1</v>
      </c>
    </row>
    <row r="310" spans="1:24" x14ac:dyDescent="0.2">
      <c r="A310" s="83" t="s">
        <v>1</v>
      </c>
      <c r="B310" s="84" t="s">
        <v>317</v>
      </c>
      <c r="C310" s="85" t="s">
        <v>535</v>
      </c>
      <c r="D310" s="85" t="s">
        <v>541</v>
      </c>
      <c r="E310" s="85" t="b">
        <v>1</v>
      </c>
      <c r="H310" s="18">
        <f>VLOOKUP($B310,Constraints!$C$2:$Z$86,18, FALSE)</f>
        <v>0</v>
      </c>
      <c r="K310" s="18">
        <f t="shared" si="44"/>
        <v>0</v>
      </c>
      <c r="L310" s="18">
        <f>VLOOKUP($B310,Constraints!$C$2:$AK$86,29, FALSE)</f>
        <v>0</v>
      </c>
      <c r="M310" t="s">
        <v>668</v>
      </c>
      <c r="N310" s="18">
        <f>VLOOKUP($B310,Constraints!$C$28:$F$86,4,FALSE)</f>
        <v>1500</v>
      </c>
      <c r="O310" t="str">
        <f>VLOOKUP($A310,'Capacity Name Ref'!$A$2:$G$16,6,FALSE)</f>
        <v>Local_Capacity_Margin</v>
      </c>
      <c r="P310">
        <f t="shared" si="45"/>
        <v>1500</v>
      </c>
      <c r="Q310" t="str">
        <f t="shared" si="43"/>
        <v>Local_Capacity_Margin%</v>
      </c>
      <c r="R310" s="100">
        <f t="shared" si="42"/>
        <v>1</v>
      </c>
    </row>
    <row r="311" spans="1:24" x14ac:dyDescent="0.2">
      <c r="A311" s="83" t="s">
        <v>245</v>
      </c>
      <c r="B311" s="84" t="s">
        <v>446</v>
      </c>
      <c r="C311" s="85" t="s">
        <v>535</v>
      </c>
      <c r="D311" s="85" t="s">
        <v>541</v>
      </c>
      <c r="E311" s="85" t="b">
        <v>1</v>
      </c>
      <c r="G311" s="18">
        <f>VLOOKUP($B311,Constraints!$C$2:$Z$86,18, FALSE)</f>
        <v>0</v>
      </c>
      <c r="J311" s="18">
        <f>G311/0.8</f>
        <v>0</v>
      </c>
      <c r="L311" s="18">
        <f>VLOOKUP($B311,Constraints!$C$2:$AK$86,29, FALSE)</f>
        <v>0</v>
      </c>
      <c r="M311" t="s">
        <v>667</v>
      </c>
      <c r="N311" s="18">
        <f>VLOOKUP($B311,Constraints!$C$28:$F$86,4,FALSE)</f>
        <v>270</v>
      </c>
      <c r="O311" t="str">
        <f>VLOOKUP($A311,'Capacity Name Ref'!$A$2:$G$16,6,FALSE)</f>
        <v>Local_Capacity_Margin</v>
      </c>
      <c r="P311">
        <f>N311-G311</f>
        <v>270</v>
      </c>
      <c r="Q311" t="str">
        <f t="shared" si="43"/>
        <v>Local_Capacity_Margin%</v>
      </c>
      <c r="R311" s="100">
        <f t="shared" si="42"/>
        <v>1</v>
      </c>
    </row>
    <row r="312" spans="1:24" x14ac:dyDescent="0.2">
      <c r="A312" s="83" t="s">
        <v>245</v>
      </c>
      <c r="B312" s="84" t="s">
        <v>447</v>
      </c>
      <c r="C312" s="85" t="s">
        <v>535</v>
      </c>
      <c r="D312" s="85" t="s">
        <v>541</v>
      </c>
      <c r="E312" s="85" t="b">
        <v>1</v>
      </c>
      <c r="G312" s="18">
        <f>VLOOKUP($B312,Constraints!$C$2:$Z$86,18, FALSE)</f>
        <v>0</v>
      </c>
      <c r="J312" s="18">
        <f t="shared" ref="J312:J317" si="46">G312/0.8</f>
        <v>0</v>
      </c>
      <c r="L312" s="18">
        <f>VLOOKUP($B312,Constraints!$C$2:$AK$86,29, FALSE)</f>
        <v>0</v>
      </c>
      <c r="M312" t="s">
        <v>667</v>
      </c>
      <c r="N312" s="18">
        <f>VLOOKUP($B312,Constraints!$C$28:$F$86,4,FALSE)</f>
        <v>270</v>
      </c>
      <c r="O312" t="str">
        <f>VLOOKUP($A312,'Capacity Name Ref'!$A$2:$G$16,6,FALSE)</f>
        <v>Local_Capacity_Margin</v>
      </c>
      <c r="P312">
        <f t="shared" ref="P312:P319" si="47">N312-G312</f>
        <v>270</v>
      </c>
      <c r="Q312" t="str">
        <f t="shared" si="43"/>
        <v>Local_Capacity_Margin%</v>
      </c>
      <c r="R312" s="100">
        <f t="shared" si="42"/>
        <v>1</v>
      </c>
    </row>
    <row r="313" spans="1:24" x14ac:dyDescent="0.2">
      <c r="A313" s="83" t="s">
        <v>245</v>
      </c>
      <c r="B313" s="84" t="s">
        <v>250</v>
      </c>
      <c r="C313" s="85" t="s">
        <v>535</v>
      </c>
      <c r="D313" s="85" t="s">
        <v>541</v>
      </c>
      <c r="E313" s="85" t="b">
        <v>1</v>
      </c>
      <c r="G313" s="18">
        <f>VLOOKUP($B313,Constraints!$C$2:$Z$86,18, FALSE)</f>
        <v>162</v>
      </c>
      <c r="J313" s="18">
        <f t="shared" si="46"/>
        <v>202.5</v>
      </c>
      <c r="L313" s="18">
        <f>VLOOKUP($B313,Constraints!$C$2:$AK$86,29, FALSE)</f>
        <v>36</v>
      </c>
      <c r="M313" t="s">
        <v>667</v>
      </c>
      <c r="N313" s="18">
        <f>VLOOKUP($B313,Constraints!$C$28:$F$86,4,FALSE)</f>
        <v>240</v>
      </c>
      <c r="O313" t="str">
        <f>VLOOKUP($A313,'Capacity Name Ref'!$A$2:$G$16,6,FALSE)</f>
        <v>Local_Capacity_Margin</v>
      </c>
      <c r="P313">
        <f t="shared" si="47"/>
        <v>78</v>
      </c>
      <c r="Q313" t="str">
        <f t="shared" si="43"/>
        <v>Local_Capacity_Margin%</v>
      </c>
      <c r="R313" s="100">
        <f t="shared" si="42"/>
        <v>0.32500000000000001</v>
      </c>
    </row>
    <row r="314" spans="1:24" x14ac:dyDescent="0.2">
      <c r="A314" s="83" t="s">
        <v>245</v>
      </c>
      <c r="B314" s="84" t="s">
        <v>251</v>
      </c>
      <c r="C314" s="85" t="s">
        <v>535</v>
      </c>
      <c r="D314" s="85" t="s">
        <v>541</v>
      </c>
      <c r="E314" s="85" t="b">
        <v>1</v>
      </c>
      <c r="G314" s="18">
        <f>VLOOKUP($B314,Constraints!$C$2:$Z$86,18, FALSE)</f>
        <v>72</v>
      </c>
      <c r="J314" s="18">
        <f t="shared" si="46"/>
        <v>90</v>
      </c>
      <c r="L314" s="18">
        <f>VLOOKUP($B314,Constraints!$C$2:$AK$86,29, FALSE)</f>
        <v>16</v>
      </c>
      <c r="M314" t="s">
        <v>667</v>
      </c>
      <c r="N314" s="18">
        <f>VLOOKUP($B314,Constraints!$C$28:$F$86,4,FALSE)</f>
        <v>180</v>
      </c>
      <c r="O314" t="str">
        <f>VLOOKUP($A314,'Capacity Name Ref'!$A$2:$G$16,6,FALSE)</f>
        <v>Local_Capacity_Margin</v>
      </c>
      <c r="P314">
        <f t="shared" si="47"/>
        <v>108</v>
      </c>
      <c r="Q314" t="str">
        <f t="shared" si="43"/>
        <v>Local_Capacity_Margin%</v>
      </c>
      <c r="R314" s="100">
        <f t="shared" si="42"/>
        <v>0.6</v>
      </c>
    </row>
    <row r="315" spans="1:24" x14ac:dyDescent="0.2">
      <c r="A315" s="83" t="s">
        <v>245</v>
      </c>
      <c r="B315" s="84" t="s">
        <v>248</v>
      </c>
      <c r="C315" s="85" t="s">
        <v>535</v>
      </c>
      <c r="D315" s="85" t="s">
        <v>541</v>
      </c>
      <c r="E315" s="85" t="b">
        <v>1</v>
      </c>
      <c r="G315" s="18">
        <f>VLOOKUP($B315,Constraints!$C$2:$Z$86,18, FALSE)</f>
        <v>0</v>
      </c>
      <c r="J315" s="18">
        <f t="shared" si="46"/>
        <v>0</v>
      </c>
      <c r="L315" s="18">
        <f>VLOOKUP($B315,Constraints!$C$2:$AK$86,29, FALSE)</f>
        <v>0</v>
      </c>
      <c r="M315" t="s">
        <v>667</v>
      </c>
      <c r="N315" s="18">
        <f>VLOOKUP($B315,Constraints!$C$28:$F$86,4,FALSE)</f>
        <v>240</v>
      </c>
      <c r="O315" t="str">
        <f>VLOOKUP($A315,'Capacity Name Ref'!$A$2:$G$16,6,FALSE)</f>
        <v>Local_Capacity_Margin</v>
      </c>
      <c r="P315">
        <f t="shared" si="47"/>
        <v>240</v>
      </c>
      <c r="Q315" t="str">
        <f t="shared" si="43"/>
        <v>Local_Capacity_Margin%</v>
      </c>
      <c r="R315" s="100">
        <f t="shared" si="42"/>
        <v>1</v>
      </c>
    </row>
    <row r="316" spans="1:24" x14ac:dyDescent="0.2">
      <c r="A316" s="83" t="s">
        <v>245</v>
      </c>
      <c r="B316" s="84" t="s">
        <v>249</v>
      </c>
      <c r="C316" s="85" t="s">
        <v>535</v>
      </c>
      <c r="D316" s="85" t="s">
        <v>541</v>
      </c>
      <c r="E316" s="85" t="b">
        <v>1</v>
      </c>
      <c r="G316" s="18">
        <f>VLOOKUP($B316,Constraints!$C$2:$Z$86,18, FALSE)</f>
        <v>0</v>
      </c>
      <c r="J316" s="18">
        <f t="shared" si="46"/>
        <v>0</v>
      </c>
      <c r="L316" s="18">
        <f>VLOOKUP($B316,Constraints!$C$2:$AK$86,29, FALSE)</f>
        <v>0</v>
      </c>
      <c r="M316" t="s">
        <v>667</v>
      </c>
      <c r="N316" s="18">
        <f>VLOOKUP($B316,Constraints!$C$28:$F$86,4,FALSE)</f>
        <v>180</v>
      </c>
      <c r="O316" t="str">
        <f>VLOOKUP($A316,'Capacity Name Ref'!$A$2:$G$16,6,FALSE)</f>
        <v>Local_Capacity_Margin</v>
      </c>
      <c r="P316">
        <f t="shared" si="47"/>
        <v>180</v>
      </c>
      <c r="Q316" t="str">
        <f t="shared" si="43"/>
        <v>Local_Capacity_Margin%</v>
      </c>
      <c r="R316" s="100">
        <f t="shared" si="42"/>
        <v>1</v>
      </c>
    </row>
    <row r="317" spans="1:24" x14ac:dyDescent="0.2">
      <c r="A317" s="83" t="s">
        <v>245</v>
      </c>
      <c r="B317" s="84" t="s">
        <v>253</v>
      </c>
      <c r="C317" s="85" t="s">
        <v>535</v>
      </c>
      <c r="D317" s="85" t="s">
        <v>541</v>
      </c>
      <c r="E317" s="85" t="b">
        <v>1</v>
      </c>
      <c r="G317" s="18">
        <f>VLOOKUP($B317,Constraints!$C$2:$Z$86,18, FALSE)</f>
        <v>0</v>
      </c>
      <c r="J317" s="18">
        <f t="shared" si="46"/>
        <v>0</v>
      </c>
      <c r="L317" s="18">
        <f>VLOOKUP($B317,Constraints!$C$2:$AK$86,29, FALSE)</f>
        <v>0</v>
      </c>
      <c r="M317" t="s">
        <v>667</v>
      </c>
      <c r="N317" s="18">
        <f>VLOOKUP($B317,Constraints!$C$28:$F$86,4,FALSE)</f>
        <v>180</v>
      </c>
      <c r="O317" t="str">
        <f>VLOOKUP($A317,'Capacity Name Ref'!$A$2:$G$16,6,FALSE)</f>
        <v>Local_Capacity_Margin</v>
      </c>
      <c r="P317">
        <f t="shared" si="47"/>
        <v>180</v>
      </c>
      <c r="Q317" t="str">
        <f t="shared" si="43"/>
        <v>Local_Capacity_Margin%</v>
      </c>
      <c r="R317" s="100">
        <f t="shared" si="42"/>
        <v>1</v>
      </c>
    </row>
    <row r="318" spans="1:24" x14ac:dyDescent="0.2">
      <c r="A318" s="83" t="s">
        <v>245</v>
      </c>
      <c r="B318" s="84" t="s">
        <v>320</v>
      </c>
      <c r="C318" s="85" t="s">
        <v>535</v>
      </c>
      <c r="D318" s="85" t="s">
        <v>541</v>
      </c>
      <c r="E318" s="85" t="b">
        <v>1</v>
      </c>
      <c r="G318" s="18">
        <f>VLOOKUP($B318,Constraints!$C$2:$Z$86,18, FALSE)</f>
        <v>0</v>
      </c>
      <c r="J318" s="18">
        <f>G318/0.8</f>
        <v>0</v>
      </c>
      <c r="L318" s="18">
        <f>VLOOKUP($B318,Constraints!$C$2:$AK$86,29, FALSE)</f>
        <v>0</v>
      </c>
      <c r="M318" t="s">
        <v>667</v>
      </c>
      <c r="N318" s="18">
        <f>VLOOKUP($B318,Constraints!$C$28:$F$86,4,FALSE)</f>
        <v>270</v>
      </c>
      <c r="O318" t="str">
        <f>VLOOKUP($A318,'Capacity Name Ref'!$A$2:$G$16,6,FALSE)</f>
        <v>Local_Capacity_Margin</v>
      </c>
      <c r="P318">
        <f t="shared" si="47"/>
        <v>270</v>
      </c>
      <c r="Q318" t="str">
        <f t="shared" si="43"/>
        <v>Local_Capacity_Margin%</v>
      </c>
      <c r="R318" s="100">
        <f t="shared" si="42"/>
        <v>1</v>
      </c>
    </row>
    <row r="319" spans="1:24" x14ac:dyDescent="0.2">
      <c r="A319" s="83" t="s">
        <v>245</v>
      </c>
      <c r="B319" s="84" t="s">
        <v>319</v>
      </c>
      <c r="C319" s="85" t="s">
        <v>535</v>
      </c>
      <c r="D319" s="85" t="s">
        <v>541</v>
      </c>
      <c r="E319" s="85" t="b">
        <v>1</v>
      </c>
      <c r="G319" s="18">
        <f>VLOOKUP($B319,Constraints!$C$2:$Z$86,18, FALSE)</f>
        <v>0</v>
      </c>
      <c r="J319" s="18">
        <f t="shared" ref="J319" si="48">G319/0.8</f>
        <v>0</v>
      </c>
      <c r="L319" s="18">
        <f>VLOOKUP($B319,Constraints!$C$2:$AK$86,29, FALSE)</f>
        <v>0</v>
      </c>
      <c r="M319" t="s">
        <v>667</v>
      </c>
      <c r="N319" s="18">
        <f>VLOOKUP($B319,Constraints!$C$28:$F$86,4,FALSE)</f>
        <v>270</v>
      </c>
      <c r="O319" t="str">
        <f>VLOOKUP($A319,'Capacity Name Ref'!$A$2:$G$16,6,FALSE)</f>
        <v>Local_Capacity_Margin</v>
      </c>
      <c r="P319">
        <f t="shared" si="47"/>
        <v>270</v>
      </c>
      <c r="Q319" t="str">
        <f t="shared" si="43"/>
        <v>Local_Capacity_Margin%</v>
      </c>
      <c r="R319" s="100">
        <f t="shared" si="42"/>
        <v>1</v>
      </c>
    </row>
    <row r="320" spans="1:24" x14ac:dyDescent="0.2">
      <c r="A320" s="83" t="s">
        <v>645</v>
      </c>
      <c r="B320" s="84" t="s">
        <v>452</v>
      </c>
      <c r="C320" s="85" t="s">
        <v>535</v>
      </c>
      <c r="D320" s="85" t="s">
        <v>541</v>
      </c>
      <c r="E320" s="85" t="b">
        <v>1</v>
      </c>
      <c r="F320" s="18">
        <f>VLOOKUP($B320,Constraints!$C$2:$Z$86,18, FALSE)</f>
        <v>0</v>
      </c>
      <c r="I320" s="18">
        <f t="shared" ref="I320:I330" si="49">F320/0.8</f>
        <v>0</v>
      </c>
      <c r="L320" s="18">
        <f>VLOOKUP($B320,Constraints!$C$2:$AK$86,29, FALSE)</f>
        <v>0</v>
      </c>
      <c r="M320" t="s">
        <v>670</v>
      </c>
      <c r="N320" s="18">
        <f>VLOOKUP($B320,Constraints!$C$28:$F$86,4,FALSE)</f>
        <v>400</v>
      </c>
      <c r="O320" t="str">
        <f>VLOOKUP($A320,'Capacity Name Ref'!$A$2:$G$16,6,FALSE)</f>
        <v>Local_Capacity_Margin</v>
      </c>
      <c r="P320">
        <f>N320-F320</f>
        <v>400</v>
      </c>
      <c r="Q320" t="str">
        <f t="shared" si="43"/>
        <v>Local_Capacity_Margin%</v>
      </c>
      <c r="R320" s="100">
        <f t="shared" si="42"/>
        <v>1</v>
      </c>
      <c r="S320" s="71" t="s">
        <v>671</v>
      </c>
      <c r="T320">
        <f>VLOOKUP($B320,Constraints!$C$68:$H$78,6,FALSE)</f>
        <v>480</v>
      </c>
      <c r="U320" s="71" t="s">
        <v>682</v>
      </c>
      <c r="V320">
        <f>T320-F320</f>
        <v>480</v>
      </c>
      <c r="W320" s="71" t="s">
        <v>688</v>
      </c>
      <c r="X320" s="100">
        <f>V320/T320</f>
        <v>1</v>
      </c>
    </row>
    <row r="321" spans="1:24" x14ac:dyDescent="0.2">
      <c r="A321" s="83" t="s">
        <v>645</v>
      </c>
      <c r="B321" s="84" t="s">
        <v>453</v>
      </c>
      <c r="C321" s="85" t="s">
        <v>535</v>
      </c>
      <c r="D321" s="85" t="s">
        <v>541</v>
      </c>
      <c r="E321" s="85" t="b">
        <v>1</v>
      </c>
      <c r="F321" s="18">
        <f>VLOOKUP($B321,Constraints!$C$2:$Z$86,18, FALSE)</f>
        <v>0</v>
      </c>
      <c r="I321" s="18">
        <f t="shared" si="49"/>
        <v>0</v>
      </c>
      <c r="L321" s="18">
        <f>VLOOKUP($B321,Constraints!$C$2:$AK$86,29, FALSE)</f>
        <v>0</v>
      </c>
      <c r="M321" t="s">
        <v>670</v>
      </c>
      <c r="N321" s="18">
        <f>VLOOKUP($B321,Constraints!$C$28:$F$86,4,FALSE)</f>
        <v>400</v>
      </c>
      <c r="O321" t="str">
        <f>VLOOKUP($A321,'Capacity Name Ref'!$A$2:$G$16,6,FALSE)</f>
        <v>Local_Capacity_Margin</v>
      </c>
      <c r="P321">
        <f t="shared" ref="P321:P337" si="50">N321-F321</f>
        <v>400</v>
      </c>
      <c r="Q321" t="str">
        <f t="shared" si="43"/>
        <v>Local_Capacity_Margin%</v>
      </c>
      <c r="R321" s="100">
        <f t="shared" si="42"/>
        <v>1</v>
      </c>
      <c r="S321" s="71" t="s">
        <v>671</v>
      </c>
      <c r="T321">
        <f>VLOOKUP($B321,Constraints!$C$68:$H$78,6,FALSE)</f>
        <v>480</v>
      </c>
      <c r="U321" s="71" t="s">
        <v>682</v>
      </c>
      <c r="V321">
        <f t="shared" ref="V321:V330" si="51">T321-F321</f>
        <v>480</v>
      </c>
      <c r="W321" s="71" t="s">
        <v>688</v>
      </c>
      <c r="X321" s="100">
        <f t="shared" ref="X321:X330" si="52">V321/T321</f>
        <v>1</v>
      </c>
    </row>
    <row r="322" spans="1:24" x14ac:dyDescent="0.2">
      <c r="A322" s="83" t="s">
        <v>645</v>
      </c>
      <c r="B322" s="84" t="s">
        <v>70</v>
      </c>
      <c r="C322" s="85" t="s">
        <v>535</v>
      </c>
      <c r="D322" s="85" t="s">
        <v>541</v>
      </c>
      <c r="E322" s="85" t="b">
        <v>1</v>
      </c>
      <c r="F322" s="18">
        <f>VLOOKUP($B322,Constraints!$C$2:$Z$86,18, FALSE)</f>
        <v>1560</v>
      </c>
      <c r="I322" s="18">
        <f t="shared" si="49"/>
        <v>1950</v>
      </c>
      <c r="L322" s="18">
        <f>VLOOKUP($B322,Constraints!$C$2:$AK$86,29, FALSE)</f>
        <v>52</v>
      </c>
      <c r="M322" t="s">
        <v>670</v>
      </c>
      <c r="N322" s="18">
        <f>VLOOKUP($B322,Constraints!$C$28:$F$86,4,FALSE)</f>
        <v>4000</v>
      </c>
      <c r="O322" t="str">
        <f>VLOOKUP($A322,'Capacity Name Ref'!$A$2:$G$16,6,FALSE)</f>
        <v>Local_Capacity_Margin</v>
      </c>
      <c r="P322">
        <f t="shared" si="50"/>
        <v>2440</v>
      </c>
      <c r="Q322" t="str">
        <f t="shared" si="43"/>
        <v>Local_Capacity_Margin%</v>
      </c>
      <c r="R322" s="100">
        <f t="shared" si="42"/>
        <v>0.61</v>
      </c>
      <c r="S322" s="71" t="s">
        <v>671</v>
      </c>
      <c r="T322">
        <f>VLOOKUP($B322,Constraints!$C$68:$H$78,6,FALSE)</f>
        <v>4000</v>
      </c>
      <c r="U322" s="71" t="s">
        <v>682</v>
      </c>
      <c r="V322">
        <f t="shared" si="51"/>
        <v>2440</v>
      </c>
      <c r="W322" s="71" t="s">
        <v>688</v>
      </c>
      <c r="X322" s="100">
        <f t="shared" si="52"/>
        <v>0.61</v>
      </c>
    </row>
    <row r="323" spans="1:24" x14ac:dyDescent="0.2">
      <c r="A323" s="83" t="s">
        <v>645</v>
      </c>
      <c r="B323" s="84" t="s">
        <v>73</v>
      </c>
      <c r="C323" s="85" t="s">
        <v>535</v>
      </c>
      <c r="D323" s="85" t="s">
        <v>541</v>
      </c>
      <c r="E323" s="85" t="b">
        <v>1</v>
      </c>
      <c r="F323" s="18">
        <f>VLOOKUP($B323,Constraints!$C$2:$Z$86,18, FALSE)</f>
        <v>0</v>
      </c>
      <c r="I323" s="18">
        <f t="shared" si="49"/>
        <v>0</v>
      </c>
      <c r="L323" s="18">
        <f>VLOOKUP($B323,Constraints!$C$2:$AK$86,29, FALSE)</f>
        <v>0</v>
      </c>
      <c r="M323" t="s">
        <v>670</v>
      </c>
      <c r="N323" s="18">
        <f>VLOOKUP($B323,Constraints!$C$28:$F$86,4,FALSE)</f>
        <v>2500</v>
      </c>
      <c r="O323" t="str">
        <f>VLOOKUP($A323,'Capacity Name Ref'!$A$2:$G$16,6,FALSE)</f>
        <v>Local_Capacity_Margin</v>
      </c>
      <c r="P323">
        <f t="shared" si="50"/>
        <v>2500</v>
      </c>
      <c r="Q323" t="str">
        <f t="shared" si="43"/>
        <v>Local_Capacity_Margin%</v>
      </c>
      <c r="R323" s="100">
        <f t="shared" si="42"/>
        <v>1</v>
      </c>
      <c r="S323" s="71" t="s">
        <v>671</v>
      </c>
      <c r="T323">
        <f>VLOOKUP($B323,Constraints!$C$68:$H$78,6,FALSE)</f>
        <v>3200</v>
      </c>
      <c r="U323" s="71" t="s">
        <v>682</v>
      </c>
      <c r="V323">
        <f t="shared" si="51"/>
        <v>3200</v>
      </c>
      <c r="W323" s="71" t="s">
        <v>688</v>
      </c>
      <c r="X323" s="100">
        <f t="shared" si="52"/>
        <v>1</v>
      </c>
    </row>
    <row r="324" spans="1:24" x14ac:dyDescent="0.2">
      <c r="A324" s="83" t="s">
        <v>645</v>
      </c>
      <c r="B324" s="84" t="s">
        <v>313</v>
      </c>
      <c r="C324" s="85" t="s">
        <v>535</v>
      </c>
      <c r="D324" s="85" t="s">
        <v>541</v>
      </c>
      <c r="E324" s="85" t="b">
        <v>1</v>
      </c>
      <c r="F324" s="18">
        <f>VLOOKUP($B324,Constraints!$C$2:$Z$86,18, FALSE)</f>
        <v>0</v>
      </c>
      <c r="I324" s="18">
        <f t="shared" si="49"/>
        <v>0</v>
      </c>
      <c r="L324" s="18">
        <f>VLOOKUP($B324,Constraints!$C$2:$AK$86,29, FALSE)</f>
        <v>0</v>
      </c>
      <c r="M324" t="s">
        <v>670</v>
      </c>
      <c r="N324" s="18">
        <f>VLOOKUP($B324,Constraints!$C$28:$F$86,4,FALSE)</f>
        <v>3000</v>
      </c>
      <c r="O324" t="str">
        <f>VLOOKUP($A324,'Capacity Name Ref'!$A$2:$G$16,6,FALSE)</f>
        <v>Local_Capacity_Margin</v>
      </c>
      <c r="P324">
        <f t="shared" si="50"/>
        <v>3000</v>
      </c>
      <c r="Q324" t="str">
        <f t="shared" si="43"/>
        <v>Local_Capacity_Margin%</v>
      </c>
      <c r="R324" s="100">
        <f t="shared" si="42"/>
        <v>1</v>
      </c>
      <c r="S324" s="71" t="s">
        <v>671</v>
      </c>
      <c r="T324">
        <f>VLOOKUP($B324,Constraints!$C$68:$H$78,6,FALSE)</f>
        <v>3200</v>
      </c>
      <c r="U324" s="71" t="s">
        <v>682</v>
      </c>
      <c r="V324">
        <f t="shared" si="51"/>
        <v>3200</v>
      </c>
      <c r="W324" s="71" t="s">
        <v>688</v>
      </c>
      <c r="X324" s="100">
        <f t="shared" si="52"/>
        <v>1</v>
      </c>
    </row>
    <row r="325" spans="1:24" x14ac:dyDescent="0.2">
      <c r="A325" s="83" t="s">
        <v>645</v>
      </c>
      <c r="B325" s="84" t="s">
        <v>71</v>
      </c>
      <c r="C325" s="85" t="s">
        <v>535</v>
      </c>
      <c r="D325" s="85" t="s">
        <v>541</v>
      </c>
      <c r="E325" s="85" t="b">
        <v>1</v>
      </c>
      <c r="F325" s="18">
        <f>VLOOKUP($B325,Constraints!$C$2:$Z$86,18, FALSE)</f>
        <v>0</v>
      </c>
      <c r="I325" s="18">
        <f t="shared" si="49"/>
        <v>0</v>
      </c>
      <c r="L325" s="18">
        <f>VLOOKUP($B325,Constraints!$C$2:$AK$86,29, FALSE)</f>
        <v>0</v>
      </c>
      <c r="M325" t="s">
        <v>670</v>
      </c>
      <c r="N325" s="18">
        <f>VLOOKUP($B325,Constraints!$C$28:$F$86,4,FALSE)</f>
        <v>960</v>
      </c>
      <c r="O325" t="str">
        <f>VLOOKUP($A325,'Capacity Name Ref'!$A$2:$G$16,6,FALSE)</f>
        <v>Local_Capacity_Margin</v>
      </c>
      <c r="P325">
        <f t="shared" si="50"/>
        <v>960</v>
      </c>
      <c r="Q325" t="str">
        <f t="shared" si="43"/>
        <v>Local_Capacity_Margin%</v>
      </c>
      <c r="R325" s="100">
        <f t="shared" si="42"/>
        <v>1</v>
      </c>
      <c r="S325" s="71" t="s">
        <v>671</v>
      </c>
      <c r="T325">
        <f>VLOOKUP($B325,Constraints!$C$68:$H$78,6,FALSE)</f>
        <v>960</v>
      </c>
      <c r="U325" s="71" t="s">
        <v>682</v>
      </c>
      <c r="V325">
        <f t="shared" si="51"/>
        <v>960</v>
      </c>
      <c r="W325" s="71" t="s">
        <v>688</v>
      </c>
      <c r="X325" s="100">
        <f t="shared" si="52"/>
        <v>1</v>
      </c>
    </row>
    <row r="326" spans="1:24" x14ac:dyDescent="0.2">
      <c r="A326" s="83" t="s">
        <v>645</v>
      </c>
      <c r="B326" s="84" t="s">
        <v>72</v>
      </c>
      <c r="C326" s="85" t="s">
        <v>535</v>
      </c>
      <c r="D326" s="85" t="s">
        <v>541</v>
      </c>
      <c r="E326" s="85" t="b">
        <v>1</v>
      </c>
      <c r="F326" s="18">
        <f>VLOOKUP($B326,Constraints!$C$2:$Z$86,18, FALSE)</f>
        <v>1560</v>
      </c>
      <c r="I326" s="18">
        <f t="shared" si="49"/>
        <v>1950</v>
      </c>
      <c r="L326" s="18">
        <f>VLOOKUP($B326,Constraints!$C$2:$AK$86,29, FALSE)</f>
        <v>0</v>
      </c>
      <c r="M326" t="s">
        <v>670</v>
      </c>
      <c r="N326" s="18">
        <f>VLOOKUP($B326,Constraints!$C$28:$F$86,4,FALSE)</f>
        <v>4000</v>
      </c>
      <c r="O326" t="str">
        <f>VLOOKUP($A326,'Capacity Name Ref'!$A$2:$G$16,6,FALSE)</f>
        <v>Local_Capacity_Margin</v>
      </c>
      <c r="P326">
        <f t="shared" si="50"/>
        <v>2440</v>
      </c>
      <c r="Q326" t="str">
        <f t="shared" si="43"/>
        <v>Local_Capacity_Margin%</v>
      </c>
      <c r="R326" s="100">
        <f t="shared" si="42"/>
        <v>0.61</v>
      </c>
      <c r="S326" s="71" t="s">
        <v>671</v>
      </c>
      <c r="T326">
        <f>VLOOKUP($B326,Constraints!$C$68:$H$78,6,FALSE)</f>
        <v>4000</v>
      </c>
      <c r="U326" s="71" t="s">
        <v>682</v>
      </c>
      <c r="V326">
        <f t="shared" si="51"/>
        <v>2440</v>
      </c>
      <c r="W326" s="71" t="s">
        <v>688</v>
      </c>
      <c r="X326" s="100">
        <f t="shared" si="52"/>
        <v>0.61</v>
      </c>
    </row>
    <row r="327" spans="1:24" x14ac:dyDescent="0.2">
      <c r="A327" s="83" t="s">
        <v>645</v>
      </c>
      <c r="B327" s="84" t="s">
        <v>314</v>
      </c>
      <c r="C327" s="85" t="s">
        <v>535</v>
      </c>
      <c r="D327" s="85" t="s">
        <v>541</v>
      </c>
      <c r="E327" s="85" t="b">
        <v>1</v>
      </c>
      <c r="F327" s="18">
        <f>VLOOKUP($B327,Constraints!$C$2:$Z$86,18, FALSE)</f>
        <v>0</v>
      </c>
      <c r="I327" s="18">
        <f t="shared" si="49"/>
        <v>0</v>
      </c>
      <c r="L327" s="18">
        <f>VLOOKUP($B327,Constraints!$C$2:$AK$86,29, FALSE)</f>
        <v>0</v>
      </c>
      <c r="M327" t="s">
        <v>670</v>
      </c>
      <c r="N327" s="18">
        <f>VLOOKUP($B327,Constraints!$C$28:$F$86,4,FALSE)</f>
        <v>3000</v>
      </c>
      <c r="O327" t="str">
        <f>VLOOKUP($A327,'Capacity Name Ref'!$A$2:$G$16,6,FALSE)</f>
        <v>Local_Capacity_Margin</v>
      </c>
      <c r="P327">
        <f t="shared" si="50"/>
        <v>3000</v>
      </c>
      <c r="Q327" t="str">
        <f t="shared" si="43"/>
        <v>Local_Capacity_Margin%</v>
      </c>
      <c r="R327" s="100">
        <f t="shared" si="42"/>
        <v>1</v>
      </c>
      <c r="S327" s="71" t="s">
        <v>671</v>
      </c>
      <c r="T327">
        <f>VLOOKUP($B327,Constraints!$C$68:$H$78,6,FALSE)</f>
        <v>3200</v>
      </c>
      <c r="U327" s="71" t="s">
        <v>682</v>
      </c>
      <c r="V327">
        <f t="shared" si="51"/>
        <v>3200</v>
      </c>
      <c r="W327" s="71" t="s">
        <v>688</v>
      </c>
      <c r="X327" s="100">
        <f t="shared" si="52"/>
        <v>1</v>
      </c>
    </row>
    <row r="328" spans="1:24" x14ac:dyDescent="0.2">
      <c r="A328" s="83" t="s">
        <v>531</v>
      </c>
      <c r="B328" s="84" t="s">
        <v>454</v>
      </c>
      <c r="C328" s="85" t="s">
        <v>535</v>
      </c>
      <c r="D328" s="85" t="s">
        <v>541</v>
      </c>
      <c r="E328" s="85" t="b">
        <v>1</v>
      </c>
      <c r="F328" s="18">
        <f>VLOOKUP($B328,Constraints!$C$2:$Z$86,18, FALSE)</f>
        <v>0</v>
      </c>
      <c r="I328" s="18">
        <f t="shared" si="49"/>
        <v>0</v>
      </c>
      <c r="L328" s="18">
        <f>VLOOKUP($B328,Constraints!$C$2:$AK$86,29, FALSE)</f>
        <v>0</v>
      </c>
      <c r="M328" t="s">
        <v>675</v>
      </c>
      <c r="N328" s="18">
        <f>VLOOKUP($B328,Constraints!$C$28:$F$86,4,FALSE)</f>
        <v>780</v>
      </c>
      <c r="O328" t="str">
        <f>VLOOKUP($A328,'Capacity Name Ref'!$A$2:$G$16,6,FALSE)</f>
        <v>Local_Capacity_Margin</v>
      </c>
      <c r="P328">
        <f t="shared" si="50"/>
        <v>780</v>
      </c>
      <c r="Q328" t="str">
        <f t="shared" si="43"/>
        <v>Local_Capacity_Margin%</v>
      </c>
      <c r="R328" s="100">
        <f t="shared" si="42"/>
        <v>1</v>
      </c>
      <c r="S328" s="71" t="s">
        <v>674</v>
      </c>
      <c r="T328">
        <f>VLOOKUP($B328,Constraints!$C$68:$H$78,6,FALSE)</f>
        <v>800</v>
      </c>
      <c r="U328" s="71" t="s">
        <v>682</v>
      </c>
      <c r="V328">
        <f t="shared" si="51"/>
        <v>800</v>
      </c>
      <c r="W328" s="71" t="s">
        <v>688</v>
      </c>
      <c r="X328" s="100">
        <f t="shared" si="52"/>
        <v>1</v>
      </c>
    </row>
    <row r="329" spans="1:24" x14ac:dyDescent="0.2">
      <c r="A329" s="83" t="s">
        <v>531</v>
      </c>
      <c r="B329" s="84" t="s">
        <v>293</v>
      </c>
      <c r="C329" s="85" t="s">
        <v>535</v>
      </c>
      <c r="D329" s="85" t="s">
        <v>541</v>
      </c>
      <c r="E329" s="85" t="b">
        <v>1</v>
      </c>
      <c r="F329" s="18">
        <f>VLOOKUP($B329,Constraints!$C$2:$Z$86,18, FALSE)</f>
        <v>1560</v>
      </c>
      <c r="I329" s="18">
        <f t="shared" si="49"/>
        <v>1950</v>
      </c>
      <c r="L329" s="18">
        <f>VLOOKUP($B329,Constraints!$C$2:$AK$86,29, FALSE)</f>
        <v>52</v>
      </c>
      <c r="M329" t="s">
        <v>675</v>
      </c>
      <c r="N329" s="18">
        <f>VLOOKUP($B329,Constraints!$C$28:$F$86,4,FALSE)</f>
        <v>9000</v>
      </c>
      <c r="O329" t="str">
        <f>VLOOKUP($A329,'Capacity Name Ref'!$A$2:$G$16,6,FALSE)</f>
        <v>Local_Capacity_Margin</v>
      </c>
      <c r="P329">
        <f t="shared" si="50"/>
        <v>7440</v>
      </c>
      <c r="Q329" t="str">
        <f t="shared" si="43"/>
        <v>Local_Capacity_Margin%</v>
      </c>
      <c r="R329" s="100">
        <f t="shared" si="42"/>
        <v>0.82666666666666666</v>
      </c>
      <c r="S329" s="71" t="s">
        <v>674</v>
      </c>
      <c r="T329">
        <f>VLOOKUP($B329,Constraints!$C$68:$H$78,6,FALSE)</f>
        <v>9600</v>
      </c>
      <c r="U329" s="71" t="s">
        <v>682</v>
      </c>
      <c r="V329">
        <f t="shared" si="51"/>
        <v>8040</v>
      </c>
      <c r="W329" s="71" t="s">
        <v>688</v>
      </c>
      <c r="X329" s="100">
        <f t="shared" si="52"/>
        <v>0.83750000000000002</v>
      </c>
    </row>
    <row r="330" spans="1:24" x14ac:dyDescent="0.2">
      <c r="A330" s="83" t="s">
        <v>531</v>
      </c>
      <c r="B330" s="84" t="s">
        <v>294</v>
      </c>
      <c r="C330" s="85" t="s">
        <v>535</v>
      </c>
      <c r="D330" s="85" t="s">
        <v>541</v>
      </c>
      <c r="E330" s="85" t="b">
        <v>1</v>
      </c>
      <c r="F330" s="18">
        <f>VLOOKUP($B330,Constraints!$C$2:$Z$86,18, FALSE)</f>
        <v>1560</v>
      </c>
      <c r="I330" s="18">
        <f t="shared" si="49"/>
        <v>1950</v>
      </c>
      <c r="L330" s="18">
        <f>VLOOKUP($B330,Constraints!$C$2:$AK$86,29, FALSE)</f>
        <v>0</v>
      </c>
      <c r="M330" t="s">
        <v>675</v>
      </c>
      <c r="N330" s="18">
        <f>VLOOKUP($B330,Constraints!$C$28:$F$86,4,FALSE)</f>
        <v>9000</v>
      </c>
      <c r="O330" t="str">
        <f>VLOOKUP($A330,'Capacity Name Ref'!$A$2:$G$16,6,FALSE)</f>
        <v>Local_Capacity_Margin</v>
      </c>
      <c r="P330">
        <f t="shared" si="50"/>
        <v>7440</v>
      </c>
      <c r="Q330" t="str">
        <f t="shared" si="43"/>
        <v>Local_Capacity_Margin%</v>
      </c>
      <c r="R330" s="100">
        <f t="shared" si="42"/>
        <v>0.82666666666666666</v>
      </c>
      <c r="S330" s="71" t="s">
        <v>674</v>
      </c>
      <c r="T330">
        <f>VLOOKUP($B330,Constraints!$C$68:$H$78,6,FALSE)</f>
        <v>9600</v>
      </c>
      <c r="U330" s="71" t="s">
        <v>682</v>
      </c>
      <c r="V330">
        <f t="shared" si="51"/>
        <v>8040</v>
      </c>
      <c r="W330" s="71" t="s">
        <v>688</v>
      </c>
      <c r="X330" s="100">
        <f t="shared" si="52"/>
        <v>0.83750000000000002</v>
      </c>
    </row>
    <row r="331" spans="1:24" x14ac:dyDescent="0.2">
      <c r="A331" s="83" t="s">
        <v>259</v>
      </c>
      <c r="B331" s="85" t="s">
        <v>281</v>
      </c>
      <c r="C331" s="85" t="s">
        <v>535</v>
      </c>
      <c r="D331" s="85" t="s">
        <v>541</v>
      </c>
      <c r="E331" s="85" t="b">
        <v>1</v>
      </c>
      <c r="G331" s="18">
        <f>VLOOKUP($B331,Constraints!$C$2:$Z$86,18, FALSE)</f>
        <v>1326</v>
      </c>
      <c r="J331" s="18">
        <f>G331/0.8</f>
        <v>1657.5</v>
      </c>
      <c r="L331" s="18">
        <f>VLOOKUP($B331,Constraints!$C$2:$AK$86,29, FALSE)</f>
        <v>52</v>
      </c>
      <c r="N331" s="18">
        <f>VLOOKUP($B331,Constraints!$C$28:$F$86,4,FALSE)</f>
        <v>2000</v>
      </c>
      <c r="O331" t="str">
        <f>VLOOKUP($A331,'Capacity Name Ref'!$A$2:$G$16,6,FALSE)</f>
        <v>Local_Capacity_Margin</v>
      </c>
      <c r="P331">
        <f t="shared" si="50"/>
        <v>2000</v>
      </c>
      <c r="Q331" t="str">
        <f t="shared" si="43"/>
        <v>Local_Capacity_Margin%</v>
      </c>
      <c r="R331" s="100">
        <f t="shared" si="42"/>
        <v>1</v>
      </c>
    </row>
    <row r="332" spans="1:24" x14ac:dyDescent="0.2">
      <c r="A332" s="83" t="s">
        <v>259</v>
      </c>
      <c r="B332" s="85" t="s">
        <v>283</v>
      </c>
      <c r="C332" s="85" t="s">
        <v>535</v>
      </c>
      <c r="D332" s="85" t="s">
        <v>541</v>
      </c>
      <c r="E332" s="85" t="b">
        <v>1</v>
      </c>
      <c r="H332" s="18">
        <f>VLOOKUP($B332,Constraints!$C$2:$Z$86,18, FALSE)</f>
        <v>234</v>
      </c>
      <c r="K332" s="18">
        <f>H332/0.8</f>
        <v>292.5</v>
      </c>
      <c r="L332" s="18">
        <f>VLOOKUP($B332,Constraints!$C$2:$AK$86,29, FALSE)</f>
        <v>52</v>
      </c>
      <c r="N332" s="18">
        <f>VLOOKUP($B332,Constraints!$C$28:$F$86,4,FALSE)</f>
        <v>7000</v>
      </c>
      <c r="O332" t="str">
        <f>VLOOKUP($A332,'Capacity Name Ref'!$A$2:$G$16,6,FALSE)</f>
        <v>Local_Capacity_Margin</v>
      </c>
      <c r="P332">
        <f t="shared" si="50"/>
        <v>7000</v>
      </c>
      <c r="Q332" t="str">
        <f t="shared" si="43"/>
        <v>Local_Capacity_Margin%</v>
      </c>
      <c r="R332" s="100">
        <f t="shared" si="42"/>
        <v>1</v>
      </c>
    </row>
    <row r="333" spans="1:24" x14ac:dyDescent="0.2">
      <c r="A333" s="83" t="s">
        <v>295</v>
      </c>
      <c r="B333" s="86" t="s">
        <v>455</v>
      </c>
      <c r="C333" s="85" t="s">
        <v>535</v>
      </c>
      <c r="D333" s="85" t="s">
        <v>541</v>
      </c>
      <c r="E333" s="85" t="b">
        <v>1</v>
      </c>
      <c r="F333" s="18">
        <f>VLOOKUP($B333,Constraints!$C$2:$Z$86,18, FALSE)</f>
        <v>0</v>
      </c>
      <c r="I333" s="18">
        <f t="shared" ref="I333:I337" si="53">F333/0.8</f>
        <v>0</v>
      </c>
      <c r="L333" s="18">
        <f>VLOOKUP($B333,Constraints!$C$2:$AK$86,29, FALSE)</f>
        <v>0</v>
      </c>
      <c r="M333" t="s">
        <v>676</v>
      </c>
      <c r="N333" s="18">
        <f>VLOOKUP($B333,Constraints!$C$28:$F$86,4,FALSE)</f>
        <v>920</v>
      </c>
      <c r="O333" t="str">
        <f>VLOOKUP($A333,'Capacity Name Ref'!$A$2:$G$16,6,FALSE)</f>
        <v>Cell_Margin</v>
      </c>
      <c r="P333">
        <f t="shared" si="50"/>
        <v>920</v>
      </c>
      <c r="Q333" t="str">
        <f t="shared" si="43"/>
        <v>Cell_Margin%</v>
      </c>
      <c r="R333" s="100">
        <f t="shared" si="42"/>
        <v>1</v>
      </c>
    </row>
    <row r="334" spans="1:24" x14ac:dyDescent="0.2">
      <c r="A334" s="83" t="s">
        <v>295</v>
      </c>
      <c r="B334" s="86" t="s">
        <v>385</v>
      </c>
      <c r="C334" s="85" t="s">
        <v>535</v>
      </c>
      <c r="D334" s="85" t="s">
        <v>541</v>
      </c>
      <c r="E334" s="85" t="b">
        <v>1</v>
      </c>
      <c r="F334" s="18">
        <f>VLOOKUP($B334,Constraints!$C$2:$Z$86,18, FALSE)</f>
        <v>1560</v>
      </c>
      <c r="I334" s="18">
        <f t="shared" si="53"/>
        <v>1950</v>
      </c>
      <c r="L334" s="18">
        <f>VLOOKUP($B334,Constraints!$C$2:$AK$86,29, FALSE)</f>
        <v>52</v>
      </c>
      <c r="M334" t="s">
        <v>676</v>
      </c>
      <c r="N334" s="18">
        <f>VLOOKUP($B334,Constraints!$C$28:$F$86,4,FALSE)</f>
        <v>3680</v>
      </c>
      <c r="O334" t="str">
        <f>VLOOKUP($A334,'Capacity Name Ref'!$A$2:$G$16,6,FALSE)</f>
        <v>Cell_Margin</v>
      </c>
      <c r="P334">
        <f t="shared" si="50"/>
        <v>2120</v>
      </c>
      <c r="Q334" t="str">
        <f t="shared" si="43"/>
        <v>Cell_Margin%</v>
      </c>
      <c r="R334" s="100">
        <f t="shared" si="42"/>
        <v>0.57608695652173914</v>
      </c>
    </row>
    <row r="335" spans="1:24" x14ac:dyDescent="0.2">
      <c r="A335" s="83" t="s">
        <v>295</v>
      </c>
      <c r="B335" s="86" t="s">
        <v>386</v>
      </c>
      <c r="C335" s="85" t="s">
        <v>535</v>
      </c>
      <c r="D335" s="85" t="s">
        <v>541</v>
      </c>
      <c r="E335" s="85" t="b">
        <v>1</v>
      </c>
      <c r="F335" s="18">
        <f>VLOOKUP($B335,Constraints!$C$2:$Z$86,18, FALSE)</f>
        <v>0</v>
      </c>
      <c r="I335" s="18">
        <f t="shared" si="53"/>
        <v>0</v>
      </c>
      <c r="L335" s="18">
        <f>VLOOKUP($B335,Constraints!$C$2:$AK$86,29, FALSE)</f>
        <v>0</v>
      </c>
      <c r="M335" t="s">
        <v>676</v>
      </c>
      <c r="N335" s="18">
        <f>VLOOKUP($B335,Constraints!$C$28:$F$86,4,FALSE)</f>
        <v>680</v>
      </c>
      <c r="O335" t="str">
        <f>VLOOKUP($A335,'Capacity Name Ref'!$A$2:$G$16,6,FALSE)</f>
        <v>Cell_Margin</v>
      </c>
      <c r="P335">
        <f t="shared" si="50"/>
        <v>680</v>
      </c>
      <c r="Q335" t="str">
        <f t="shared" si="43"/>
        <v>Cell_Margin%</v>
      </c>
      <c r="R335" s="100">
        <f t="shared" si="42"/>
        <v>1</v>
      </c>
    </row>
    <row r="336" spans="1:24" x14ac:dyDescent="0.2">
      <c r="A336" s="83" t="s">
        <v>295</v>
      </c>
      <c r="B336" s="86" t="s">
        <v>388</v>
      </c>
      <c r="C336" s="85" t="s">
        <v>535</v>
      </c>
      <c r="D336" s="85" t="s">
        <v>541</v>
      </c>
      <c r="E336" s="85" t="b">
        <v>1</v>
      </c>
      <c r="F336" s="18">
        <f>VLOOKUP($B336,Constraints!$C$2:$Z$86,18, FALSE)</f>
        <v>0</v>
      </c>
      <c r="I336" s="18">
        <f t="shared" si="53"/>
        <v>0</v>
      </c>
      <c r="L336" s="18">
        <f>VLOOKUP($B336,Constraints!$C$2:$AK$86,29, FALSE)</f>
        <v>0</v>
      </c>
      <c r="M336" t="s">
        <v>676</v>
      </c>
      <c r="N336" s="18">
        <f>VLOOKUP($B336,Constraints!$C$28:$F$86,4,FALSE)</f>
        <v>1770</v>
      </c>
      <c r="O336" t="str">
        <f>VLOOKUP($A336,'Capacity Name Ref'!$A$2:$G$16,6,FALSE)</f>
        <v>Cell_Margin</v>
      </c>
      <c r="P336">
        <f t="shared" si="50"/>
        <v>1770</v>
      </c>
      <c r="Q336" t="str">
        <f t="shared" si="43"/>
        <v>Cell_Margin%</v>
      </c>
      <c r="R336" s="100">
        <f t="shared" si="42"/>
        <v>1</v>
      </c>
    </row>
    <row r="337" spans="1:18" x14ac:dyDescent="0.2">
      <c r="A337" s="83" t="s">
        <v>295</v>
      </c>
      <c r="B337" s="86" t="s">
        <v>387</v>
      </c>
      <c r="C337" s="85" t="s">
        <v>535</v>
      </c>
      <c r="D337" s="85" t="s">
        <v>541</v>
      </c>
      <c r="E337" s="85" t="b">
        <v>1</v>
      </c>
      <c r="F337" s="18">
        <f>VLOOKUP($B337,Constraints!$C$2:$Z$86,18, FALSE)</f>
        <v>0</v>
      </c>
      <c r="I337" s="18">
        <f t="shared" si="53"/>
        <v>0</v>
      </c>
      <c r="L337" s="18">
        <f>VLOOKUP($B337,Constraints!$C$2:$AK$86,29, FALSE)</f>
        <v>0</v>
      </c>
      <c r="M337" t="s">
        <v>676</v>
      </c>
      <c r="N337" s="18">
        <f>VLOOKUP($B337,Constraints!$C$28:$F$86,4,FALSE)</f>
        <v>1770</v>
      </c>
      <c r="O337" t="str">
        <f>VLOOKUP($A337,'Capacity Name Ref'!$A$2:$G$16,6,FALSE)</f>
        <v>Cell_Margin</v>
      </c>
      <c r="P337">
        <f t="shared" si="50"/>
        <v>1770</v>
      </c>
      <c r="Q337" t="str">
        <f t="shared" si="43"/>
        <v>Cell_Margin%</v>
      </c>
      <c r="R337" s="100">
        <f t="shared" si="42"/>
        <v>1</v>
      </c>
    </row>
    <row r="338" spans="1:18" x14ac:dyDescent="0.2">
      <c r="A338" s="87" t="s">
        <v>6</v>
      </c>
      <c r="B338" s="29" t="s">
        <v>466</v>
      </c>
      <c r="C338" s="4" t="s">
        <v>535</v>
      </c>
      <c r="D338" s="4" t="s">
        <v>631</v>
      </c>
      <c r="E338" s="4" t="b">
        <v>1</v>
      </c>
      <c r="F338" s="18">
        <f>VLOOKUP($B338,Constraints!$C$2:$Z$86,19, FALSE)</f>
        <v>0</v>
      </c>
      <c r="I338" s="18">
        <f>F338/0.8</f>
        <v>0</v>
      </c>
      <c r="L338" s="18">
        <f>VLOOKUP($B338,Constraints!$C$2:$AK$86,30, FALSE)</f>
        <v>0</v>
      </c>
      <c r="N338" s="18"/>
    </row>
    <row r="339" spans="1:18" x14ac:dyDescent="0.2">
      <c r="A339" s="87" t="s">
        <v>6</v>
      </c>
      <c r="B339" s="29" t="s">
        <v>467</v>
      </c>
      <c r="C339" s="4" t="s">
        <v>535</v>
      </c>
      <c r="D339" s="4" t="s">
        <v>631</v>
      </c>
      <c r="E339" s="4" t="b">
        <v>1</v>
      </c>
      <c r="F339" s="18">
        <f>VLOOKUP($B339,Constraints!$C$2:$Z$86,19, FALSE)</f>
        <v>0</v>
      </c>
      <c r="I339" s="18">
        <f t="shared" ref="I339:I387" si="54">F339/0.8</f>
        <v>0</v>
      </c>
      <c r="L339" s="18">
        <f>VLOOKUP($B339,Constraints!$C$2:$AK$86,30, FALSE)</f>
        <v>0</v>
      </c>
      <c r="N339" s="18"/>
    </row>
    <row r="340" spans="1:18" x14ac:dyDescent="0.2">
      <c r="A340" s="87" t="s">
        <v>6</v>
      </c>
      <c r="B340" s="29" t="s">
        <v>468</v>
      </c>
      <c r="C340" s="4" t="s">
        <v>535</v>
      </c>
      <c r="D340" s="4" t="s">
        <v>631</v>
      </c>
      <c r="E340" s="4" t="b">
        <v>1</v>
      </c>
      <c r="F340" s="18">
        <f>VLOOKUP($B340,Constraints!$C$2:$Z$86,19, FALSE)</f>
        <v>0</v>
      </c>
      <c r="I340" s="18">
        <f t="shared" si="54"/>
        <v>0</v>
      </c>
      <c r="L340" s="18">
        <f>VLOOKUP($B340,Constraints!$C$2:$AK$86,30, FALSE)</f>
        <v>0</v>
      </c>
      <c r="N340" s="18"/>
    </row>
    <row r="341" spans="1:18" x14ac:dyDescent="0.2">
      <c r="A341" s="87" t="s">
        <v>6</v>
      </c>
      <c r="B341" s="29" t="s">
        <v>469</v>
      </c>
      <c r="C341" s="4" t="s">
        <v>535</v>
      </c>
      <c r="D341" s="4" t="s">
        <v>631</v>
      </c>
      <c r="E341" s="4" t="b">
        <v>1</v>
      </c>
      <c r="F341" s="18">
        <f>VLOOKUP($B341,Constraints!$C$2:$Z$86,19, FALSE)</f>
        <v>0</v>
      </c>
      <c r="I341" s="18">
        <f t="shared" si="54"/>
        <v>0</v>
      </c>
      <c r="L341" s="18">
        <f>VLOOKUP($B341,Constraints!$C$2:$AK$86,30, FALSE)</f>
        <v>0</v>
      </c>
      <c r="N341" s="18"/>
    </row>
    <row r="342" spans="1:18" x14ac:dyDescent="0.2">
      <c r="A342" s="87" t="s">
        <v>6</v>
      </c>
      <c r="B342" s="29" t="s">
        <v>470</v>
      </c>
      <c r="C342" s="4" t="s">
        <v>535</v>
      </c>
      <c r="D342" s="4" t="s">
        <v>631</v>
      </c>
      <c r="E342" s="4" t="b">
        <v>1</v>
      </c>
      <c r="F342" s="18">
        <f>VLOOKUP($B342,Constraints!$C$2:$Z$86,19, FALSE)</f>
        <v>0</v>
      </c>
      <c r="I342" s="18">
        <f t="shared" si="54"/>
        <v>0</v>
      </c>
      <c r="L342" s="18">
        <f>VLOOKUP($B342,Constraints!$C$2:$AK$86,30, FALSE)</f>
        <v>0</v>
      </c>
      <c r="N342" s="18"/>
    </row>
    <row r="343" spans="1:18" x14ac:dyDescent="0.2">
      <c r="A343" s="87" t="s">
        <v>6</v>
      </c>
      <c r="B343" s="29" t="s">
        <v>471</v>
      </c>
      <c r="C343" s="4" t="s">
        <v>535</v>
      </c>
      <c r="D343" s="4" t="s">
        <v>631</v>
      </c>
      <c r="E343" s="4" t="b">
        <v>1</v>
      </c>
      <c r="F343" s="18">
        <f>VLOOKUP($B343,Constraints!$C$2:$Z$86,19, FALSE)</f>
        <v>0</v>
      </c>
      <c r="I343" s="18">
        <f t="shared" si="54"/>
        <v>0</v>
      </c>
      <c r="L343" s="18">
        <f>VLOOKUP($B343,Constraints!$C$2:$AK$86,30, FALSE)</f>
        <v>0</v>
      </c>
      <c r="N343" s="18"/>
    </row>
    <row r="344" spans="1:18" x14ac:dyDescent="0.2">
      <c r="A344" s="87" t="s">
        <v>6</v>
      </c>
      <c r="B344" s="29" t="s">
        <v>472</v>
      </c>
      <c r="C344" s="4" t="s">
        <v>535</v>
      </c>
      <c r="D344" s="4" t="s">
        <v>631</v>
      </c>
      <c r="E344" s="4" t="b">
        <v>1</v>
      </c>
      <c r="F344" s="18">
        <f>VLOOKUP($B344,Constraints!$C$2:$Z$86,19, FALSE)</f>
        <v>0</v>
      </c>
      <c r="I344" s="18">
        <f t="shared" si="54"/>
        <v>0</v>
      </c>
      <c r="L344" s="18">
        <f>VLOOKUP($B344,Constraints!$C$2:$AK$86,30, FALSE)</f>
        <v>0</v>
      </c>
      <c r="N344" s="18"/>
    </row>
    <row r="345" spans="1:18" x14ac:dyDescent="0.2">
      <c r="A345" s="87" t="s">
        <v>6</v>
      </c>
      <c r="B345" s="29" t="s">
        <v>473</v>
      </c>
      <c r="C345" s="4" t="s">
        <v>535</v>
      </c>
      <c r="D345" s="4" t="s">
        <v>631</v>
      </c>
      <c r="E345" s="4" t="b">
        <v>1</v>
      </c>
      <c r="F345" s="18">
        <f>VLOOKUP($B345,Constraints!$C$2:$Z$86,19, FALSE)</f>
        <v>0</v>
      </c>
      <c r="I345" s="18">
        <f t="shared" si="54"/>
        <v>0</v>
      </c>
      <c r="L345" s="18">
        <f>VLOOKUP($B345,Constraints!$C$2:$AK$86,30, FALSE)</f>
        <v>0</v>
      </c>
      <c r="N345" s="18"/>
    </row>
    <row r="346" spans="1:18" x14ac:dyDescent="0.2">
      <c r="A346" s="87" t="s">
        <v>6</v>
      </c>
      <c r="B346" s="29" t="s">
        <v>84</v>
      </c>
      <c r="C346" s="4" t="s">
        <v>535</v>
      </c>
      <c r="D346" s="4" t="s">
        <v>631</v>
      </c>
      <c r="E346" s="4" t="b">
        <v>1</v>
      </c>
      <c r="F346" s="18">
        <f>VLOOKUP($B346,Constraints!$C$2:$Z$86,19, FALSE)</f>
        <v>0</v>
      </c>
      <c r="I346" s="18">
        <f t="shared" si="54"/>
        <v>0</v>
      </c>
      <c r="L346" s="18">
        <f>VLOOKUP($B346,Constraints!$C$2:$AK$86,30, FALSE)</f>
        <v>0</v>
      </c>
      <c r="N346" s="18"/>
    </row>
    <row r="347" spans="1:18" x14ac:dyDescent="0.2">
      <c r="A347" s="87" t="s">
        <v>6</v>
      </c>
      <c r="B347" s="29" t="s">
        <v>97</v>
      </c>
      <c r="C347" s="4" t="s">
        <v>535</v>
      </c>
      <c r="D347" s="4" t="s">
        <v>631</v>
      </c>
      <c r="E347" s="4" t="b">
        <v>1</v>
      </c>
      <c r="F347" s="18">
        <f>VLOOKUP($B347,Constraints!$C$2:$Z$86,19, FALSE)</f>
        <v>0</v>
      </c>
      <c r="I347" s="18">
        <f t="shared" si="54"/>
        <v>0</v>
      </c>
      <c r="L347" s="18">
        <f>VLOOKUP($B347,Constraints!$C$2:$AK$86,30, FALSE)</f>
        <v>0</v>
      </c>
      <c r="N347" s="18"/>
    </row>
    <row r="348" spans="1:18" x14ac:dyDescent="0.2">
      <c r="A348" s="87" t="s">
        <v>6</v>
      </c>
      <c r="B348" s="29" t="s">
        <v>111</v>
      </c>
      <c r="C348" s="4" t="s">
        <v>535</v>
      </c>
      <c r="D348" s="4" t="s">
        <v>631</v>
      </c>
      <c r="E348" s="4" t="b">
        <v>1</v>
      </c>
      <c r="F348" s="18">
        <f>VLOOKUP($B348,Constraints!$C$2:$Z$86,19, FALSE)</f>
        <v>0</v>
      </c>
      <c r="I348" s="18">
        <f t="shared" si="54"/>
        <v>0</v>
      </c>
      <c r="L348" s="18">
        <f>VLOOKUP($B348,Constraints!$C$2:$AK$86,30, FALSE)</f>
        <v>0</v>
      </c>
      <c r="N348" s="18"/>
    </row>
    <row r="349" spans="1:18" x14ac:dyDescent="0.2">
      <c r="A349" s="87" t="s">
        <v>6</v>
      </c>
      <c r="B349" s="29" t="s">
        <v>124</v>
      </c>
      <c r="C349" s="4" t="s">
        <v>535</v>
      </c>
      <c r="D349" s="4" t="s">
        <v>631</v>
      </c>
      <c r="E349" s="4" t="b">
        <v>1</v>
      </c>
      <c r="F349" s="18">
        <f>VLOOKUP($B349,Constraints!$C$2:$Z$86,19, FALSE)</f>
        <v>0</v>
      </c>
      <c r="I349" s="18">
        <f t="shared" si="54"/>
        <v>0</v>
      </c>
      <c r="L349" s="18">
        <f>VLOOKUP($B349,Constraints!$C$2:$AK$86,30, FALSE)</f>
        <v>0</v>
      </c>
      <c r="N349" s="18"/>
    </row>
    <row r="350" spans="1:18" x14ac:dyDescent="0.2">
      <c r="A350" s="87" t="s">
        <v>6</v>
      </c>
      <c r="B350" s="29" t="s">
        <v>138</v>
      </c>
      <c r="C350" s="4" t="s">
        <v>535</v>
      </c>
      <c r="D350" s="4" t="s">
        <v>631</v>
      </c>
      <c r="E350" s="4" t="b">
        <v>1</v>
      </c>
      <c r="F350" s="18">
        <f>VLOOKUP($B350,Constraints!$C$2:$Z$86,19, FALSE)</f>
        <v>0</v>
      </c>
      <c r="I350" s="18">
        <f t="shared" si="54"/>
        <v>0</v>
      </c>
      <c r="L350" s="18">
        <f>VLOOKUP($B350,Constraints!$C$2:$AK$86,30, FALSE)</f>
        <v>0</v>
      </c>
      <c r="N350" s="18"/>
    </row>
    <row r="351" spans="1:18" x14ac:dyDescent="0.2">
      <c r="A351" s="87" t="s">
        <v>6</v>
      </c>
      <c r="B351" s="29" t="s">
        <v>151</v>
      </c>
      <c r="C351" s="4" t="s">
        <v>535</v>
      </c>
      <c r="D351" s="4" t="s">
        <v>631</v>
      </c>
      <c r="E351" s="4" t="b">
        <v>1</v>
      </c>
      <c r="F351" s="18">
        <f>VLOOKUP($B351,Constraints!$C$2:$Z$86,19, FALSE)</f>
        <v>0</v>
      </c>
      <c r="I351" s="18">
        <f t="shared" si="54"/>
        <v>0</v>
      </c>
      <c r="L351" s="18">
        <f>VLOOKUP($B351,Constraints!$C$2:$AK$86,30, FALSE)</f>
        <v>0</v>
      </c>
      <c r="N351" s="18"/>
    </row>
    <row r="352" spans="1:18" x14ac:dyDescent="0.2">
      <c r="A352" s="87" t="s">
        <v>6</v>
      </c>
      <c r="B352" s="29" t="s">
        <v>165</v>
      </c>
      <c r="C352" s="4" t="s">
        <v>535</v>
      </c>
      <c r="D352" s="4" t="s">
        <v>631</v>
      </c>
      <c r="E352" s="4" t="b">
        <v>1</v>
      </c>
      <c r="F352" s="18">
        <f>VLOOKUP($B352,Constraints!$C$2:$Z$86,19, FALSE)</f>
        <v>0</v>
      </c>
      <c r="I352" s="18">
        <f t="shared" si="54"/>
        <v>0</v>
      </c>
      <c r="L352" s="18">
        <f>VLOOKUP($B352,Constraints!$C$2:$AK$86,30, FALSE)</f>
        <v>0</v>
      </c>
      <c r="N352" s="18"/>
    </row>
    <row r="353" spans="1:18" x14ac:dyDescent="0.2">
      <c r="A353" s="87" t="s">
        <v>6</v>
      </c>
      <c r="B353" s="29" t="s">
        <v>178</v>
      </c>
      <c r="C353" s="4" t="s">
        <v>535</v>
      </c>
      <c r="D353" s="4" t="s">
        <v>631</v>
      </c>
      <c r="E353" s="4" t="b">
        <v>1</v>
      </c>
      <c r="F353" s="18">
        <f>VLOOKUP($B353,Constraints!$C$2:$Z$86,19, FALSE)</f>
        <v>0</v>
      </c>
      <c r="I353" s="18">
        <f t="shared" si="54"/>
        <v>0</v>
      </c>
      <c r="L353" s="18">
        <f>VLOOKUP($B353,Constraints!$C$2:$AK$86,30, FALSE)</f>
        <v>0</v>
      </c>
      <c r="N353" s="18"/>
    </row>
    <row r="354" spans="1:18" x14ac:dyDescent="0.2">
      <c r="A354" s="87" t="s">
        <v>6</v>
      </c>
      <c r="B354" s="29" t="s">
        <v>192</v>
      </c>
      <c r="C354" s="4" t="s">
        <v>535</v>
      </c>
      <c r="D354" s="4" t="s">
        <v>631</v>
      </c>
      <c r="E354" s="4" t="b">
        <v>1</v>
      </c>
      <c r="F354" s="18">
        <f>VLOOKUP($B354,Constraints!$C$2:$Z$86,19, FALSE)</f>
        <v>0</v>
      </c>
      <c r="I354" s="18">
        <f t="shared" si="54"/>
        <v>0</v>
      </c>
      <c r="L354" s="18">
        <f>VLOOKUP($B354,Constraints!$C$2:$AK$86,30, FALSE)</f>
        <v>0</v>
      </c>
      <c r="N354" s="18"/>
    </row>
    <row r="355" spans="1:18" x14ac:dyDescent="0.2">
      <c r="A355" s="87" t="s">
        <v>6</v>
      </c>
      <c r="B355" s="29" t="s">
        <v>205</v>
      </c>
      <c r="C355" s="4" t="s">
        <v>535</v>
      </c>
      <c r="D355" s="4" t="s">
        <v>631</v>
      </c>
      <c r="E355" s="4" t="b">
        <v>1</v>
      </c>
      <c r="F355" s="18">
        <f>VLOOKUP($B355,Constraints!$C$2:$Z$86,19, FALSE)</f>
        <v>0</v>
      </c>
      <c r="I355" s="18">
        <f t="shared" si="54"/>
        <v>0</v>
      </c>
      <c r="L355" s="18">
        <f>VLOOKUP($B355,Constraints!$C$2:$AK$86,30, FALSE)</f>
        <v>0</v>
      </c>
      <c r="N355" s="18"/>
    </row>
    <row r="356" spans="1:18" x14ac:dyDescent="0.2">
      <c r="A356" s="87" t="s">
        <v>6</v>
      </c>
      <c r="B356" s="29" t="s">
        <v>219</v>
      </c>
      <c r="C356" s="4" t="s">
        <v>535</v>
      </c>
      <c r="D356" s="4" t="s">
        <v>631</v>
      </c>
      <c r="E356" s="4" t="b">
        <v>1</v>
      </c>
      <c r="F356" s="18">
        <f>VLOOKUP($B356,Constraints!$C$2:$Z$86,19, FALSE)</f>
        <v>0</v>
      </c>
      <c r="I356" s="18">
        <f t="shared" si="54"/>
        <v>0</v>
      </c>
      <c r="L356" s="18">
        <f>VLOOKUP($B356,Constraints!$C$2:$AK$86,30, FALSE)</f>
        <v>0</v>
      </c>
      <c r="N356" s="18"/>
    </row>
    <row r="357" spans="1:18" x14ac:dyDescent="0.2">
      <c r="A357" s="87" t="s">
        <v>6</v>
      </c>
      <c r="B357" s="29" t="s">
        <v>232</v>
      </c>
      <c r="C357" s="4" t="s">
        <v>535</v>
      </c>
      <c r="D357" s="4" t="s">
        <v>631</v>
      </c>
      <c r="E357" s="4" t="b">
        <v>1</v>
      </c>
      <c r="F357" s="18">
        <f>VLOOKUP($B357,Constraints!$C$2:$Z$86,19, FALSE)</f>
        <v>0</v>
      </c>
      <c r="I357" s="18">
        <f t="shared" si="54"/>
        <v>0</v>
      </c>
      <c r="L357" s="18">
        <f>VLOOKUP($B357,Constraints!$C$2:$AK$86,30, FALSE)</f>
        <v>0</v>
      </c>
      <c r="N357" s="18"/>
    </row>
    <row r="358" spans="1:18" x14ac:dyDescent="0.2">
      <c r="A358" s="87" t="s">
        <v>6</v>
      </c>
      <c r="B358" s="29" t="s">
        <v>38</v>
      </c>
      <c r="C358" s="4" t="s">
        <v>535</v>
      </c>
      <c r="D358" s="4" t="s">
        <v>631</v>
      </c>
      <c r="E358" s="4" t="b">
        <v>1</v>
      </c>
      <c r="F358" s="18">
        <f>VLOOKUP($B358,Constraints!$C$2:$Z$86,19, FALSE)</f>
        <v>0</v>
      </c>
      <c r="I358" s="18">
        <f t="shared" si="54"/>
        <v>0</v>
      </c>
      <c r="L358" s="18">
        <f>VLOOKUP($B358,Constraints!$C$2:$AK$86,30, FALSE)</f>
        <v>0</v>
      </c>
      <c r="N358" s="18"/>
    </row>
    <row r="359" spans="1:18" x14ac:dyDescent="0.2">
      <c r="A359" s="87" t="s">
        <v>6</v>
      </c>
      <c r="B359" s="29" t="s">
        <v>302</v>
      </c>
      <c r="C359" s="4" t="s">
        <v>535</v>
      </c>
      <c r="D359" s="4" t="s">
        <v>631</v>
      </c>
      <c r="E359" s="4" t="b">
        <v>1</v>
      </c>
      <c r="F359" s="18">
        <f>VLOOKUP($B359,Constraints!$C$2:$Z$86,19, FALSE)</f>
        <v>0</v>
      </c>
      <c r="I359" s="18">
        <f t="shared" si="54"/>
        <v>0</v>
      </c>
      <c r="L359" s="18">
        <f>VLOOKUP($B359,Constraints!$C$2:$AK$86,30, FALSE)</f>
        <v>0</v>
      </c>
      <c r="N359" s="18"/>
    </row>
    <row r="360" spans="1:18" x14ac:dyDescent="0.2">
      <c r="A360" s="87" t="s">
        <v>6</v>
      </c>
      <c r="B360" s="29" t="s">
        <v>379</v>
      </c>
      <c r="C360" s="4" t="s">
        <v>535</v>
      </c>
      <c r="D360" s="4" t="s">
        <v>631</v>
      </c>
      <c r="E360" s="4" t="b">
        <v>1</v>
      </c>
      <c r="F360" s="18">
        <f>VLOOKUP($B360,Constraints!$C$2:$Z$86,19, FALSE)</f>
        <v>0</v>
      </c>
      <c r="I360" s="18">
        <f t="shared" si="54"/>
        <v>0</v>
      </c>
      <c r="L360" s="18">
        <f>VLOOKUP($B360,Constraints!$C$2:$AK$86,30, FALSE)</f>
        <v>0</v>
      </c>
      <c r="N360" s="18"/>
    </row>
    <row r="361" spans="1:18" x14ac:dyDescent="0.2">
      <c r="A361" s="87" t="s">
        <v>6</v>
      </c>
      <c r="B361" s="29" t="s">
        <v>380</v>
      </c>
      <c r="C361" s="4" t="s">
        <v>535</v>
      </c>
      <c r="D361" s="4" t="s">
        <v>631</v>
      </c>
      <c r="E361" s="4" t="b">
        <v>1</v>
      </c>
      <c r="F361" s="18">
        <f>VLOOKUP($B361,Constraints!$C$2:$Z$86,19, FALSE)</f>
        <v>0</v>
      </c>
      <c r="I361" s="18">
        <f t="shared" si="54"/>
        <v>0</v>
      </c>
      <c r="L361" s="18">
        <f>VLOOKUP($B361,Constraints!$C$2:$AK$86,30, FALSE)</f>
        <v>0</v>
      </c>
      <c r="N361" s="18"/>
    </row>
    <row r="362" spans="1:18" x14ac:dyDescent="0.2">
      <c r="A362" s="87" t="s">
        <v>6</v>
      </c>
      <c r="B362" s="29" t="s">
        <v>381</v>
      </c>
      <c r="C362" s="4" t="s">
        <v>535</v>
      </c>
      <c r="D362" s="4" t="s">
        <v>631</v>
      </c>
      <c r="E362" s="4" t="b">
        <v>1</v>
      </c>
      <c r="F362" s="18">
        <f>VLOOKUP($B362,Constraints!$C$2:$Z$86,19, FALSE)</f>
        <v>720</v>
      </c>
      <c r="I362" s="18">
        <f t="shared" si="54"/>
        <v>900</v>
      </c>
      <c r="L362" s="18">
        <f>VLOOKUP($B362,Constraints!$C$2:$AK$86,30, FALSE)</f>
        <v>12</v>
      </c>
      <c r="N362" s="18"/>
    </row>
    <row r="363" spans="1:18" x14ac:dyDescent="0.2">
      <c r="A363" s="87" t="s">
        <v>6</v>
      </c>
      <c r="B363" s="29" t="s">
        <v>382</v>
      </c>
      <c r="C363" s="4" t="s">
        <v>535</v>
      </c>
      <c r="D363" s="4" t="s">
        <v>631</v>
      </c>
      <c r="E363" s="4" t="b">
        <v>1</v>
      </c>
      <c r="F363" s="18">
        <f>VLOOKUP($B363,Constraints!$C$2:$Z$86,19, FALSE)</f>
        <v>675</v>
      </c>
      <c r="I363" s="18">
        <f t="shared" si="54"/>
        <v>843.75</v>
      </c>
      <c r="L363" s="18">
        <f>VLOOKUP($B363,Constraints!$C$2:$AK$86,30, FALSE)</f>
        <v>12</v>
      </c>
      <c r="N363" s="18"/>
    </row>
    <row r="364" spans="1:18" x14ac:dyDescent="0.2">
      <c r="A364" s="87" t="s">
        <v>530</v>
      </c>
      <c r="B364" s="29" t="s">
        <v>448</v>
      </c>
      <c r="C364" s="4" t="s">
        <v>535</v>
      </c>
      <c r="D364" s="4" t="s">
        <v>631</v>
      </c>
      <c r="E364" s="4" t="b">
        <v>1</v>
      </c>
      <c r="F364" s="18">
        <f>VLOOKUP($B364,Constraints!$C$2:$Z$86,19, FALSE)</f>
        <v>0</v>
      </c>
      <c r="I364" s="18">
        <f t="shared" si="54"/>
        <v>0</v>
      </c>
      <c r="L364" s="18">
        <f>VLOOKUP($B364,Constraints!$C$2:$AK$86,30, FALSE)</f>
        <v>0</v>
      </c>
      <c r="M364" t="s">
        <v>664</v>
      </c>
      <c r="N364" s="18">
        <f>VLOOKUP($B364,Constraints!$C$28:$F$86,2,FALSE)</f>
        <v>180</v>
      </c>
      <c r="O364" t="str">
        <f>VLOOKUP($A364,'Capacity Name Ref'!$A$2:$G$16,6,FALSE)</f>
        <v>Device_Capacity_Margin</v>
      </c>
      <c r="P364">
        <f>N364-F364</f>
        <v>180</v>
      </c>
      <c r="Q364" t="str">
        <f t="shared" ref="Q364:Q412" si="55">O364&amp;"%"</f>
        <v>Device_Capacity_Margin%</v>
      </c>
      <c r="R364" s="100">
        <f>P364/N364</f>
        <v>1</v>
      </c>
    </row>
    <row r="365" spans="1:18" x14ac:dyDescent="0.2">
      <c r="A365" s="87" t="s">
        <v>530</v>
      </c>
      <c r="B365" s="29" t="s">
        <v>449</v>
      </c>
      <c r="C365" s="4" t="s">
        <v>535</v>
      </c>
      <c r="D365" s="4" t="s">
        <v>631</v>
      </c>
      <c r="E365" s="4" t="b">
        <v>1</v>
      </c>
      <c r="F365" s="18">
        <f>VLOOKUP($B365,Constraints!$C$2:$Z$86,19, FALSE)</f>
        <v>0</v>
      </c>
      <c r="I365" s="18">
        <f t="shared" si="54"/>
        <v>0</v>
      </c>
      <c r="L365" s="18">
        <f>VLOOKUP($B365,Constraints!$C$2:$AK$86,30, FALSE)</f>
        <v>0</v>
      </c>
      <c r="M365" t="s">
        <v>664</v>
      </c>
      <c r="N365" s="18">
        <f>VLOOKUP($B365,Constraints!$C$28:$F$86,2,FALSE)</f>
        <v>180</v>
      </c>
      <c r="O365" t="str">
        <f>VLOOKUP($A365,'Capacity Name Ref'!$A$2:$G$16,6,FALSE)</f>
        <v>Device_Capacity_Margin</v>
      </c>
      <c r="P365">
        <f t="shared" ref="P365:P387" si="56">N365-F365</f>
        <v>180</v>
      </c>
      <c r="Q365" t="str">
        <f t="shared" si="55"/>
        <v>Device_Capacity_Margin%</v>
      </c>
      <c r="R365" s="100">
        <f t="shared" ref="R365:R421" si="57">P365/N365</f>
        <v>1</v>
      </c>
    </row>
    <row r="366" spans="1:18" x14ac:dyDescent="0.2">
      <c r="A366" s="87" t="s">
        <v>530</v>
      </c>
      <c r="B366" s="29" t="s">
        <v>450</v>
      </c>
      <c r="C366" s="4" t="s">
        <v>535</v>
      </c>
      <c r="D366" s="4" t="s">
        <v>631</v>
      </c>
      <c r="E366" s="4" t="b">
        <v>1</v>
      </c>
      <c r="F366" s="18">
        <f>VLOOKUP($B366,Constraints!$C$2:$Z$86,19, FALSE)</f>
        <v>0</v>
      </c>
      <c r="I366" s="18">
        <f t="shared" si="54"/>
        <v>0</v>
      </c>
      <c r="L366" s="18">
        <f>VLOOKUP($B366,Constraints!$C$2:$AK$86,30, FALSE)</f>
        <v>0</v>
      </c>
      <c r="M366" t="s">
        <v>664</v>
      </c>
      <c r="N366" s="18">
        <f>VLOOKUP($B366,Constraints!$C$28:$F$86,2,FALSE)</f>
        <v>180</v>
      </c>
      <c r="O366" t="str">
        <f>VLOOKUP($A366,'Capacity Name Ref'!$A$2:$G$16,6,FALSE)</f>
        <v>Device_Capacity_Margin</v>
      </c>
      <c r="P366">
        <f t="shared" si="56"/>
        <v>180</v>
      </c>
      <c r="Q366" t="str">
        <f t="shared" si="55"/>
        <v>Device_Capacity_Margin%</v>
      </c>
      <c r="R366" s="100">
        <f t="shared" si="57"/>
        <v>1</v>
      </c>
    </row>
    <row r="367" spans="1:18" x14ac:dyDescent="0.2">
      <c r="A367" s="87" t="s">
        <v>530</v>
      </c>
      <c r="B367" s="29" t="s">
        <v>451</v>
      </c>
      <c r="C367" s="4" t="s">
        <v>535</v>
      </c>
      <c r="D367" s="4" t="s">
        <v>631</v>
      </c>
      <c r="E367" s="4" t="b">
        <v>1</v>
      </c>
      <c r="F367" s="18">
        <f>VLOOKUP($B367,Constraints!$C$2:$Z$86,19, FALSE)</f>
        <v>0</v>
      </c>
      <c r="I367" s="18">
        <f t="shared" si="54"/>
        <v>0</v>
      </c>
      <c r="L367" s="18">
        <f>VLOOKUP($B367,Constraints!$C$2:$AK$86,30, FALSE)</f>
        <v>0</v>
      </c>
      <c r="M367" t="s">
        <v>664</v>
      </c>
      <c r="N367" s="18">
        <f>VLOOKUP($B367,Constraints!$C$28:$F$86,2,FALSE)</f>
        <v>180</v>
      </c>
      <c r="O367" t="str">
        <f>VLOOKUP($A367,'Capacity Name Ref'!$A$2:$G$16,6,FALSE)</f>
        <v>Device_Capacity_Margin</v>
      </c>
      <c r="P367">
        <f t="shared" si="56"/>
        <v>180</v>
      </c>
      <c r="Q367" t="str">
        <f t="shared" si="55"/>
        <v>Device_Capacity_Margin%</v>
      </c>
      <c r="R367" s="100">
        <f t="shared" si="57"/>
        <v>1</v>
      </c>
    </row>
    <row r="368" spans="1:18" x14ac:dyDescent="0.2">
      <c r="A368" s="87" t="s">
        <v>530</v>
      </c>
      <c r="B368" s="29" t="s">
        <v>27</v>
      </c>
      <c r="C368" s="4" t="s">
        <v>535</v>
      </c>
      <c r="D368" s="4" t="s">
        <v>631</v>
      </c>
      <c r="E368" s="4" t="b">
        <v>1</v>
      </c>
      <c r="F368" s="18">
        <f>VLOOKUP($B368,Constraints!$C$2:$Z$86,19, FALSE)</f>
        <v>0</v>
      </c>
      <c r="I368" s="18">
        <f t="shared" si="54"/>
        <v>0</v>
      </c>
      <c r="L368" s="18">
        <f>VLOOKUP($B368,Constraints!$C$2:$AK$86,30, FALSE)</f>
        <v>0</v>
      </c>
      <c r="M368" t="s">
        <v>664</v>
      </c>
      <c r="N368" s="18">
        <f>VLOOKUP($B368,Constraints!$C$28:$F$86,2,FALSE)</f>
        <v>1260</v>
      </c>
      <c r="O368" t="str">
        <f>VLOOKUP($A368,'Capacity Name Ref'!$A$2:$G$16,6,FALSE)</f>
        <v>Device_Capacity_Margin</v>
      </c>
      <c r="P368">
        <f t="shared" si="56"/>
        <v>1260</v>
      </c>
      <c r="Q368" t="str">
        <f t="shared" si="55"/>
        <v>Device_Capacity_Margin%</v>
      </c>
      <c r="R368" s="100">
        <f t="shared" si="57"/>
        <v>1</v>
      </c>
    </row>
    <row r="369" spans="1:18" x14ac:dyDescent="0.2">
      <c r="A369" s="87" t="s">
        <v>530</v>
      </c>
      <c r="B369" s="29" t="s">
        <v>30</v>
      </c>
      <c r="C369" s="4" t="s">
        <v>535</v>
      </c>
      <c r="D369" s="4" t="s">
        <v>631</v>
      </c>
      <c r="E369" s="4" t="b">
        <v>1</v>
      </c>
      <c r="F369" s="18">
        <f>VLOOKUP($B369,Constraints!$C$2:$Z$86,19, FALSE)</f>
        <v>0</v>
      </c>
      <c r="I369" s="18">
        <f t="shared" si="54"/>
        <v>0</v>
      </c>
      <c r="L369" s="18">
        <f>VLOOKUP($B369,Constraints!$C$2:$AK$86,30, FALSE)</f>
        <v>0</v>
      </c>
      <c r="M369" t="s">
        <v>664</v>
      </c>
      <c r="N369" s="18">
        <f>VLOOKUP($B369,Constraints!$C$28:$F$86,2,FALSE)</f>
        <v>1260</v>
      </c>
      <c r="O369" t="str">
        <f>VLOOKUP($A369,'Capacity Name Ref'!$A$2:$G$16,6,FALSE)</f>
        <v>Device_Capacity_Margin</v>
      </c>
      <c r="P369">
        <f t="shared" si="56"/>
        <v>1260</v>
      </c>
      <c r="Q369" t="str">
        <f t="shared" si="55"/>
        <v>Device_Capacity_Margin%</v>
      </c>
      <c r="R369" s="100">
        <f t="shared" si="57"/>
        <v>1</v>
      </c>
    </row>
    <row r="370" spans="1:18" x14ac:dyDescent="0.2">
      <c r="A370" s="87" t="s">
        <v>530</v>
      </c>
      <c r="B370" s="29" t="s">
        <v>32</v>
      </c>
      <c r="C370" s="4" t="s">
        <v>535</v>
      </c>
      <c r="D370" s="4" t="s">
        <v>631</v>
      </c>
      <c r="E370" s="4" t="b">
        <v>1</v>
      </c>
      <c r="F370" s="18">
        <f>VLOOKUP($B370,Constraints!$C$2:$Z$86,19, FALSE)</f>
        <v>0</v>
      </c>
      <c r="I370" s="18">
        <f t="shared" si="54"/>
        <v>0</v>
      </c>
      <c r="L370" s="18">
        <f>VLOOKUP($B370,Constraints!$C$2:$AK$86,30, FALSE)</f>
        <v>0</v>
      </c>
      <c r="M370" t="s">
        <v>664</v>
      </c>
      <c r="N370" s="18">
        <f>VLOOKUP($B370,Constraints!$C$28:$F$86,2,FALSE)</f>
        <v>1440</v>
      </c>
      <c r="O370" t="str">
        <f>VLOOKUP($A370,'Capacity Name Ref'!$A$2:$G$16,6,FALSE)</f>
        <v>Device_Capacity_Margin</v>
      </c>
      <c r="P370">
        <f t="shared" si="56"/>
        <v>1440</v>
      </c>
      <c r="Q370" t="str">
        <f t="shared" si="55"/>
        <v>Device_Capacity_Margin%</v>
      </c>
      <c r="R370" s="100">
        <f t="shared" si="57"/>
        <v>1</v>
      </c>
    </row>
    <row r="371" spans="1:18" x14ac:dyDescent="0.2">
      <c r="A371" s="87" t="s">
        <v>530</v>
      </c>
      <c r="B371" s="29" t="s">
        <v>33</v>
      </c>
      <c r="C371" s="4" t="s">
        <v>535</v>
      </c>
      <c r="D371" s="4" t="s">
        <v>631</v>
      </c>
      <c r="E371" s="4" t="b">
        <v>1</v>
      </c>
      <c r="F371" s="18">
        <f>VLOOKUP($B371,Constraints!$C$2:$Z$86,19, FALSE)</f>
        <v>0</v>
      </c>
      <c r="I371" s="18">
        <f t="shared" si="54"/>
        <v>0</v>
      </c>
      <c r="L371" s="18">
        <f>VLOOKUP($B371,Constraints!$C$2:$AK$86,30, FALSE)</f>
        <v>0</v>
      </c>
      <c r="M371" t="s">
        <v>664</v>
      </c>
      <c r="N371" s="18">
        <f>VLOOKUP($B371,Constraints!$C$28:$F$86,2,FALSE)</f>
        <v>1440</v>
      </c>
      <c r="O371" t="str">
        <f>VLOOKUP($A371,'Capacity Name Ref'!$A$2:$G$16,6,FALSE)</f>
        <v>Device_Capacity_Margin</v>
      </c>
      <c r="P371">
        <f t="shared" si="56"/>
        <v>1440</v>
      </c>
      <c r="Q371" t="str">
        <f t="shared" si="55"/>
        <v>Device_Capacity_Margin%</v>
      </c>
      <c r="R371" s="100">
        <f t="shared" si="57"/>
        <v>1</v>
      </c>
    </row>
    <row r="372" spans="1:18" x14ac:dyDescent="0.2">
      <c r="A372" s="87" t="s">
        <v>530</v>
      </c>
      <c r="B372" s="29" t="s">
        <v>64</v>
      </c>
      <c r="C372" s="4" t="s">
        <v>535</v>
      </c>
      <c r="D372" s="4" t="s">
        <v>631</v>
      </c>
      <c r="E372" s="4" t="b">
        <v>1</v>
      </c>
      <c r="F372" s="18">
        <f>VLOOKUP($B372,Constraints!$C$2:$Z$86,19, FALSE)</f>
        <v>0</v>
      </c>
      <c r="I372" s="18">
        <f t="shared" si="54"/>
        <v>0</v>
      </c>
      <c r="L372" s="18">
        <f>VLOOKUP($B372,Constraints!$C$2:$AK$86,30, FALSE)</f>
        <v>0</v>
      </c>
      <c r="M372" t="s">
        <v>664</v>
      </c>
      <c r="N372" s="18">
        <f>VLOOKUP($B372,Constraints!$C$28:$F$86,2,FALSE)</f>
        <v>240</v>
      </c>
      <c r="O372" t="str">
        <f>VLOOKUP($A372,'Capacity Name Ref'!$A$2:$G$16,6,FALSE)</f>
        <v>Device_Capacity_Margin</v>
      </c>
      <c r="P372">
        <f t="shared" si="56"/>
        <v>240</v>
      </c>
      <c r="Q372" t="str">
        <f t="shared" si="55"/>
        <v>Device_Capacity_Margin%</v>
      </c>
      <c r="R372" s="100">
        <f t="shared" si="57"/>
        <v>1</v>
      </c>
    </row>
    <row r="373" spans="1:18" x14ac:dyDescent="0.2">
      <c r="A373" s="87" t="s">
        <v>530</v>
      </c>
      <c r="B373" s="29" t="s">
        <v>65</v>
      </c>
      <c r="C373" s="4" t="s">
        <v>535</v>
      </c>
      <c r="D373" s="4" t="s">
        <v>631</v>
      </c>
      <c r="E373" s="4" t="b">
        <v>1</v>
      </c>
      <c r="F373" s="18">
        <f>VLOOKUP($B373,Constraints!$C$2:$Z$86,19, FALSE)</f>
        <v>0</v>
      </c>
      <c r="I373" s="18">
        <f t="shared" si="54"/>
        <v>0</v>
      </c>
      <c r="L373" s="18">
        <f>VLOOKUP($B373,Constraints!$C$2:$AK$86,30, FALSE)</f>
        <v>0</v>
      </c>
      <c r="M373" t="s">
        <v>664</v>
      </c>
      <c r="N373" s="18">
        <f>VLOOKUP($B373,Constraints!$C$28:$F$86,2,FALSE)</f>
        <v>240</v>
      </c>
      <c r="O373" t="str">
        <f>VLOOKUP($A373,'Capacity Name Ref'!$A$2:$G$16,6,FALSE)</f>
        <v>Device_Capacity_Margin</v>
      </c>
      <c r="P373">
        <f t="shared" si="56"/>
        <v>240</v>
      </c>
      <c r="Q373" t="str">
        <f t="shared" si="55"/>
        <v>Device_Capacity_Margin%</v>
      </c>
      <c r="R373" s="100">
        <f t="shared" si="57"/>
        <v>1</v>
      </c>
    </row>
    <row r="374" spans="1:18" x14ac:dyDescent="0.2">
      <c r="A374" s="87" t="s">
        <v>530</v>
      </c>
      <c r="B374" s="29" t="s">
        <v>305</v>
      </c>
      <c r="C374" s="4" t="s">
        <v>535</v>
      </c>
      <c r="D374" s="4" t="s">
        <v>631</v>
      </c>
      <c r="E374" s="4" t="b">
        <v>1</v>
      </c>
      <c r="F374" s="18">
        <f>VLOOKUP($B374,Constraints!$C$2:$Z$86,19, FALSE)</f>
        <v>0</v>
      </c>
      <c r="I374" s="18">
        <f t="shared" si="54"/>
        <v>0</v>
      </c>
      <c r="L374" s="18">
        <f>VLOOKUP($B374,Constraints!$C$2:$AK$86,30, FALSE)</f>
        <v>0</v>
      </c>
      <c r="M374" t="s">
        <v>664</v>
      </c>
      <c r="N374" s="18">
        <f>VLOOKUP($B374,Constraints!$C$28:$F$86,2,FALSE)</f>
        <v>720</v>
      </c>
      <c r="O374" t="str">
        <f>VLOOKUP($A374,'Capacity Name Ref'!$A$2:$G$16,6,FALSE)</f>
        <v>Device_Capacity_Margin</v>
      </c>
      <c r="P374">
        <f t="shared" si="56"/>
        <v>720</v>
      </c>
      <c r="Q374" t="str">
        <f t="shared" si="55"/>
        <v>Device_Capacity_Margin%</v>
      </c>
      <c r="R374" s="100">
        <f t="shared" si="57"/>
        <v>1</v>
      </c>
    </row>
    <row r="375" spans="1:18" x14ac:dyDescent="0.2">
      <c r="A375" s="87" t="s">
        <v>530</v>
      </c>
      <c r="B375" s="29" t="s">
        <v>307</v>
      </c>
      <c r="C375" s="4" t="s">
        <v>535</v>
      </c>
      <c r="D375" s="4" t="s">
        <v>631</v>
      </c>
      <c r="E375" s="4" t="b">
        <v>1</v>
      </c>
      <c r="F375" s="18">
        <f>VLOOKUP($B375,Constraints!$C$2:$Z$86,19, FALSE)</f>
        <v>0</v>
      </c>
      <c r="I375" s="18">
        <f t="shared" si="54"/>
        <v>0</v>
      </c>
      <c r="L375" s="18">
        <f>VLOOKUP($B375,Constraints!$C$2:$AK$86,30, FALSE)</f>
        <v>0</v>
      </c>
      <c r="M375" t="s">
        <v>664</v>
      </c>
      <c r="N375" s="18">
        <f>VLOOKUP($B375,Constraints!$C$28:$F$86,2,FALSE)</f>
        <v>720</v>
      </c>
      <c r="O375" t="str">
        <f>VLOOKUP($A375,'Capacity Name Ref'!$A$2:$G$16,6,FALSE)</f>
        <v>Device_Capacity_Margin</v>
      </c>
      <c r="P375">
        <f t="shared" si="56"/>
        <v>720</v>
      </c>
      <c r="Q375" t="str">
        <f t="shared" si="55"/>
        <v>Device_Capacity_Margin%</v>
      </c>
      <c r="R375" s="100">
        <f t="shared" si="57"/>
        <v>1</v>
      </c>
    </row>
    <row r="376" spans="1:18" x14ac:dyDescent="0.2">
      <c r="A376" s="87" t="s">
        <v>530</v>
      </c>
      <c r="B376" s="29" t="s">
        <v>309</v>
      </c>
      <c r="C376" s="4" t="s">
        <v>535</v>
      </c>
      <c r="D376" s="4" t="s">
        <v>631</v>
      </c>
      <c r="E376" s="4" t="b">
        <v>1</v>
      </c>
      <c r="F376" s="18">
        <f>VLOOKUP($B376,Constraints!$C$2:$Z$86,19, FALSE)</f>
        <v>720</v>
      </c>
      <c r="I376" s="18">
        <f t="shared" si="54"/>
        <v>900</v>
      </c>
      <c r="L376" s="18">
        <f>VLOOKUP($B376,Constraints!$C$2:$AK$86,30, FALSE)</f>
        <v>12</v>
      </c>
      <c r="M376" t="s">
        <v>664</v>
      </c>
      <c r="N376" s="18">
        <f>VLOOKUP($B376,Constraints!$C$28:$F$86,2,FALSE)</f>
        <v>720</v>
      </c>
      <c r="O376" t="str">
        <f>VLOOKUP($A376,'Capacity Name Ref'!$A$2:$G$16,6,FALSE)</f>
        <v>Device_Capacity_Margin</v>
      </c>
      <c r="P376">
        <f t="shared" si="56"/>
        <v>0</v>
      </c>
      <c r="Q376" t="str">
        <f t="shared" si="55"/>
        <v>Device_Capacity_Margin%</v>
      </c>
      <c r="R376" s="100">
        <f t="shared" si="57"/>
        <v>0</v>
      </c>
    </row>
    <row r="377" spans="1:18" x14ac:dyDescent="0.2">
      <c r="A377" s="87" t="s">
        <v>530</v>
      </c>
      <c r="B377" s="29" t="s">
        <v>311</v>
      </c>
      <c r="C377" s="4" t="s">
        <v>535</v>
      </c>
      <c r="D377" s="4" t="s">
        <v>631</v>
      </c>
      <c r="E377" s="4" t="b">
        <v>1</v>
      </c>
      <c r="F377" s="18">
        <f>VLOOKUP($B377,Constraints!$C$2:$Z$86,19, FALSE)</f>
        <v>675</v>
      </c>
      <c r="I377" s="18">
        <f t="shared" si="54"/>
        <v>843.75</v>
      </c>
      <c r="L377" s="18">
        <f>VLOOKUP($B377,Constraints!$C$2:$AK$86,30, FALSE)</f>
        <v>12</v>
      </c>
      <c r="M377" t="s">
        <v>664</v>
      </c>
      <c r="N377" s="18">
        <f>VLOOKUP($B377,Constraints!$C$28:$F$86,2,FALSE)</f>
        <v>720</v>
      </c>
      <c r="O377" t="str">
        <f>VLOOKUP($A377,'Capacity Name Ref'!$A$2:$G$16,6,FALSE)</f>
        <v>Device_Capacity_Margin</v>
      </c>
      <c r="P377">
        <f t="shared" si="56"/>
        <v>45</v>
      </c>
      <c r="Q377" t="str">
        <f t="shared" si="55"/>
        <v>Device_Capacity_Margin%</v>
      </c>
      <c r="R377" s="100">
        <f t="shared" si="57"/>
        <v>6.25E-2</v>
      </c>
    </row>
    <row r="378" spans="1:18" x14ac:dyDescent="0.2">
      <c r="A378" s="87" t="s">
        <v>530</v>
      </c>
      <c r="B378" s="29" t="s">
        <v>29</v>
      </c>
      <c r="C378" s="4" t="s">
        <v>535</v>
      </c>
      <c r="D378" s="4" t="s">
        <v>631</v>
      </c>
      <c r="E378" s="4" t="b">
        <v>1</v>
      </c>
      <c r="F378" s="18">
        <f>VLOOKUP($B378,Constraints!$C$2:$Z$86,19, FALSE)</f>
        <v>0</v>
      </c>
      <c r="I378" s="18">
        <f t="shared" si="54"/>
        <v>0</v>
      </c>
      <c r="L378" s="18">
        <f>VLOOKUP($B378,Constraints!$C$2:$AK$86,30, FALSE)</f>
        <v>0</v>
      </c>
      <c r="M378" t="s">
        <v>664</v>
      </c>
      <c r="N378" s="18">
        <f>VLOOKUP($B378,Constraints!$C$28:$F$86,2,FALSE)</f>
        <v>1350</v>
      </c>
      <c r="O378" t="str">
        <f>VLOOKUP($A378,'Capacity Name Ref'!$A$2:$G$16,6,FALSE)</f>
        <v>Device_Capacity_Margin</v>
      </c>
      <c r="P378">
        <f t="shared" si="56"/>
        <v>1350</v>
      </c>
      <c r="Q378" t="str">
        <f t="shared" si="55"/>
        <v>Device_Capacity_Margin%</v>
      </c>
      <c r="R378" s="100">
        <f t="shared" si="57"/>
        <v>1</v>
      </c>
    </row>
    <row r="379" spans="1:18" x14ac:dyDescent="0.2">
      <c r="A379" s="87" t="s">
        <v>530</v>
      </c>
      <c r="B379" s="29" t="s">
        <v>28</v>
      </c>
      <c r="C379" s="4" t="s">
        <v>535</v>
      </c>
      <c r="D379" s="4" t="s">
        <v>631</v>
      </c>
      <c r="E379" s="4" t="b">
        <v>1</v>
      </c>
      <c r="F379" s="18">
        <f>VLOOKUP($B379,Constraints!$C$2:$Z$86,19, FALSE)</f>
        <v>0</v>
      </c>
      <c r="I379" s="18">
        <f t="shared" si="54"/>
        <v>0</v>
      </c>
      <c r="L379" s="18">
        <f>VLOOKUP($B379,Constraints!$C$2:$AK$86,30, FALSE)</f>
        <v>0</v>
      </c>
      <c r="M379" t="s">
        <v>664</v>
      </c>
      <c r="N379" s="18">
        <f>VLOOKUP($B379,Constraints!$C$28:$F$86,2,FALSE)</f>
        <v>1350</v>
      </c>
      <c r="O379" t="str">
        <f>VLOOKUP($A379,'Capacity Name Ref'!$A$2:$G$16,6,FALSE)</f>
        <v>Device_Capacity_Margin</v>
      </c>
      <c r="P379">
        <f t="shared" si="56"/>
        <v>1350</v>
      </c>
      <c r="Q379" t="str">
        <f t="shared" si="55"/>
        <v>Device_Capacity_Margin%</v>
      </c>
      <c r="R379" s="100">
        <f t="shared" si="57"/>
        <v>1</v>
      </c>
    </row>
    <row r="380" spans="1:18" x14ac:dyDescent="0.2">
      <c r="A380" s="87" t="s">
        <v>530</v>
      </c>
      <c r="B380" s="29" t="s">
        <v>31</v>
      </c>
      <c r="C380" s="4" t="s">
        <v>535</v>
      </c>
      <c r="D380" s="4" t="s">
        <v>631</v>
      </c>
      <c r="E380" s="4" t="b">
        <v>1</v>
      </c>
      <c r="F380" s="18">
        <f>VLOOKUP($B380,Constraints!$C$2:$Z$86,19, FALSE)</f>
        <v>0</v>
      </c>
      <c r="I380" s="18">
        <f t="shared" si="54"/>
        <v>0</v>
      </c>
      <c r="L380" s="18">
        <f>VLOOKUP($B380,Constraints!$C$2:$AK$86,30, FALSE)</f>
        <v>0</v>
      </c>
      <c r="M380" t="s">
        <v>664</v>
      </c>
      <c r="N380" s="18">
        <f>VLOOKUP($B380,Constraints!$C$28:$F$86,2,FALSE)</f>
        <v>1080</v>
      </c>
      <c r="O380" t="str">
        <f>VLOOKUP($A380,'Capacity Name Ref'!$A$2:$G$16,6,FALSE)</f>
        <v>Device_Capacity_Margin</v>
      </c>
      <c r="P380">
        <f t="shared" si="56"/>
        <v>1080</v>
      </c>
      <c r="Q380" t="str">
        <f t="shared" si="55"/>
        <v>Device_Capacity_Margin%</v>
      </c>
      <c r="R380" s="100">
        <f t="shared" si="57"/>
        <v>1</v>
      </c>
    </row>
    <row r="381" spans="1:18" x14ac:dyDescent="0.2">
      <c r="A381" s="87" t="s">
        <v>530</v>
      </c>
      <c r="B381" s="29" t="s">
        <v>34</v>
      </c>
      <c r="C381" s="4" t="s">
        <v>535</v>
      </c>
      <c r="D381" s="4" t="s">
        <v>631</v>
      </c>
      <c r="E381" s="4" t="b">
        <v>1</v>
      </c>
      <c r="F381" s="18">
        <f>VLOOKUP($B381,Constraints!$C$2:$Z$86,19, FALSE)</f>
        <v>0</v>
      </c>
      <c r="I381" s="18">
        <f t="shared" si="54"/>
        <v>0</v>
      </c>
      <c r="L381" s="18">
        <f>VLOOKUP($B381,Constraints!$C$2:$AK$86,30, FALSE)</f>
        <v>0</v>
      </c>
      <c r="M381" t="s">
        <v>664</v>
      </c>
      <c r="N381" s="18">
        <f>VLOOKUP($B381,Constraints!$C$28:$F$86,2,FALSE)</f>
        <v>1620</v>
      </c>
      <c r="O381" t="str">
        <f>VLOOKUP($A381,'Capacity Name Ref'!$A$2:$G$16,6,FALSE)</f>
        <v>Device_Capacity_Margin</v>
      </c>
      <c r="P381">
        <f t="shared" si="56"/>
        <v>1620</v>
      </c>
      <c r="Q381" t="str">
        <f t="shared" si="55"/>
        <v>Device_Capacity_Margin%</v>
      </c>
      <c r="R381" s="100">
        <f t="shared" si="57"/>
        <v>1</v>
      </c>
    </row>
    <row r="382" spans="1:18" x14ac:dyDescent="0.2">
      <c r="A382" s="87" t="s">
        <v>530</v>
      </c>
      <c r="B382" s="29" t="s">
        <v>66</v>
      </c>
      <c r="C382" s="4" t="s">
        <v>535</v>
      </c>
      <c r="D382" s="4" t="s">
        <v>631</v>
      </c>
      <c r="E382" s="4" t="b">
        <v>1</v>
      </c>
      <c r="F382" s="18">
        <f>VLOOKUP($B382,Constraints!$C$2:$Z$86,19, FALSE)</f>
        <v>0</v>
      </c>
      <c r="I382" s="18">
        <f t="shared" si="54"/>
        <v>0</v>
      </c>
      <c r="L382" s="18">
        <f>VLOOKUP($B382,Constraints!$C$2:$AK$86,30, FALSE)</f>
        <v>0</v>
      </c>
      <c r="M382" t="s">
        <v>664</v>
      </c>
      <c r="N382" s="18">
        <f>VLOOKUP($B382,Constraints!$C$28:$F$86,2,FALSE)</f>
        <v>240</v>
      </c>
      <c r="O382" t="str">
        <f>VLOOKUP($A382,'Capacity Name Ref'!$A$2:$G$16,6,FALSE)</f>
        <v>Device_Capacity_Margin</v>
      </c>
      <c r="P382">
        <f t="shared" si="56"/>
        <v>240</v>
      </c>
      <c r="Q382" t="str">
        <f t="shared" si="55"/>
        <v>Device_Capacity_Margin%</v>
      </c>
      <c r="R382" s="100">
        <f t="shared" si="57"/>
        <v>1</v>
      </c>
    </row>
    <row r="383" spans="1:18" x14ac:dyDescent="0.2">
      <c r="A383" s="87" t="s">
        <v>530</v>
      </c>
      <c r="B383" s="29" t="s">
        <v>67</v>
      </c>
      <c r="C383" s="4" t="s">
        <v>535</v>
      </c>
      <c r="D383" s="4" t="s">
        <v>631</v>
      </c>
      <c r="E383" s="4" t="b">
        <v>1</v>
      </c>
      <c r="F383" s="18">
        <f>VLOOKUP($B383,Constraints!$C$2:$Z$86,19, FALSE)</f>
        <v>0</v>
      </c>
      <c r="I383" s="18">
        <f t="shared" si="54"/>
        <v>0</v>
      </c>
      <c r="L383" s="18">
        <f>VLOOKUP($B383,Constraints!$C$2:$AK$86,30, FALSE)</f>
        <v>0</v>
      </c>
      <c r="M383" t="s">
        <v>664</v>
      </c>
      <c r="N383" s="18">
        <f>VLOOKUP($B383,Constraints!$C$28:$F$86,2,FALSE)</f>
        <v>240</v>
      </c>
      <c r="O383" t="str">
        <f>VLOOKUP($A383,'Capacity Name Ref'!$A$2:$G$16,6,FALSE)</f>
        <v>Device_Capacity_Margin</v>
      </c>
      <c r="P383">
        <f t="shared" si="56"/>
        <v>240</v>
      </c>
      <c r="Q383" t="str">
        <f t="shared" si="55"/>
        <v>Device_Capacity_Margin%</v>
      </c>
      <c r="R383" s="100">
        <f t="shared" si="57"/>
        <v>1</v>
      </c>
    </row>
    <row r="384" spans="1:18" x14ac:dyDescent="0.2">
      <c r="A384" s="87" t="s">
        <v>530</v>
      </c>
      <c r="B384" s="29" t="s">
        <v>306</v>
      </c>
      <c r="C384" s="4" t="s">
        <v>535</v>
      </c>
      <c r="D384" s="4" t="s">
        <v>631</v>
      </c>
      <c r="E384" s="4" t="b">
        <v>1</v>
      </c>
      <c r="F384" s="18">
        <f>VLOOKUP($B384,Constraints!$C$2:$Z$86,19, FALSE)</f>
        <v>0</v>
      </c>
      <c r="I384" s="18">
        <f t="shared" si="54"/>
        <v>0</v>
      </c>
      <c r="L384" s="18">
        <f>VLOOKUP($B384,Constraints!$C$2:$AK$86,30, FALSE)</f>
        <v>0</v>
      </c>
      <c r="M384" t="s">
        <v>664</v>
      </c>
      <c r="N384" s="18">
        <f>VLOOKUP($B384,Constraints!$C$28:$F$86,2,FALSE)</f>
        <v>720</v>
      </c>
      <c r="O384" t="str">
        <f>VLOOKUP($A384,'Capacity Name Ref'!$A$2:$G$16,6,FALSE)</f>
        <v>Device_Capacity_Margin</v>
      </c>
      <c r="P384">
        <f t="shared" si="56"/>
        <v>720</v>
      </c>
      <c r="Q384" t="str">
        <f t="shared" si="55"/>
        <v>Device_Capacity_Margin%</v>
      </c>
      <c r="R384" s="100">
        <f t="shared" si="57"/>
        <v>1</v>
      </c>
    </row>
    <row r="385" spans="1:18" x14ac:dyDescent="0.2">
      <c r="A385" s="87" t="s">
        <v>530</v>
      </c>
      <c r="B385" s="29" t="s">
        <v>308</v>
      </c>
      <c r="C385" s="4" t="s">
        <v>535</v>
      </c>
      <c r="D385" s="4" t="s">
        <v>631</v>
      </c>
      <c r="E385" s="4" t="b">
        <v>1</v>
      </c>
      <c r="F385" s="18">
        <f>VLOOKUP($B385,Constraints!$C$2:$Z$86,19, FALSE)</f>
        <v>0</v>
      </c>
      <c r="I385" s="18">
        <f t="shared" si="54"/>
        <v>0</v>
      </c>
      <c r="L385" s="18">
        <f>VLOOKUP($B385,Constraints!$C$2:$AK$86,30, FALSE)</f>
        <v>0</v>
      </c>
      <c r="M385" t="s">
        <v>664</v>
      </c>
      <c r="N385" s="18">
        <f>VLOOKUP($B385,Constraints!$C$28:$F$86,2,FALSE)</f>
        <v>720</v>
      </c>
      <c r="O385" t="str">
        <f>VLOOKUP($A385,'Capacity Name Ref'!$A$2:$G$16,6,FALSE)</f>
        <v>Device_Capacity_Margin</v>
      </c>
      <c r="P385">
        <f t="shared" si="56"/>
        <v>720</v>
      </c>
      <c r="Q385" t="str">
        <f t="shared" si="55"/>
        <v>Device_Capacity_Margin%</v>
      </c>
      <c r="R385" s="100">
        <f t="shared" si="57"/>
        <v>1</v>
      </c>
    </row>
    <row r="386" spans="1:18" x14ac:dyDescent="0.2">
      <c r="A386" s="87" t="s">
        <v>530</v>
      </c>
      <c r="B386" s="29" t="s">
        <v>310</v>
      </c>
      <c r="C386" s="4" t="s">
        <v>535</v>
      </c>
      <c r="D386" s="4" t="s">
        <v>631</v>
      </c>
      <c r="E386" s="4" t="b">
        <v>1</v>
      </c>
      <c r="F386" s="18">
        <f>VLOOKUP($B386,Constraints!$C$2:$Z$86,19, FALSE)</f>
        <v>720</v>
      </c>
      <c r="I386" s="18">
        <f t="shared" si="54"/>
        <v>900</v>
      </c>
      <c r="L386" s="18">
        <f>VLOOKUP($B386,Constraints!$C$2:$AK$86,30, FALSE)</f>
        <v>0</v>
      </c>
      <c r="M386" t="s">
        <v>664</v>
      </c>
      <c r="N386" s="18">
        <f>VLOOKUP($B386,Constraints!$C$28:$F$86,2,FALSE)</f>
        <v>720</v>
      </c>
      <c r="O386" t="str">
        <f>VLOOKUP($A386,'Capacity Name Ref'!$A$2:$G$16,6,FALSE)</f>
        <v>Device_Capacity_Margin</v>
      </c>
      <c r="P386">
        <f t="shared" si="56"/>
        <v>0</v>
      </c>
      <c r="Q386" t="str">
        <f t="shared" si="55"/>
        <v>Device_Capacity_Margin%</v>
      </c>
      <c r="R386" s="100">
        <f t="shared" si="57"/>
        <v>0</v>
      </c>
    </row>
    <row r="387" spans="1:18" x14ac:dyDescent="0.2">
      <c r="A387" s="87" t="s">
        <v>530</v>
      </c>
      <c r="B387" s="29" t="s">
        <v>312</v>
      </c>
      <c r="C387" s="4" t="s">
        <v>535</v>
      </c>
      <c r="D387" s="4" t="s">
        <v>631</v>
      </c>
      <c r="E387" s="4" t="b">
        <v>1</v>
      </c>
      <c r="F387" s="18">
        <f>VLOOKUP($B387,Constraints!$C$2:$Z$86,19, FALSE)</f>
        <v>675</v>
      </c>
      <c r="I387" s="18">
        <f t="shared" si="54"/>
        <v>843.75</v>
      </c>
      <c r="L387" s="18">
        <f>VLOOKUP($B387,Constraints!$C$2:$AK$86,30, FALSE)</f>
        <v>0</v>
      </c>
      <c r="M387" t="s">
        <v>664</v>
      </c>
      <c r="N387" s="18">
        <f>VLOOKUP($B387,Constraints!$C$28:$F$86,2,FALSE)</f>
        <v>720</v>
      </c>
      <c r="O387" t="str">
        <f>VLOOKUP($A387,'Capacity Name Ref'!$A$2:$G$16,6,FALSE)</f>
        <v>Device_Capacity_Margin</v>
      </c>
      <c r="P387">
        <f t="shared" si="56"/>
        <v>45</v>
      </c>
      <c r="Q387" t="str">
        <f t="shared" si="55"/>
        <v>Device_Capacity_Margin%</v>
      </c>
      <c r="R387" s="100">
        <f t="shared" si="57"/>
        <v>6.25E-2</v>
      </c>
    </row>
    <row r="388" spans="1:18" x14ac:dyDescent="0.2">
      <c r="A388" s="87" t="s">
        <v>1</v>
      </c>
      <c r="B388" s="29" t="s">
        <v>397</v>
      </c>
      <c r="C388" s="4" t="s">
        <v>535</v>
      </c>
      <c r="D388" s="4" t="s">
        <v>631</v>
      </c>
      <c r="E388" s="4" t="b">
        <v>1</v>
      </c>
      <c r="H388" s="18">
        <f>VLOOKUP($B388,Constraints!$C$2:$Z$86,19, FALSE)</f>
        <v>0</v>
      </c>
      <c r="K388" s="18">
        <f>H388/0.8</f>
        <v>0</v>
      </c>
      <c r="L388" s="18">
        <f>VLOOKUP($B388,Constraints!$C$2:$AK$86,30, FALSE)</f>
        <v>0</v>
      </c>
      <c r="M388" t="s">
        <v>668</v>
      </c>
      <c r="N388" s="18">
        <f>VLOOKUP($B388,Constraints!$C$28:$F$86,2,FALSE)</f>
        <v>180</v>
      </c>
      <c r="O388" t="str">
        <f>VLOOKUP($A388,'Capacity Name Ref'!$A$2:$G$16,6,FALSE)</f>
        <v>Local_Capacity_Margin</v>
      </c>
      <c r="P388">
        <f>N388-H388</f>
        <v>180</v>
      </c>
      <c r="Q388" t="str">
        <f t="shared" si="55"/>
        <v>Local_Capacity_Margin%</v>
      </c>
      <c r="R388" s="100">
        <f t="shared" si="57"/>
        <v>1</v>
      </c>
    </row>
    <row r="389" spans="1:18" x14ac:dyDescent="0.2">
      <c r="A389" s="87" t="s">
        <v>1</v>
      </c>
      <c r="B389" s="29" t="s">
        <v>422</v>
      </c>
      <c r="C389" s="4" t="s">
        <v>535</v>
      </c>
      <c r="D389" s="4" t="s">
        <v>631</v>
      </c>
      <c r="E389" s="4" t="b">
        <v>1</v>
      </c>
      <c r="H389" s="18">
        <f>VLOOKUP($B389,Constraints!$C$2:$Z$86,19, FALSE)</f>
        <v>0</v>
      </c>
      <c r="K389" s="18">
        <f t="shared" ref="K389:K394" si="58">H389/0.8</f>
        <v>0</v>
      </c>
      <c r="L389" s="18">
        <f>VLOOKUP($B389,Constraints!$C$2:$AK$86,30, FALSE)</f>
        <v>0</v>
      </c>
      <c r="M389" t="s">
        <v>668</v>
      </c>
      <c r="N389" s="18">
        <f>VLOOKUP($B389,Constraints!$C$28:$F$86,2,FALSE)</f>
        <v>180</v>
      </c>
      <c r="O389" t="str">
        <f>VLOOKUP($A389,'Capacity Name Ref'!$A$2:$G$16,6,FALSE)</f>
        <v>Local_Capacity_Margin</v>
      </c>
      <c r="P389">
        <f t="shared" ref="P389:P394" si="59">N389-H389</f>
        <v>180</v>
      </c>
      <c r="Q389" t="str">
        <f t="shared" si="55"/>
        <v>Local_Capacity_Margin%</v>
      </c>
      <c r="R389" s="100">
        <f t="shared" si="57"/>
        <v>1</v>
      </c>
    </row>
    <row r="390" spans="1:18" x14ac:dyDescent="0.2">
      <c r="A390" s="87" t="s">
        <v>1</v>
      </c>
      <c r="B390" s="29" t="s">
        <v>247</v>
      </c>
      <c r="C390" s="4" t="s">
        <v>535</v>
      </c>
      <c r="D390" s="4" t="s">
        <v>631</v>
      </c>
      <c r="E390" s="4" t="b">
        <v>1</v>
      </c>
      <c r="H390" s="18">
        <f>VLOOKUP($B390,Constraints!$C$2:$Z$86,19, FALSE)</f>
        <v>0</v>
      </c>
      <c r="K390" s="18">
        <f t="shared" si="58"/>
        <v>0</v>
      </c>
      <c r="L390" s="18">
        <f>VLOOKUP($B390,Constraints!$C$2:$AK$86,30, FALSE)</f>
        <v>0</v>
      </c>
      <c r="M390" t="s">
        <v>668</v>
      </c>
      <c r="N390" s="18">
        <f>VLOOKUP($B390,Constraints!$C$28:$F$86,2,FALSE)</f>
        <v>2754</v>
      </c>
      <c r="O390" t="str">
        <f>VLOOKUP($A390,'Capacity Name Ref'!$A$2:$G$16,6,FALSE)</f>
        <v>Local_Capacity_Margin</v>
      </c>
      <c r="P390">
        <f t="shared" si="59"/>
        <v>2754</v>
      </c>
      <c r="Q390" t="str">
        <f t="shared" si="55"/>
        <v>Local_Capacity_Margin%</v>
      </c>
      <c r="R390" s="100">
        <f t="shared" si="57"/>
        <v>1</v>
      </c>
    </row>
    <row r="391" spans="1:18" x14ac:dyDescent="0.2">
      <c r="A391" s="87" t="s">
        <v>1</v>
      </c>
      <c r="B391" s="29" t="s">
        <v>246</v>
      </c>
      <c r="C391" s="4" t="s">
        <v>535</v>
      </c>
      <c r="D391" s="4" t="s">
        <v>631</v>
      </c>
      <c r="E391" s="4" t="b">
        <v>1</v>
      </c>
      <c r="H391" s="18">
        <f>VLOOKUP($B391,Constraints!$C$2:$Z$86,19, FALSE)</f>
        <v>0</v>
      </c>
      <c r="K391" s="18">
        <f t="shared" si="58"/>
        <v>0</v>
      </c>
      <c r="L391" s="18">
        <f>VLOOKUP($B391,Constraints!$C$2:$AK$86,30, FALSE)</f>
        <v>0</v>
      </c>
      <c r="M391" t="s">
        <v>668</v>
      </c>
      <c r="N391" s="18">
        <f>VLOOKUP($B391,Constraints!$C$28:$F$86,2,FALSE)</f>
        <v>1620</v>
      </c>
      <c r="O391" t="str">
        <f>VLOOKUP($A391,'Capacity Name Ref'!$A$2:$G$16,6,FALSE)</f>
        <v>Local_Capacity_Margin</v>
      </c>
      <c r="P391">
        <f t="shared" si="59"/>
        <v>1620</v>
      </c>
      <c r="Q391" t="str">
        <f t="shared" si="55"/>
        <v>Local_Capacity_Margin%</v>
      </c>
      <c r="R391" s="100">
        <f t="shared" si="57"/>
        <v>1</v>
      </c>
    </row>
    <row r="392" spans="1:18" x14ac:dyDescent="0.2">
      <c r="A392" s="87" t="s">
        <v>1</v>
      </c>
      <c r="B392" s="29" t="s">
        <v>252</v>
      </c>
      <c r="C392" s="4" t="s">
        <v>535</v>
      </c>
      <c r="D392" s="4" t="s">
        <v>631</v>
      </c>
      <c r="E392" s="4" t="b">
        <v>1</v>
      </c>
      <c r="H392" s="18">
        <f>VLOOKUP($B392,Constraints!$C$2:$Z$86,19, FALSE)</f>
        <v>0</v>
      </c>
      <c r="K392" s="18">
        <f t="shared" si="58"/>
        <v>0</v>
      </c>
      <c r="L392" s="18">
        <f>VLOOKUP($B392,Constraints!$C$2:$AK$86,30, FALSE)</f>
        <v>0</v>
      </c>
      <c r="M392" t="s">
        <v>668</v>
      </c>
      <c r="N392" s="18">
        <f>VLOOKUP($B392,Constraints!$C$28:$F$86,2,FALSE)</f>
        <v>336</v>
      </c>
      <c r="O392" t="str">
        <f>VLOOKUP($A392,'Capacity Name Ref'!$A$2:$G$16,6,FALSE)</f>
        <v>Local_Capacity_Margin</v>
      </c>
      <c r="P392">
        <f t="shared" si="59"/>
        <v>336</v>
      </c>
      <c r="Q392" t="str">
        <f t="shared" si="55"/>
        <v>Local_Capacity_Margin%</v>
      </c>
      <c r="R392" s="100">
        <f t="shared" si="57"/>
        <v>1</v>
      </c>
    </row>
    <row r="393" spans="1:18" x14ac:dyDescent="0.2">
      <c r="A393" s="87" t="s">
        <v>1</v>
      </c>
      <c r="B393" s="29" t="s">
        <v>318</v>
      </c>
      <c r="C393" s="4" t="s">
        <v>535</v>
      </c>
      <c r="D393" s="4" t="s">
        <v>631</v>
      </c>
      <c r="E393" s="4" t="b">
        <v>1</v>
      </c>
      <c r="H393" s="18">
        <f>VLOOKUP($B393,Constraints!$C$2:$Z$86,19, FALSE)</f>
        <v>1185.75</v>
      </c>
      <c r="K393" s="18">
        <f t="shared" si="58"/>
        <v>1482.1875</v>
      </c>
      <c r="L393" s="18">
        <f>VLOOKUP($B393,Constraints!$C$2:$AK$86,30, FALSE)</f>
        <v>24</v>
      </c>
      <c r="M393" t="s">
        <v>668</v>
      </c>
      <c r="N393" s="18">
        <f>VLOOKUP($B393,Constraints!$C$28:$F$86,2,FALSE)</f>
        <v>1224</v>
      </c>
      <c r="O393" t="str">
        <f>VLOOKUP($A393,'Capacity Name Ref'!$A$2:$G$16,6,FALSE)</f>
        <v>Local_Capacity_Margin</v>
      </c>
      <c r="P393">
        <f t="shared" si="59"/>
        <v>38.25</v>
      </c>
      <c r="Q393" t="str">
        <f t="shared" si="55"/>
        <v>Local_Capacity_Margin%</v>
      </c>
      <c r="R393" s="100">
        <f t="shared" si="57"/>
        <v>3.125E-2</v>
      </c>
    </row>
    <row r="394" spans="1:18" x14ac:dyDescent="0.2">
      <c r="A394" s="87" t="s">
        <v>1</v>
      </c>
      <c r="B394" s="29" t="s">
        <v>317</v>
      </c>
      <c r="C394" s="4" t="s">
        <v>535</v>
      </c>
      <c r="D394" s="4" t="s">
        <v>631</v>
      </c>
      <c r="E394" s="4" t="b">
        <v>1</v>
      </c>
      <c r="H394" s="18">
        <f>VLOOKUP($B394,Constraints!$C$2:$Z$86,19, FALSE)</f>
        <v>0</v>
      </c>
      <c r="K394" s="18">
        <f t="shared" si="58"/>
        <v>0</v>
      </c>
      <c r="L394" s="18">
        <f>VLOOKUP($B394,Constraints!$C$2:$AK$86,30, FALSE)</f>
        <v>0</v>
      </c>
      <c r="M394" t="s">
        <v>668</v>
      </c>
      <c r="N394" s="18">
        <f>VLOOKUP($B394,Constraints!$C$28:$F$86,2,FALSE)</f>
        <v>1224</v>
      </c>
      <c r="O394" t="str">
        <f>VLOOKUP($A394,'Capacity Name Ref'!$A$2:$G$16,6,FALSE)</f>
        <v>Local_Capacity_Margin</v>
      </c>
      <c r="P394">
        <f t="shared" si="59"/>
        <v>1224</v>
      </c>
      <c r="Q394" t="str">
        <f t="shared" si="55"/>
        <v>Local_Capacity_Margin%</v>
      </c>
      <c r="R394" s="100">
        <f t="shared" si="57"/>
        <v>1</v>
      </c>
    </row>
    <row r="395" spans="1:18" x14ac:dyDescent="0.2">
      <c r="A395" s="87" t="s">
        <v>245</v>
      </c>
      <c r="B395" s="29" t="s">
        <v>446</v>
      </c>
      <c r="C395" s="4" t="s">
        <v>535</v>
      </c>
      <c r="D395" s="4" t="s">
        <v>631</v>
      </c>
      <c r="E395" s="4" t="b">
        <v>1</v>
      </c>
      <c r="G395" s="18">
        <f>VLOOKUP($B395,Constraints!$C$2:$Z$86,19, FALSE)</f>
        <v>0</v>
      </c>
      <c r="J395" s="18">
        <f>G395/0.8</f>
        <v>0</v>
      </c>
      <c r="L395" s="18">
        <f>VLOOKUP($B395,Constraints!$C$2:$AK$86,30, FALSE)</f>
        <v>0</v>
      </c>
      <c r="M395" t="s">
        <v>667</v>
      </c>
      <c r="N395" s="18">
        <f>VLOOKUP($B395,Constraints!$C$28:$F$86,2,FALSE)</f>
        <v>180</v>
      </c>
      <c r="O395" t="str">
        <f>VLOOKUP($A395,'Capacity Name Ref'!$A$2:$G$16,6,FALSE)</f>
        <v>Local_Capacity_Margin</v>
      </c>
      <c r="P395">
        <f>N395-G395</f>
        <v>180</v>
      </c>
      <c r="Q395" t="str">
        <f t="shared" si="55"/>
        <v>Local_Capacity_Margin%</v>
      </c>
      <c r="R395" s="100">
        <f t="shared" si="57"/>
        <v>1</v>
      </c>
    </row>
    <row r="396" spans="1:18" x14ac:dyDescent="0.2">
      <c r="A396" s="87" t="s">
        <v>245</v>
      </c>
      <c r="B396" s="29" t="s">
        <v>447</v>
      </c>
      <c r="C396" s="4" t="s">
        <v>535</v>
      </c>
      <c r="D396" s="4" t="s">
        <v>631</v>
      </c>
      <c r="E396" s="4" t="b">
        <v>1</v>
      </c>
      <c r="G396" s="18">
        <f>VLOOKUP($B396,Constraints!$C$2:$Z$86,19, FALSE)</f>
        <v>0</v>
      </c>
      <c r="J396" s="18">
        <f t="shared" ref="J396:J401" si="60">G396/0.8</f>
        <v>0</v>
      </c>
      <c r="L396" s="18">
        <f>VLOOKUP($B396,Constraints!$C$2:$AK$86,30, FALSE)</f>
        <v>0</v>
      </c>
      <c r="M396" t="s">
        <v>667</v>
      </c>
      <c r="N396" s="18">
        <f>VLOOKUP($B396,Constraints!$C$28:$F$86,2,FALSE)</f>
        <v>180</v>
      </c>
      <c r="O396" t="str">
        <f>VLOOKUP($A396,'Capacity Name Ref'!$A$2:$G$16,6,FALSE)</f>
        <v>Local_Capacity_Margin</v>
      </c>
      <c r="P396">
        <f t="shared" ref="P396:P403" si="61">N396-G396</f>
        <v>180</v>
      </c>
      <c r="Q396" t="str">
        <f t="shared" si="55"/>
        <v>Local_Capacity_Margin%</v>
      </c>
      <c r="R396" s="100">
        <f t="shared" si="57"/>
        <v>1</v>
      </c>
    </row>
    <row r="397" spans="1:18" x14ac:dyDescent="0.2">
      <c r="A397" s="87" t="s">
        <v>245</v>
      </c>
      <c r="B397" s="29" t="s">
        <v>250</v>
      </c>
      <c r="C397" s="4" t="s">
        <v>535</v>
      </c>
      <c r="D397" s="4" t="s">
        <v>631</v>
      </c>
      <c r="E397" s="4" t="b">
        <v>1</v>
      </c>
      <c r="G397" s="18">
        <f>VLOOKUP($B397,Constraints!$C$2:$Z$86,19, FALSE)</f>
        <v>0</v>
      </c>
      <c r="J397" s="18">
        <f t="shared" si="60"/>
        <v>0</v>
      </c>
      <c r="L397" s="18">
        <f>VLOOKUP($B397,Constraints!$C$2:$AK$86,30, FALSE)</f>
        <v>0</v>
      </c>
      <c r="M397" t="s">
        <v>667</v>
      </c>
      <c r="N397" s="18">
        <f>VLOOKUP($B397,Constraints!$C$28:$F$86,2,FALSE)</f>
        <v>324.00000000000006</v>
      </c>
      <c r="O397" t="str">
        <f>VLOOKUP($A397,'Capacity Name Ref'!$A$2:$G$16,6,FALSE)</f>
        <v>Local_Capacity_Margin</v>
      </c>
      <c r="P397">
        <f t="shared" si="61"/>
        <v>324.00000000000006</v>
      </c>
      <c r="Q397" t="str">
        <f t="shared" si="55"/>
        <v>Local_Capacity_Margin%</v>
      </c>
      <c r="R397" s="100">
        <f t="shared" si="57"/>
        <v>1</v>
      </c>
    </row>
    <row r="398" spans="1:18" x14ac:dyDescent="0.2">
      <c r="A398" s="87" t="s">
        <v>245</v>
      </c>
      <c r="B398" s="29" t="s">
        <v>251</v>
      </c>
      <c r="C398" s="4" t="s">
        <v>535</v>
      </c>
      <c r="D398" s="4" t="s">
        <v>631</v>
      </c>
      <c r="E398" s="4" t="b">
        <v>1</v>
      </c>
      <c r="G398" s="18">
        <f>VLOOKUP($B398,Constraints!$C$2:$Z$86,19, FALSE)</f>
        <v>0</v>
      </c>
      <c r="J398" s="18">
        <f t="shared" si="60"/>
        <v>0</v>
      </c>
      <c r="L398" s="18">
        <f>VLOOKUP($B398,Constraints!$C$2:$AK$86,30, FALSE)</f>
        <v>0</v>
      </c>
      <c r="M398" t="s">
        <v>667</v>
      </c>
      <c r="N398" s="18">
        <f>VLOOKUP($B398,Constraints!$C$28:$F$86,2,FALSE)</f>
        <v>162.00000000000003</v>
      </c>
      <c r="O398" t="str">
        <f>VLOOKUP($A398,'Capacity Name Ref'!$A$2:$G$16,6,FALSE)</f>
        <v>Local_Capacity_Margin</v>
      </c>
      <c r="P398">
        <f t="shared" si="61"/>
        <v>162.00000000000003</v>
      </c>
      <c r="Q398" t="str">
        <f t="shared" si="55"/>
        <v>Local_Capacity_Margin%</v>
      </c>
      <c r="R398" s="100">
        <f t="shared" si="57"/>
        <v>1</v>
      </c>
    </row>
    <row r="399" spans="1:18" x14ac:dyDescent="0.2">
      <c r="A399" s="87" t="s">
        <v>245</v>
      </c>
      <c r="B399" s="29" t="s">
        <v>248</v>
      </c>
      <c r="C399" s="4" t="s">
        <v>535</v>
      </c>
      <c r="D399" s="4" t="s">
        <v>631</v>
      </c>
      <c r="E399" s="4" t="b">
        <v>1</v>
      </c>
      <c r="G399" s="18">
        <f>VLOOKUP($B399,Constraints!$C$2:$Z$86,19, FALSE)</f>
        <v>0</v>
      </c>
      <c r="J399" s="18">
        <f t="shared" si="60"/>
        <v>0</v>
      </c>
      <c r="L399" s="18">
        <f>VLOOKUP($B399,Constraints!$C$2:$AK$86,30, FALSE)</f>
        <v>0</v>
      </c>
      <c r="M399" t="s">
        <v>667</v>
      </c>
      <c r="N399" s="18">
        <f>VLOOKUP($B399,Constraints!$C$28:$F$86,2,FALSE)</f>
        <v>360</v>
      </c>
      <c r="O399" t="str">
        <f>VLOOKUP($A399,'Capacity Name Ref'!$A$2:$G$16,6,FALSE)</f>
        <v>Local_Capacity_Margin</v>
      </c>
      <c r="P399">
        <f t="shared" si="61"/>
        <v>360</v>
      </c>
      <c r="Q399" t="str">
        <f t="shared" si="55"/>
        <v>Local_Capacity_Margin%</v>
      </c>
      <c r="R399" s="100">
        <f t="shared" si="57"/>
        <v>1</v>
      </c>
    </row>
    <row r="400" spans="1:18" x14ac:dyDescent="0.2">
      <c r="A400" s="87" t="s">
        <v>245</v>
      </c>
      <c r="B400" s="29" t="s">
        <v>249</v>
      </c>
      <c r="C400" s="4" t="s">
        <v>535</v>
      </c>
      <c r="D400" s="4" t="s">
        <v>631</v>
      </c>
      <c r="E400" s="4" t="b">
        <v>1</v>
      </c>
      <c r="G400" s="18">
        <f>VLOOKUP($B400,Constraints!$C$2:$Z$86,19, FALSE)</f>
        <v>0</v>
      </c>
      <c r="J400" s="18">
        <f t="shared" si="60"/>
        <v>0</v>
      </c>
      <c r="L400" s="18">
        <f>VLOOKUP($B400,Constraints!$C$2:$AK$86,30, FALSE)</f>
        <v>0</v>
      </c>
      <c r="M400" t="s">
        <v>667</v>
      </c>
      <c r="N400" s="18">
        <f>VLOOKUP($B400,Constraints!$C$28:$F$86,2,FALSE)</f>
        <v>180</v>
      </c>
      <c r="O400" t="str">
        <f>VLOOKUP($A400,'Capacity Name Ref'!$A$2:$G$16,6,FALSE)</f>
        <v>Local_Capacity_Margin</v>
      </c>
      <c r="P400">
        <f t="shared" si="61"/>
        <v>180</v>
      </c>
      <c r="Q400" t="str">
        <f t="shared" si="55"/>
        <v>Local_Capacity_Margin%</v>
      </c>
      <c r="R400" s="100">
        <f t="shared" si="57"/>
        <v>1</v>
      </c>
    </row>
    <row r="401" spans="1:24" x14ac:dyDescent="0.2">
      <c r="A401" s="87" t="s">
        <v>245</v>
      </c>
      <c r="B401" s="29" t="s">
        <v>253</v>
      </c>
      <c r="C401" s="4" t="s">
        <v>535</v>
      </c>
      <c r="D401" s="4" t="s">
        <v>631</v>
      </c>
      <c r="E401" s="4" t="b">
        <v>1</v>
      </c>
      <c r="G401" s="18">
        <f>VLOOKUP($B401,Constraints!$C$2:$Z$86,19, FALSE)</f>
        <v>0</v>
      </c>
      <c r="J401" s="18">
        <f t="shared" si="60"/>
        <v>0</v>
      </c>
      <c r="L401" s="18">
        <f>VLOOKUP($B401,Constraints!$C$2:$AK$86,30, FALSE)</f>
        <v>0</v>
      </c>
      <c r="M401" t="s">
        <v>667</v>
      </c>
      <c r="N401" s="18">
        <f>VLOOKUP($B401,Constraints!$C$28:$F$86,2,FALSE)</f>
        <v>144.00000000000003</v>
      </c>
      <c r="O401" t="str">
        <f>VLOOKUP($A401,'Capacity Name Ref'!$A$2:$G$16,6,FALSE)</f>
        <v>Local_Capacity_Margin</v>
      </c>
      <c r="P401">
        <f t="shared" si="61"/>
        <v>144.00000000000003</v>
      </c>
      <c r="Q401" t="str">
        <f t="shared" si="55"/>
        <v>Local_Capacity_Margin%</v>
      </c>
      <c r="R401" s="100">
        <f t="shared" si="57"/>
        <v>1</v>
      </c>
    </row>
    <row r="402" spans="1:24" x14ac:dyDescent="0.2">
      <c r="A402" s="87" t="s">
        <v>245</v>
      </c>
      <c r="B402" s="29" t="s">
        <v>320</v>
      </c>
      <c r="C402" s="4" t="s">
        <v>535</v>
      </c>
      <c r="D402" s="4" t="s">
        <v>631</v>
      </c>
      <c r="E402" s="4" t="b">
        <v>1</v>
      </c>
      <c r="G402" s="18">
        <f>VLOOKUP($B402,Constraints!$C$2:$Z$86,19, FALSE)</f>
        <v>209.25000000000003</v>
      </c>
      <c r="J402" s="18">
        <f>G402/0.8</f>
        <v>261.5625</v>
      </c>
      <c r="L402" s="18">
        <f>VLOOKUP($B402,Constraints!$C$2:$AK$86,30, FALSE)</f>
        <v>24</v>
      </c>
      <c r="M402" t="s">
        <v>667</v>
      </c>
      <c r="N402" s="18">
        <f>VLOOKUP($B402,Constraints!$C$28:$F$86,2,FALSE)</f>
        <v>216.00000000000003</v>
      </c>
      <c r="O402" t="str">
        <f>VLOOKUP($A402,'Capacity Name Ref'!$A$2:$G$16,6,FALSE)</f>
        <v>Local_Capacity_Margin</v>
      </c>
      <c r="P402">
        <f t="shared" si="61"/>
        <v>6.75</v>
      </c>
      <c r="Q402" t="str">
        <f t="shared" si="55"/>
        <v>Local_Capacity_Margin%</v>
      </c>
      <c r="R402" s="100">
        <f t="shared" si="57"/>
        <v>3.1249999999999997E-2</v>
      </c>
    </row>
    <row r="403" spans="1:24" x14ac:dyDescent="0.2">
      <c r="A403" s="87" t="s">
        <v>245</v>
      </c>
      <c r="B403" s="29" t="s">
        <v>319</v>
      </c>
      <c r="C403" s="4" t="s">
        <v>535</v>
      </c>
      <c r="D403" s="4" t="s">
        <v>631</v>
      </c>
      <c r="E403" s="4" t="b">
        <v>1</v>
      </c>
      <c r="G403" s="18">
        <f>VLOOKUP($B403,Constraints!$C$2:$Z$86,19, FALSE)</f>
        <v>0</v>
      </c>
      <c r="J403" s="18">
        <f t="shared" ref="J403" si="62">G403/0.8</f>
        <v>0</v>
      </c>
      <c r="L403" s="18">
        <f>VLOOKUP($B403,Constraints!$C$2:$AK$86,30, FALSE)</f>
        <v>0</v>
      </c>
      <c r="M403" t="s">
        <v>667</v>
      </c>
      <c r="N403" s="18">
        <f>VLOOKUP($B403,Constraints!$C$28:$F$86,2,FALSE)</f>
        <v>216.00000000000003</v>
      </c>
      <c r="O403" t="str">
        <f>VLOOKUP($A403,'Capacity Name Ref'!$A$2:$G$16,6,FALSE)</f>
        <v>Local_Capacity_Margin</v>
      </c>
      <c r="P403">
        <f t="shared" si="61"/>
        <v>216.00000000000003</v>
      </c>
      <c r="Q403" t="str">
        <f t="shared" si="55"/>
        <v>Local_Capacity_Margin%</v>
      </c>
      <c r="R403" s="100">
        <f t="shared" si="57"/>
        <v>1</v>
      </c>
    </row>
    <row r="404" spans="1:24" x14ac:dyDescent="0.2">
      <c r="A404" s="87" t="s">
        <v>645</v>
      </c>
      <c r="B404" s="29" t="s">
        <v>452</v>
      </c>
      <c r="C404" s="4" t="s">
        <v>535</v>
      </c>
      <c r="D404" s="4" t="s">
        <v>631</v>
      </c>
      <c r="E404" s="4" t="b">
        <v>1</v>
      </c>
      <c r="F404" s="18">
        <f>VLOOKUP($B404,Constraints!$C$2:$Z$86,19, FALSE)</f>
        <v>0</v>
      </c>
      <c r="I404" s="18">
        <f t="shared" ref="I404:I414" si="63">F404/0.8</f>
        <v>0</v>
      </c>
      <c r="L404" s="18">
        <f>VLOOKUP($B404,Constraints!$C$2:$AK$86,30, FALSE)</f>
        <v>0</v>
      </c>
      <c r="M404" t="s">
        <v>670</v>
      </c>
      <c r="N404" s="18">
        <f>VLOOKUP($B404,Constraints!$C$28:$F$86,2,FALSE)</f>
        <v>360</v>
      </c>
      <c r="O404" t="str">
        <f>VLOOKUP($A404,'Capacity Name Ref'!$A$2:$G$16,6,FALSE)</f>
        <v>Local_Capacity_Margin</v>
      </c>
      <c r="P404">
        <f>N404-F404</f>
        <v>360</v>
      </c>
      <c r="Q404" t="str">
        <f t="shared" si="55"/>
        <v>Local_Capacity_Margin%</v>
      </c>
      <c r="R404" s="100">
        <f t="shared" si="57"/>
        <v>1</v>
      </c>
      <c r="S404" s="71" t="s">
        <v>671</v>
      </c>
      <c r="T404">
        <f>VLOOKUP($B404,Constraints!$C$68:$H$78,6,FALSE)</f>
        <v>480</v>
      </c>
      <c r="U404" s="71" t="s">
        <v>682</v>
      </c>
      <c r="V404">
        <f>T404-F404</f>
        <v>480</v>
      </c>
      <c r="W404" s="71" t="s">
        <v>688</v>
      </c>
      <c r="X404" s="100">
        <f>V404/T404</f>
        <v>1</v>
      </c>
    </row>
    <row r="405" spans="1:24" x14ac:dyDescent="0.2">
      <c r="A405" s="87" t="s">
        <v>645</v>
      </c>
      <c r="B405" s="29" t="s">
        <v>453</v>
      </c>
      <c r="C405" s="4" t="s">
        <v>535</v>
      </c>
      <c r="D405" s="4" t="s">
        <v>631</v>
      </c>
      <c r="E405" s="4" t="b">
        <v>1</v>
      </c>
      <c r="F405" s="18">
        <f>VLOOKUP($B405,Constraints!$C$2:$Z$86,19, FALSE)</f>
        <v>0</v>
      </c>
      <c r="I405" s="18">
        <f t="shared" si="63"/>
        <v>0</v>
      </c>
      <c r="L405" s="18">
        <f>VLOOKUP($B405,Constraints!$C$2:$AK$86,30, FALSE)</f>
        <v>0</v>
      </c>
      <c r="M405" t="s">
        <v>670</v>
      </c>
      <c r="N405" s="18">
        <f>VLOOKUP($B405,Constraints!$C$28:$F$86,2,FALSE)</f>
        <v>360</v>
      </c>
      <c r="O405" t="str">
        <f>VLOOKUP($A405,'Capacity Name Ref'!$A$2:$G$16,6,FALSE)</f>
        <v>Local_Capacity_Margin</v>
      </c>
      <c r="P405">
        <f t="shared" ref="P405:P421" si="64">N405-F405</f>
        <v>360</v>
      </c>
      <c r="Q405" t="str">
        <f t="shared" si="55"/>
        <v>Local_Capacity_Margin%</v>
      </c>
      <c r="R405" s="100">
        <f t="shared" si="57"/>
        <v>1</v>
      </c>
      <c r="S405" s="71" t="s">
        <v>671</v>
      </c>
      <c r="T405">
        <f>VLOOKUP($B405,Constraints!$C$68:$H$78,6,FALSE)</f>
        <v>480</v>
      </c>
      <c r="U405" s="71" t="s">
        <v>682</v>
      </c>
      <c r="V405">
        <f t="shared" ref="V405:V414" si="65">T405-F405</f>
        <v>480</v>
      </c>
      <c r="W405" s="71" t="s">
        <v>688</v>
      </c>
      <c r="X405" s="100">
        <f t="shared" ref="X405:X414" si="66">V405/T405</f>
        <v>1</v>
      </c>
    </row>
    <row r="406" spans="1:24" x14ac:dyDescent="0.2">
      <c r="A406" s="87" t="s">
        <v>645</v>
      </c>
      <c r="B406" s="29" t="s">
        <v>70</v>
      </c>
      <c r="C406" s="4" t="s">
        <v>535</v>
      </c>
      <c r="D406" s="4" t="s">
        <v>631</v>
      </c>
      <c r="E406" s="4" t="b">
        <v>1</v>
      </c>
      <c r="F406" s="18">
        <f>VLOOKUP($B406,Constraints!$C$2:$Z$86,19, FALSE)</f>
        <v>0</v>
      </c>
      <c r="I406" s="18">
        <f t="shared" si="63"/>
        <v>0</v>
      </c>
      <c r="L406" s="18">
        <f>VLOOKUP($B406,Constraints!$C$2:$AK$86,30, FALSE)</f>
        <v>0</v>
      </c>
      <c r="M406" t="s">
        <v>670</v>
      </c>
      <c r="N406" s="18">
        <f>VLOOKUP($B406,Constraints!$C$28:$F$86,2,FALSE)</f>
        <v>5400</v>
      </c>
      <c r="O406" t="str">
        <f>VLOOKUP($A406,'Capacity Name Ref'!$A$2:$G$16,6,FALSE)</f>
        <v>Local_Capacity_Margin</v>
      </c>
      <c r="P406">
        <f t="shared" si="64"/>
        <v>5400</v>
      </c>
      <c r="Q406" t="str">
        <f t="shared" si="55"/>
        <v>Local_Capacity_Margin%</v>
      </c>
      <c r="R406" s="100">
        <f t="shared" si="57"/>
        <v>1</v>
      </c>
      <c r="S406" s="71" t="s">
        <v>671</v>
      </c>
      <c r="T406">
        <f>VLOOKUP($B406,Constraints!$C$68:$H$78,6,FALSE)</f>
        <v>4000</v>
      </c>
      <c r="U406" s="71" t="s">
        <v>682</v>
      </c>
      <c r="V406">
        <f t="shared" si="65"/>
        <v>4000</v>
      </c>
      <c r="W406" s="71" t="s">
        <v>688</v>
      </c>
      <c r="X406" s="100">
        <f t="shared" si="66"/>
        <v>1</v>
      </c>
    </row>
    <row r="407" spans="1:24" x14ac:dyDescent="0.2">
      <c r="A407" s="87" t="s">
        <v>645</v>
      </c>
      <c r="B407" s="29" t="s">
        <v>73</v>
      </c>
      <c r="C407" s="4" t="s">
        <v>535</v>
      </c>
      <c r="D407" s="4" t="s">
        <v>631</v>
      </c>
      <c r="E407" s="4" t="b">
        <v>1</v>
      </c>
      <c r="F407" s="18">
        <f>VLOOKUP($B407,Constraints!$C$2:$Z$86,19, FALSE)</f>
        <v>0</v>
      </c>
      <c r="I407" s="18">
        <f t="shared" si="63"/>
        <v>0</v>
      </c>
      <c r="L407" s="18">
        <f>VLOOKUP($B407,Constraints!$C$2:$AK$86,30, FALSE)</f>
        <v>0</v>
      </c>
      <c r="M407" t="s">
        <v>670</v>
      </c>
      <c r="N407" s="18">
        <f>VLOOKUP($B407,Constraints!$C$28:$F$86,2,FALSE)</f>
        <v>480</v>
      </c>
      <c r="O407" t="str">
        <f>VLOOKUP($A407,'Capacity Name Ref'!$A$2:$G$16,6,FALSE)</f>
        <v>Local_Capacity_Margin</v>
      </c>
      <c r="P407">
        <f t="shared" si="64"/>
        <v>480</v>
      </c>
      <c r="Q407" t="str">
        <f t="shared" si="55"/>
        <v>Local_Capacity_Margin%</v>
      </c>
      <c r="R407" s="100">
        <f t="shared" si="57"/>
        <v>1</v>
      </c>
      <c r="S407" s="71" t="s">
        <v>671</v>
      </c>
      <c r="T407">
        <f>VLOOKUP($B407,Constraints!$C$68:$H$78,6,FALSE)</f>
        <v>3200</v>
      </c>
      <c r="U407" s="71" t="s">
        <v>682</v>
      </c>
      <c r="V407">
        <f t="shared" si="65"/>
        <v>3200</v>
      </c>
      <c r="W407" s="71" t="s">
        <v>688</v>
      </c>
      <c r="X407" s="100">
        <f t="shared" si="66"/>
        <v>1</v>
      </c>
    </row>
    <row r="408" spans="1:24" x14ac:dyDescent="0.2">
      <c r="A408" s="87" t="s">
        <v>645</v>
      </c>
      <c r="B408" s="29" t="s">
        <v>313</v>
      </c>
      <c r="C408" s="4" t="s">
        <v>535</v>
      </c>
      <c r="D408" s="4" t="s">
        <v>631</v>
      </c>
      <c r="E408" s="4" t="b">
        <v>1</v>
      </c>
      <c r="F408" s="18">
        <f>VLOOKUP($B408,Constraints!$C$2:$Z$86,19, FALSE)</f>
        <v>1395</v>
      </c>
      <c r="I408" s="18">
        <f t="shared" si="63"/>
        <v>1743.75</v>
      </c>
      <c r="L408" s="18">
        <f>VLOOKUP($B408,Constraints!$C$2:$AK$86,30, FALSE)</f>
        <v>24</v>
      </c>
      <c r="M408" t="s">
        <v>670</v>
      </c>
      <c r="N408" s="18">
        <f>VLOOKUP($B408,Constraints!$C$28:$F$86,2,FALSE)</f>
        <v>2880</v>
      </c>
      <c r="O408" t="str">
        <f>VLOOKUP($A408,'Capacity Name Ref'!$A$2:$G$16,6,FALSE)</f>
        <v>Local_Capacity_Margin</v>
      </c>
      <c r="P408">
        <f t="shared" si="64"/>
        <v>1485</v>
      </c>
      <c r="Q408" t="str">
        <f t="shared" si="55"/>
        <v>Local_Capacity_Margin%</v>
      </c>
      <c r="R408" s="100">
        <f t="shared" si="57"/>
        <v>0.515625</v>
      </c>
      <c r="S408" s="71" t="s">
        <v>671</v>
      </c>
      <c r="T408">
        <f>VLOOKUP($B408,Constraints!$C$68:$H$78,6,FALSE)</f>
        <v>3200</v>
      </c>
      <c r="U408" s="71" t="s">
        <v>682</v>
      </c>
      <c r="V408">
        <f t="shared" si="65"/>
        <v>1805</v>
      </c>
      <c r="W408" s="71" t="s">
        <v>688</v>
      </c>
      <c r="X408" s="100">
        <f t="shared" si="66"/>
        <v>0.56406250000000002</v>
      </c>
    </row>
    <row r="409" spans="1:24" x14ac:dyDescent="0.2">
      <c r="A409" s="87" t="s">
        <v>645</v>
      </c>
      <c r="B409" s="29" t="s">
        <v>71</v>
      </c>
      <c r="C409" s="4" t="s">
        <v>535</v>
      </c>
      <c r="D409" s="4" t="s">
        <v>631</v>
      </c>
      <c r="E409" s="4" t="b">
        <v>1</v>
      </c>
      <c r="F409" s="18">
        <f>VLOOKUP($B409,Constraints!$C$2:$Z$86,19, FALSE)</f>
        <v>0</v>
      </c>
      <c r="I409" s="18">
        <f t="shared" si="63"/>
        <v>0</v>
      </c>
      <c r="L409" s="18">
        <f>VLOOKUP($B409,Constraints!$C$2:$AK$86,30, FALSE)</f>
        <v>0</v>
      </c>
      <c r="M409" t="s">
        <v>670</v>
      </c>
      <c r="N409" s="18">
        <f>VLOOKUP($B409,Constraints!$C$28:$F$86,2,FALSE)</f>
        <v>1080</v>
      </c>
      <c r="O409" t="str">
        <f>VLOOKUP($A409,'Capacity Name Ref'!$A$2:$G$16,6,FALSE)</f>
        <v>Local_Capacity_Margin</v>
      </c>
      <c r="P409">
        <f t="shared" si="64"/>
        <v>1080</v>
      </c>
      <c r="Q409" t="str">
        <f t="shared" si="55"/>
        <v>Local_Capacity_Margin%</v>
      </c>
      <c r="R409" s="100">
        <f t="shared" si="57"/>
        <v>1</v>
      </c>
      <c r="S409" s="71" t="s">
        <v>671</v>
      </c>
      <c r="T409">
        <f>VLOOKUP($B409,Constraints!$C$68:$H$78,6,FALSE)</f>
        <v>960</v>
      </c>
      <c r="U409" s="71" t="s">
        <v>682</v>
      </c>
      <c r="V409">
        <f t="shared" si="65"/>
        <v>960</v>
      </c>
      <c r="W409" s="71" t="s">
        <v>688</v>
      </c>
      <c r="X409" s="100">
        <f t="shared" si="66"/>
        <v>1</v>
      </c>
    </row>
    <row r="410" spans="1:24" x14ac:dyDescent="0.2">
      <c r="A410" s="87" t="s">
        <v>645</v>
      </c>
      <c r="B410" s="29" t="s">
        <v>72</v>
      </c>
      <c r="C410" s="4" t="s">
        <v>535</v>
      </c>
      <c r="D410" s="4" t="s">
        <v>631</v>
      </c>
      <c r="E410" s="4" t="b">
        <v>1</v>
      </c>
      <c r="F410" s="18">
        <f>VLOOKUP($B410,Constraints!$C$2:$Z$86,19, FALSE)</f>
        <v>0</v>
      </c>
      <c r="I410" s="18">
        <f t="shared" si="63"/>
        <v>0</v>
      </c>
      <c r="L410" s="18">
        <f>VLOOKUP($B410,Constraints!$C$2:$AK$86,30, FALSE)</f>
        <v>0</v>
      </c>
      <c r="M410" t="s">
        <v>670</v>
      </c>
      <c r="N410" s="18">
        <f>VLOOKUP($B410,Constraints!$C$28:$F$86,2,FALSE)</f>
        <v>4800</v>
      </c>
      <c r="O410" t="str">
        <f>VLOOKUP($A410,'Capacity Name Ref'!$A$2:$G$16,6,FALSE)</f>
        <v>Local_Capacity_Margin</v>
      </c>
      <c r="P410">
        <f t="shared" si="64"/>
        <v>4800</v>
      </c>
      <c r="Q410" t="str">
        <f t="shared" si="55"/>
        <v>Local_Capacity_Margin%</v>
      </c>
      <c r="R410" s="100">
        <f t="shared" si="57"/>
        <v>1</v>
      </c>
      <c r="S410" s="71" t="s">
        <v>671</v>
      </c>
      <c r="T410">
        <f>VLOOKUP($B410,Constraints!$C$68:$H$78,6,FALSE)</f>
        <v>4000</v>
      </c>
      <c r="U410" s="71" t="s">
        <v>682</v>
      </c>
      <c r="V410">
        <f t="shared" si="65"/>
        <v>4000</v>
      </c>
      <c r="W410" s="71" t="s">
        <v>688</v>
      </c>
      <c r="X410" s="100">
        <f t="shared" si="66"/>
        <v>1</v>
      </c>
    </row>
    <row r="411" spans="1:24" x14ac:dyDescent="0.2">
      <c r="A411" s="87" t="s">
        <v>645</v>
      </c>
      <c r="B411" s="29" t="s">
        <v>314</v>
      </c>
      <c r="C411" s="4" t="s">
        <v>535</v>
      </c>
      <c r="D411" s="4" t="s">
        <v>631</v>
      </c>
      <c r="E411" s="4" t="b">
        <v>1</v>
      </c>
      <c r="F411" s="18">
        <f>VLOOKUP($B411,Constraints!$C$2:$Z$86,19, FALSE)</f>
        <v>1395</v>
      </c>
      <c r="I411" s="18">
        <f t="shared" si="63"/>
        <v>1743.75</v>
      </c>
      <c r="L411" s="18">
        <f>VLOOKUP($B411,Constraints!$C$2:$AK$86,30, FALSE)</f>
        <v>0</v>
      </c>
      <c r="M411" t="s">
        <v>670</v>
      </c>
      <c r="N411" s="18">
        <f>VLOOKUP($B411,Constraints!$C$28:$F$86,2,FALSE)</f>
        <v>2880</v>
      </c>
      <c r="O411" t="str">
        <f>VLOOKUP($A411,'Capacity Name Ref'!$A$2:$G$16,6,FALSE)</f>
        <v>Local_Capacity_Margin</v>
      </c>
      <c r="P411">
        <f t="shared" si="64"/>
        <v>1485</v>
      </c>
      <c r="Q411" t="str">
        <f t="shared" si="55"/>
        <v>Local_Capacity_Margin%</v>
      </c>
      <c r="R411" s="100">
        <f t="shared" si="57"/>
        <v>0.515625</v>
      </c>
      <c r="S411" s="71" t="s">
        <v>671</v>
      </c>
      <c r="T411">
        <f>VLOOKUP($B411,Constraints!$C$68:$H$78,6,FALSE)</f>
        <v>3200</v>
      </c>
      <c r="U411" s="71" t="s">
        <v>682</v>
      </c>
      <c r="V411">
        <f t="shared" si="65"/>
        <v>1805</v>
      </c>
      <c r="W411" s="71" t="s">
        <v>688</v>
      </c>
      <c r="X411" s="100">
        <f t="shared" si="66"/>
        <v>0.56406250000000002</v>
      </c>
    </row>
    <row r="412" spans="1:24" x14ac:dyDescent="0.2">
      <c r="A412" s="87" t="s">
        <v>531</v>
      </c>
      <c r="B412" s="29" t="s">
        <v>454</v>
      </c>
      <c r="C412" s="4" t="s">
        <v>535</v>
      </c>
      <c r="D412" s="4" t="s">
        <v>631</v>
      </c>
      <c r="E412" s="4" t="b">
        <v>1</v>
      </c>
      <c r="F412" s="18">
        <f>VLOOKUP($B412,Constraints!$C$2:$Z$86,19, FALSE)</f>
        <v>0</v>
      </c>
      <c r="I412" s="18">
        <f t="shared" si="63"/>
        <v>0</v>
      </c>
      <c r="L412" s="18">
        <f>VLOOKUP($B412,Constraints!$C$2:$AK$86,30, FALSE)</f>
        <v>0</v>
      </c>
      <c r="M412" t="s">
        <v>675</v>
      </c>
      <c r="N412" s="18">
        <f>VLOOKUP($B412,Constraints!$C$28:$F$86,2,FALSE)</f>
        <v>720</v>
      </c>
      <c r="O412" t="str">
        <f>VLOOKUP($A412,'Capacity Name Ref'!$A$2:$G$16,6,FALSE)</f>
        <v>Local_Capacity_Margin</v>
      </c>
      <c r="P412">
        <f t="shared" si="64"/>
        <v>720</v>
      </c>
      <c r="Q412" t="str">
        <f t="shared" si="55"/>
        <v>Local_Capacity_Margin%</v>
      </c>
      <c r="R412" s="100">
        <f t="shared" si="57"/>
        <v>1</v>
      </c>
      <c r="S412" s="71" t="s">
        <v>674</v>
      </c>
      <c r="T412">
        <f>VLOOKUP($B412,Constraints!$C$68:$H$78,6,FALSE)</f>
        <v>800</v>
      </c>
      <c r="U412" s="71" t="s">
        <v>682</v>
      </c>
      <c r="V412">
        <f t="shared" si="65"/>
        <v>800</v>
      </c>
      <c r="W412" s="71" t="s">
        <v>688</v>
      </c>
      <c r="X412" s="100">
        <f t="shared" si="66"/>
        <v>1</v>
      </c>
    </row>
    <row r="413" spans="1:24" x14ac:dyDescent="0.2">
      <c r="A413" s="87" t="s">
        <v>531</v>
      </c>
      <c r="B413" s="29" t="s">
        <v>293</v>
      </c>
      <c r="C413" s="4" t="s">
        <v>535</v>
      </c>
      <c r="D413" s="4" t="s">
        <v>631</v>
      </c>
      <c r="E413" s="4" t="b">
        <v>1</v>
      </c>
      <c r="F413" s="18">
        <f>VLOOKUP($B413,Constraints!$C$2:$Z$86,19, FALSE)</f>
        <v>1395</v>
      </c>
      <c r="I413" s="18">
        <f t="shared" si="63"/>
        <v>1743.75</v>
      </c>
      <c r="L413" s="18">
        <f>VLOOKUP($B413,Constraints!$C$2:$AK$86,30, FALSE)</f>
        <v>24</v>
      </c>
      <c r="M413" t="s">
        <v>675</v>
      </c>
      <c r="N413" s="18">
        <f>VLOOKUP($B413,Constraints!$C$28:$F$86,2,FALSE)</f>
        <v>8760</v>
      </c>
      <c r="O413" t="str">
        <f>VLOOKUP($A413,'Capacity Name Ref'!$A$2:$G$16,6,FALSE)</f>
        <v>Local_Capacity_Margin</v>
      </c>
      <c r="P413">
        <f t="shared" si="64"/>
        <v>7365</v>
      </c>
      <c r="Q413" t="str">
        <f t="shared" ref="Q413:Q421" si="67">O413&amp;"%"</f>
        <v>Local_Capacity_Margin%</v>
      </c>
      <c r="R413" s="100">
        <f t="shared" si="57"/>
        <v>0.84075342465753422</v>
      </c>
      <c r="S413" s="71" t="s">
        <v>674</v>
      </c>
      <c r="T413">
        <f>VLOOKUP($B413,Constraints!$C$68:$H$78,6,FALSE)</f>
        <v>9600</v>
      </c>
      <c r="U413" s="71" t="s">
        <v>682</v>
      </c>
      <c r="V413">
        <f t="shared" si="65"/>
        <v>8205</v>
      </c>
      <c r="W413" s="71" t="s">
        <v>688</v>
      </c>
      <c r="X413" s="100">
        <f t="shared" si="66"/>
        <v>0.85468750000000004</v>
      </c>
    </row>
    <row r="414" spans="1:24" x14ac:dyDescent="0.2">
      <c r="A414" s="87" t="s">
        <v>531</v>
      </c>
      <c r="B414" s="29" t="s">
        <v>294</v>
      </c>
      <c r="C414" s="4" t="s">
        <v>535</v>
      </c>
      <c r="D414" s="4" t="s">
        <v>631</v>
      </c>
      <c r="E414" s="4" t="b">
        <v>1</v>
      </c>
      <c r="F414" s="18">
        <f>VLOOKUP($B414,Constraints!$C$2:$Z$86,19, FALSE)</f>
        <v>1395</v>
      </c>
      <c r="I414" s="18">
        <f t="shared" si="63"/>
        <v>1743.75</v>
      </c>
      <c r="L414" s="18">
        <f>VLOOKUP($B414,Constraints!$C$2:$AK$86,30, FALSE)</f>
        <v>0</v>
      </c>
      <c r="M414" t="s">
        <v>675</v>
      </c>
      <c r="N414" s="18">
        <f>VLOOKUP($B414,Constraints!$C$28:$F$86,2,FALSE)</f>
        <v>8760</v>
      </c>
      <c r="O414" t="str">
        <f>VLOOKUP($A414,'Capacity Name Ref'!$A$2:$G$16,6,FALSE)</f>
        <v>Local_Capacity_Margin</v>
      </c>
      <c r="P414">
        <f t="shared" si="64"/>
        <v>7365</v>
      </c>
      <c r="Q414" t="str">
        <f t="shared" si="67"/>
        <v>Local_Capacity_Margin%</v>
      </c>
      <c r="R414" s="100">
        <f t="shared" si="57"/>
        <v>0.84075342465753422</v>
      </c>
      <c r="S414" s="71" t="s">
        <v>674</v>
      </c>
      <c r="T414">
        <f>VLOOKUP($B414,Constraints!$C$68:$H$78,6,FALSE)</f>
        <v>9600</v>
      </c>
      <c r="U414" s="71" t="s">
        <v>682</v>
      </c>
      <c r="V414">
        <f t="shared" si="65"/>
        <v>8205</v>
      </c>
      <c r="W414" s="71" t="s">
        <v>688</v>
      </c>
      <c r="X414" s="100">
        <f t="shared" si="66"/>
        <v>0.85468750000000004</v>
      </c>
    </row>
    <row r="415" spans="1:24" x14ac:dyDescent="0.2">
      <c r="A415" s="87" t="s">
        <v>259</v>
      </c>
      <c r="B415" s="4" t="s">
        <v>281</v>
      </c>
      <c r="C415" s="4" t="s">
        <v>535</v>
      </c>
      <c r="D415" s="4" t="s">
        <v>631</v>
      </c>
      <c r="E415" s="4" t="b">
        <v>1</v>
      </c>
      <c r="G415" s="18">
        <f>VLOOKUP($B415,Constraints!$C$2:$Z$86,19, FALSE)</f>
        <v>1185.75</v>
      </c>
      <c r="J415" s="18">
        <f>G415/0.8</f>
        <v>1482.1875</v>
      </c>
      <c r="L415" s="18">
        <f>VLOOKUP($B415,Constraints!$C$2:$AK$86,30, FALSE)</f>
        <v>24</v>
      </c>
      <c r="N415" s="18">
        <f>VLOOKUP($B415,Constraints!$C$28:$F$86,2,FALSE)</f>
        <v>1602</v>
      </c>
      <c r="O415" t="str">
        <f>VLOOKUP($A415,'Capacity Name Ref'!$A$2:$G$16,6,FALSE)</f>
        <v>Local_Capacity_Margin</v>
      </c>
      <c r="P415">
        <f t="shared" si="64"/>
        <v>1602</v>
      </c>
      <c r="Q415" t="str">
        <f t="shared" si="67"/>
        <v>Local_Capacity_Margin%</v>
      </c>
      <c r="R415" s="100">
        <f t="shared" si="57"/>
        <v>1</v>
      </c>
    </row>
    <row r="416" spans="1:24" x14ac:dyDescent="0.2">
      <c r="A416" s="87" t="s">
        <v>259</v>
      </c>
      <c r="B416" s="4" t="s">
        <v>283</v>
      </c>
      <c r="C416" s="4" t="s">
        <v>535</v>
      </c>
      <c r="D416" s="4" t="s">
        <v>631</v>
      </c>
      <c r="E416" s="4" t="b">
        <v>1</v>
      </c>
      <c r="H416" s="18">
        <f>VLOOKUP($B416,Constraints!$C$2:$Z$86,19, FALSE)</f>
        <v>209.25000000000003</v>
      </c>
      <c r="K416" s="18">
        <f>H416/0.8</f>
        <v>261.5625</v>
      </c>
      <c r="L416" s="18">
        <f>VLOOKUP($B416,Constraints!$C$2:$AK$86,30, FALSE)</f>
        <v>24</v>
      </c>
      <c r="N416" s="18">
        <f>VLOOKUP($B416,Constraints!$C$28:$F$86,2,FALSE)</f>
        <v>7158</v>
      </c>
      <c r="O416" t="str">
        <f>VLOOKUP($A416,'Capacity Name Ref'!$A$2:$G$16,6,FALSE)</f>
        <v>Local_Capacity_Margin</v>
      </c>
      <c r="P416">
        <f t="shared" si="64"/>
        <v>7158</v>
      </c>
      <c r="Q416" t="str">
        <f t="shared" si="67"/>
        <v>Local_Capacity_Margin%</v>
      </c>
      <c r="R416" s="100">
        <f t="shared" si="57"/>
        <v>1</v>
      </c>
    </row>
    <row r="417" spans="1:18" x14ac:dyDescent="0.2">
      <c r="A417" s="87" t="s">
        <v>295</v>
      </c>
      <c r="B417" s="88" t="s">
        <v>455</v>
      </c>
      <c r="C417" s="4" t="s">
        <v>535</v>
      </c>
      <c r="D417" s="4" t="s">
        <v>631</v>
      </c>
      <c r="E417" s="4" t="b">
        <v>1</v>
      </c>
      <c r="F417" s="18">
        <f>VLOOKUP($B417,Constraints!$C$2:$Z$86,19, FALSE)</f>
        <v>0</v>
      </c>
      <c r="I417" s="18">
        <f t="shared" ref="I417:I421" si="68">F417/0.8</f>
        <v>0</v>
      </c>
      <c r="L417" s="18">
        <f>VLOOKUP($B417,Constraints!$C$2:$AK$86,30, FALSE)</f>
        <v>0</v>
      </c>
      <c r="M417" t="s">
        <v>676</v>
      </c>
      <c r="N417" s="18">
        <f>VLOOKUP($B417,Constraints!$C$28:$F$86,2,FALSE)</f>
        <v>720</v>
      </c>
      <c r="O417" t="str">
        <f>VLOOKUP($A417,'Capacity Name Ref'!$A$2:$G$16,6,FALSE)</f>
        <v>Cell_Margin</v>
      </c>
      <c r="P417">
        <f t="shared" si="64"/>
        <v>720</v>
      </c>
      <c r="Q417" t="str">
        <f t="shared" si="67"/>
        <v>Cell_Margin%</v>
      </c>
      <c r="R417" s="100">
        <f t="shared" si="57"/>
        <v>1</v>
      </c>
    </row>
    <row r="418" spans="1:18" x14ac:dyDescent="0.2">
      <c r="A418" s="87" t="s">
        <v>295</v>
      </c>
      <c r="B418" s="88" t="s">
        <v>385</v>
      </c>
      <c r="C418" s="4" t="s">
        <v>535</v>
      </c>
      <c r="D418" s="4" t="s">
        <v>631</v>
      </c>
      <c r="E418" s="4" t="b">
        <v>1</v>
      </c>
      <c r="F418" s="18">
        <f>VLOOKUP($B418,Constraints!$C$2:$Z$86,19, FALSE)</f>
        <v>0</v>
      </c>
      <c r="I418" s="18">
        <f t="shared" si="68"/>
        <v>0</v>
      </c>
      <c r="L418" s="18">
        <f>VLOOKUP($B418,Constraints!$C$2:$AK$86,30, FALSE)</f>
        <v>0</v>
      </c>
      <c r="M418" t="s">
        <v>676</v>
      </c>
      <c r="N418" s="18">
        <f>VLOOKUP($B418,Constraints!$C$28:$F$86,2,FALSE)</f>
        <v>5400</v>
      </c>
      <c r="O418" t="str">
        <f>VLOOKUP($A418,'Capacity Name Ref'!$A$2:$G$16,6,FALSE)</f>
        <v>Cell_Margin</v>
      </c>
      <c r="P418">
        <f t="shared" si="64"/>
        <v>5400</v>
      </c>
      <c r="Q418" t="str">
        <f t="shared" si="67"/>
        <v>Cell_Margin%</v>
      </c>
      <c r="R418" s="100">
        <f t="shared" si="57"/>
        <v>1</v>
      </c>
    </row>
    <row r="419" spans="1:18" x14ac:dyDescent="0.2">
      <c r="A419" s="87" t="s">
        <v>295</v>
      </c>
      <c r="B419" s="88" t="s">
        <v>386</v>
      </c>
      <c r="C419" s="4" t="s">
        <v>535</v>
      </c>
      <c r="D419" s="4" t="s">
        <v>631</v>
      </c>
      <c r="E419" s="4" t="b">
        <v>1</v>
      </c>
      <c r="F419" s="18">
        <f>VLOOKUP($B419,Constraints!$C$2:$Z$86,19, FALSE)</f>
        <v>0</v>
      </c>
      <c r="I419" s="18">
        <f t="shared" si="68"/>
        <v>0</v>
      </c>
      <c r="L419" s="18">
        <f>VLOOKUP($B419,Constraints!$C$2:$AK$86,30, FALSE)</f>
        <v>0</v>
      </c>
      <c r="M419" t="s">
        <v>676</v>
      </c>
      <c r="N419" s="18">
        <f>VLOOKUP($B419,Constraints!$C$28:$F$86,2,FALSE)</f>
        <v>480</v>
      </c>
      <c r="O419" t="str">
        <f>VLOOKUP($A419,'Capacity Name Ref'!$A$2:$G$16,6,FALSE)</f>
        <v>Cell_Margin</v>
      </c>
      <c r="P419">
        <f t="shared" si="64"/>
        <v>480</v>
      </c>
      <c r="Q419" t="str">
        <f t="shared" si="67"/>
        <v>Cell_Margin%</v>
      </c>
      <c r="R419" s="100">
        <f t="shared" si="57"/>
        <v>1</v>
      </c>
    </row>
    <row r="420" spans="1:18" x14ac:dyDescent="0.2">
      <c r="A420" s="87" t="s">
        <v>295</v>
      </c>
      <c r="B420" s="88" t="s">
        <v>388</v>
      </c>
      <c r="C420" s="4" t="s">
        <v>535</v>
      </c>
      <c r="D420" s="4" t="s">
        <v>631</v>
      </c>
      <c r="E420" s="4" t="b">
        <v>1</v>
      </c>
      <c r="F420" s="18">
        <f>VLOOKUP($B420,Constraints!$C$2:$Z$86,19, FALSE)</f>
        <v>1395</v>
      </c>
      <c r="I420" s="18">
        <f t="shared" si="68"/>
        <v>1743.75</v>
      </c>
      <c r="L420" s="18">
        <f>VLOOKUP($B420,Constraints!$C$2:$AK$86,30, FALSE)</f>
        <v>24</v>
      </c>
      <c r="M420" t="s">
        <v>676</v>
      </c>
      <c r="N420" s="18">
        <f>VLOOKUP($B420,Constraints!$C$28:$F$86,2,FALSE)</f>
        <v>1440</v>
      </c>
      <c r="O420" t="str">
        <f>VLOOKUP($A420,'Capacity Name Ref'!$A$2:$G$16,6,FALSE)</f>
        <v>Cell_Margin</v>
      </c>
      <c r="P420">
        <f t="shared" si="64"/>
        <v>45</v>
      </c>
      <c r="Q420" t="str">
        <f t="shared" si="67"/>
        <v>Cell_Margin%</v>
      </c>
      <c r="R420" s="100">
        <f t="shared" si="57"/>
        <v>3.125E-2</v>
      </c>
    </row>
    <row r="421" spans="1:18" x14ac:dyDescent="0.2">
      <c r="A421" s="87" t="s">
        <v>295</v>
      </c>
      <c r="B421" s="88" t="s">
        <v>387</v>
      </c>
      <c r="C421" s="4" t="s">
        <v>535</v>
      </c>
      <c r="D421" s="4" t="s">
        <v>631</v>
      </c>
      <c r="E421" s="4" t="b">
        <v>1</v>
      </c>
      <c r="F421" s="18">
        <f>VLOOKUP($B421,Constraints!$C$2:$Z$86,19, FALSE)</f>
        <v>0</v>
      </c>
      <c r="I421" s="18">
        <f t="shared" si="68"/>
        <v>0</v>
      </c>
      <c r="L421" s="18">
        <f>VLOOKUP($B421,Constraints!$C$2:$AK$86,30, FALSE)</f>
        <v>0</v>
      </c>
      <c r="M421" t="s">
        <v>676</v>
      </c>
      <c r="N421" s="18">
        <f>VLOOKUP($B421,Constraints!$C$28:$F$86,2,FALSE)</f>
        <v>1440</v>
      </c>
      <c r="O421" t="str">
        <f>VLOOKUP($A421,'Capacity Name Ref'!$A$2:$G$16,6,FALSE)</f>
        <v>Cell_Margin</v>
      </c>
      <c r="P421">
        <f t="shared" si="64"/>
        <v>1440</v>
      </c>
      <c r="Q421" t="str">
        <f t="shared" si="67"/>
        <v>Cell_Margin%</v>
      </c>
      <c r="R421" s="100">
        <f t="shared" si="5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332F-70DF-FC42-A147-7975A87BEAD9}">
  <dimension ref="A1:O265"/>
  <sheetViews>
    <sheetView zoomScale="120" zoomScaleNormal="120" workbookViewId="0">
      <pane xSplit="2" ySplit="1" topLeftCell="C123" activePane="bottomRight" state="frozen"/>
      <selection pane="topRight" activeCell="B1" sqref="B1"/>
      <selection pane="bottomLeft" activeCell="A2" sqref="A2"/>
      <selection pane="bottomRight" activeCell="B127" sqref="B127"/>
    </sheetView>
  </sheetViews>
  <sheetFormatPr baseColWidth="10" defaultRowHeight="16" x14ac:dyDescent="0.2"/>
  <cols>
    <col min="1" max="1" width="19" customWidth="1"/>
    <col min="2" max="5" width="15.5" customWidth="1"/>
    <col min="6" max="6" width="19" customWidth="1"/>
    <col min="7" max="7" width="19" style="50" customWidth="1"/>
    <col min="8" max="8" width="15.6640625" customWidth="1"/>
    <col min="9" max="9" width="16" customWidth="1"/>
    <col min="10" max="10" width="15.6640625" customWidth="1"/>
    <col min="11" max="11" width="17.1640625" customWidth="1"/>
    <col min="12" max="13" width="13.83203125" customWidth="1"/>
  </cols>
  <sheetData>
    <row r="1" spans="1:15" s="40" customFormat="1" ht="34" x14ac:dyDescent="0.2">
      <c r="A1" s="40" t="s">
        <v>2</v>
      </c>
      <c r="B1" s="46" t="s">
        <v>295</v>
      </c>
      <c r="C1" s="46" t="s">
        <v>383</v>
      </c>
      <c r="D1" s="46" t="s">
        <v>391</v>
      </c>
      <c r="E1" s="46" t="s">
        <v>394</v>
      </c>
      <c r="F1" s="40" t="s">
        <v>2</v>
      </c>
      <c r="G1" s="48" t="s">
        <v>35</v>
      </c>
      <c r="H1" s="40" t="s">
        <v>1</v>
      </c>
      <c r="I1" s="40" t="s">
        <v>245</v>
      </c>
      <c r="J1" s="40" t="s">
        <v>296</v>
      </c>
      <c r="K1" s="40" t="s">
        <v>297</v>
      </c>
      <c r="L1" s="40" t="s">
        <v>299</v>
      </c>
      <c r="M1" s="40" t="s">
        <v>298</v>
      </c>
      <c r="N1" s="40" t="s">
        <v>300</v>
      </c>
      <c r="O1" s="40" t="s">
        <v>292</v>
      </c>
    </row>
    <row r="2" spans="1:15" ht="17" x14ac:dyDescent="0.2">
      <c r="A2" s="18" t="s">
        <v>166</v>
      </c>
      <c r="B2" t="s">
        <v>385</v>
      </c>
      <c r="C2" t="s">
        <v>384</v>
      </c>
      <c r="D2" t="s">
        <v>392</v>
      </c>
      <c r="E2" t="s">
        <v>395</v>
      </c>
      <c r="F2" s="18" t="s">
        <v>166</v>
      </c>
      <c r="G2" s="49">
        <f>VLOOKUP($A2,Master_Rack!$H$2:$N$265,5,FALSE)</f>
        <v>45</v>
      </c>
      <c r="H2" t="s">
        <v>247</v>
      </c>
      <c r="I2" t="s">
        <v>250</v>
      </c>
      <c r="J2" s="18" t="s">
        <v>27</v>
      </c>
      <c r="K2" s="18" t="s">
        <v>29</v>
      </c>
      <c r="L2" s="18" t="s">
        <v>70</v>
      </c>
      <c r="M2" s="18" t="s">
        <v>72</v>
      </c>
      <c r="N2" s="18" t="s">
        <v>293</v>
      </c>
      <c r="O2" s="18" t="s">
        <v>294</v>
      </c>
    </row>
    <row r="3" spans="1:15" ht="17" x14ac:dyDescent="0.2">
      <c r="A3" s="18" t="s">
        <v>167</v>
      </c>
      <c r="B3" t="s">
        <v>385</v>
      </c>
      <c r="C3" t="s">
        <v>384</v>
      </c>
      <c r="D3" t="s">
        <v>392</v>
      </c>
      <c r="E3" t="s">
        <v>395</v>
      </c>
      <c r="F3" s="18" t="s">
        <v>167</v>
      </c>
      <c r="G3" s="49">
        <f>VLOOKUP($A3,Master_Rack!$H$2:$N$265,5,FALSE)</f>
        <v>45</v>
      </c>
      <c r="H3" t="s">
        <v>247</v>
      </c>
      <c r="I3" t="s">
        <v>250</v>
      </c>
      <c r="J3" s="18" t="s">
        <v>27</v>
      </c>
      <c r="K3" s="18" t="s">
        <v>29</v>
      </c>
      <c r="L3" s="18" t="s">
        <v>70</v>
      </c>
      <c r="M3" s="18" t="s">
        <v>72</v>
      </c>
      <c r="N3" s="18" t="s">
        <v>293</v>
      </c>
      <c r="O3" s="18" t="s">
        <v>294</v>
      </c>
    </row>
    <row r="4" spans="1:15" ht="17" x14ac:dyDescent="0.2">
      <c r="A4" s="18" t="s">
        <v>168</v>
      </c>
      <c r="B4" t="s">
        <v>385</v>
      </c>
      <c r="C4" t="s">
        <v>384</v>
      </c>
      <c r="D4" t="s">
        <v>392</v>
      </c>
      <c r="E4" t="s">
        <v>395</v>
      </c>
      <c r="F4" s="18" t="s">
        <v>168</v>
      </c>
      <c r="G4" s="49">
        <f>VLOOKUP($A4,Master_Rack!$H$2:$N$265,5,FALSE)</f>
        <v>45</v>
      </c>
      <c r="H4" t="s">
        <v>247</v>
      </c>
      <c r="I4" t="s">
        <v>250</v>
      </c>
      <c r="J4" s="18" t="s">
        <v>27</v>
      </c>
      <c r="K4" s="18" t="s">
        <v>29</v>
      </c>
      <c r="L4" s="18" t="s">
        <v>70</v>
      </c>
      <c r="M4" s="18" t="s">
        <v>72</v>
      </c>
      <c r="N4" s="18" t="s">
        <v>293</v>
      </c>
      <c r="O4" s="18" t="s">
        <v>294</v>
      </c>
    </row>
    <row r="5" spans="1:15" ht="17" x14ac:dyDescent="0.2">
      <c r="A5" s="18" t="s">
        <v>169</v>
      </c>
      <c r="B5" t="s">
        <v>385</v>
      </c>
      <c r="C5" t="s">
        <v>384</v>
      </c>
      <c r="D5" t="s">
        <v>392</v>
      </c>
      <c r="E5" t="s">
        <v>395</v>
      </c>
      <c r="F5" s="18" t="s">
        <v>169</v>
      </c>
      <c r="G5" s="49">
        <f>VLOOKUP($A5,Master_Rack!$H$2:$N$265,5,FALSE)</f>
        <v>45</v>
      </c>
      <c r="H5" t="s">
        <v>247</v>
      </c>
      <c r="I5" t="s">
        <v>250</v>
      </c>
      <c r="J5" s="18" t="s">
        <v>27</v>
      </c>
      <c r="K5" s="18" t="s">
        <v>29</v>
      </c>
      <c r="L5" s="18" t="s">
        <v>70</v>
      </c>
      <c r="M5" s="18" t="s">
        <v>72</v>
      </c>
      <c r="N5" s="18" t="s">
        <v>293</v>
      </c>
      <c r="O5" s="18" t="s">
        <v>294</v>
      </c>
    </row>
    <row r="6" spans="1:15" ht="17" x14ac:dyDescent="0.2">
      <c r="A6" s="18" t="s">
        <v>170</v>
      </c>
      <c r="B6" t="s">
        <v>385</v>
      </c>
      <c r="C6" t="s">
        <v>384</v>
      </c>
      <c r="D6" t="s">
        <v>392</v>
      </c>
      <c r="E6" t="s">
        <v>395</v>
      </c>
      <c r="F6" s="18" t="s">
        <v>170</v>
      </c>
      <c r="G6" s="49">
        <f>VLOOKUP($A6,Master_Rack!$H$2:$N$265,5,FALSE)</f>
        <v>45</v>
      </c>
      <c r="H6" t="s">
        <v>247</v>
      </c>
      <c r="I6" t="s">
        <v>250</v>
      </c>
      <c r="J6" s="18" t="s">
        <v>32</v>
      </c>
      <c r="K6" s="18" t="s">
        <v>29</v>
      </c>
      <c r="L6" s="18" t="s">
        <v>70</v>
      </c>
      <c r="M6" s="18" t="s">
        <v>72</v>
      </c>
      <c r="N6" s="18" t="s">
        <v>293</v>
      </c>
      <c r="O6" s="18" t="s">
        <v>294</v>
      </c>
    </row>
    <row r="7" spans="1:15" ht="17" x14ac:dyDescent="0.2">
      <c r="A7" s="18" t="s">
        <v>171</v>
      </c>
      <c r="B7" t="s">
        <v>385</v>
      </c>
      <c r="C7" t="s">
        <v>384</v>
      </c>
      <c r="D7" t="s">
        <v>392</v>
      </c>
      <c r="E7" t="s">
        <v>395</v>
      </c>
      <c r="F7" s="18" t="s">
        <v>171</v>
      </c>
      <c r="G7" s="49">
        <f>VLOOKUP($A7,Master_Rack!$H$2:$N$265,5,FALSE)</f>
        <v>45</v>
      </c>
      <c r="H7" t="s">
        <v>247</v>
      </c>
      <c r="I7" t="s">
        <v>250</v>
      </c>
      <c r="J7" s="18" t="s">
        <v>32</v>
      </c>
      <c r="K7" s="18" t="s">
        <v>29</v>
      </c>
      <c r="L7" s="18" t="s">
        <v>70</v>
      </c>
      <c r="M7" s="18" t="s">
        <v>72</v>
      </c>
      <c r="N7" s="18" t="s">
        <v>293</v>
      </c>
      <c r="O7" s="18" t="s">
        <v>294</v>
      </c>
    </row>
    <row r="8" spans="1:15" ht="17" x14ac:dyDescent="0.2">
      <c r="A8" s="18" t="s">
        <v>172</v>
      </c>
      <c r="B8" t="s">
        <v>385</v>
      </c>
      <c r="C8" t="s">
        <v>384</v>
      </c>
      <c r="D8" t="s">
        <v>392</v>
      </c>
      <c r="E8" t="s">
        <v>395</v>
      </c>
      <c r="F8" s="18" t="s">
        <v>172</v>
      </c>
      <c r="G8" s="49">
        <f>VLOOKUP($A8,Master_Rack!$H$2:$N$265,5,FALSE)</f>
        <v>45</v>
      </c>
      <c r="H8" t="s">
        <v>247</v>
      </c>
      <c r="I8" t="s">
        <v>250</v>
      </c>
      <c r="J8" s="18" t="s">
        <v>32</v>
      </c>
      <c r="K8" s="18" t="s">
        <v>34</v>
      </c>
      <c r="L8" s="18" t="s">
        <v>70</v>
      </c>
      <c r="M8" s="18" t="s">
        <v>72</v>
      </c>
      <c r="N8" s="18" t="s">
        <v>293</v>
      </c>
      <c r="O8" s="18" t="s">
        <v>294</v>
      </c>
    </row>
    <row r="9" spans="1:15" ht="17" x14ac:dyDescent="0.2">
      <c r="A9" s="18" t="s">
        <v>173</v>
      </c>
      <c r="B9" t="s">
        <v>385</v>
      </c>
      <c r="C9" t="s">
        <v>384</v>
      </c>
      <c r="D9" t="s">
        <v>392</v>
      </c>
      <c r="E9" t="s">
        <v>395</v>
      </c>
      <c r="F9" s="18" t="s">
        <v>173</v>
      </c>
      <c r="G9" s="49">
        <f>VLOOKUP($A9,Master_Rack!$H$2:$N$265,5,FALSE)</f>
        <v>45</v>
      </c>
      <c r="H9" t="s">
        <v>247</v>
      </c>
      <c r="I9" t="s">
        <v>250</v>
      </c>
      <c r="J9" s="18" t="s">
        <v>32</v>
      </c>
      <c r="K9" s="18" t="s">
        <v>34</v>
      </c>
      <c r="L9" s="18" t="s">
        <v>70</v>
      </c>
      <c r="M9" s="18" t="s">
        <v>72</v>
      </c>
      <c r="N9" s="18" t="s">
        <v>293</v>
      </c>
      <c r="O9" s="18" t="s">
        <v>294</v>
      </c>
    </row>
    <row r="10" spans="1:15" ht="17" x14ac:dyDescent="0.2">
      <c r="A10" s="18" t="s">
        <v>174</v>
      </c>
      <c r="B10" t="s">
        <v>385</v>
      </c>
      <c r="C10" t="s">
        <v>384</v>
      </c>
      <c r="D10" t="s">
        <v>392</v>
      </c>
      <c r="E10" t="s">
        <v>395</v>
      </c>
      <c r="F10" s="18" t="s">
        <v>174</v>
      </c>
      <c r="G10" s="49">
        <f>VLOOKUP($A10,Master_Rack!$H$2:$N$265,5,FALSE)</f>
        <v>45</v>
      </c>
      <c r="H10" t="s">
        <v>247</v>
      </c>
      <c r="I10" t="s">
        <v>250</v>
      </c>
      <c r="J10" s="18" t="s">
        <v>32</v>
      </c>
      <c r="K10" s="18" t="s">
        <v>34</v>
      </c>
      <c r="L10" s="18" t="s">
        <v>70</v>
      </c>
      <c r="M10" s="18" t="s">
        <v>72</v>
      </c>
      <c r="N10" s="18" t="s">
        <v>293</v>
      </c>
      <c r="O10" s="18" t="s">
        <v>294</v>
      </c>
    </row>
    <row r="11" spans="1:15" ht="17" x14ac:dyDescent="0.2">
      <c r="A11" s="18" t="s">
        <v>175</v>
      </c>
      <c r="B11" t="s">
        <v>385</v>
      </c>
      <c r="C11" t="s">
        <v>384</v>
      </c>
      <c r="D11" t="s">
        <v>392</v>
      </c>
      <c r="E11" t="s">
        <v>395</v>
      </c>
      <c r="F11" s="18" t="s">
        <v>175</v>
      </c>
      <c r="G11" s="49">
        <f>VLOOKUP($A11,Master_Rack!$H$2:$N$265,5,FALSE)</f>
        <v>45</v>
      </c>
      <c r="H11" t="s">
        <v>247</v>
      </c>
      <c r="I11" t="s">
        <v>250</v>
      </c>
      <c r="J11" s="18" t="s">
        <v>32</v>
      </c>
      <c r="K11" s="18" t="s">
        <v>34</v>
      </c>
      <c r="L11" s="18" t="s">
        <v>70</v>
      </c>
      <c r="M11" s="18" t="s">
        <v>72</v>
      </c>
      <c r="N11" s="18" t="s">
        <v>293</v>
      </c>
      <c r="O11" s="18" t="s">
        <v>294</v>
      </c>
    </row>
    <row r="12" spans="1:15" ht="17" x14ac:dyDescent="0.2">
      <c r="A12" s="18" t="s">
        <v>176</v>
      </c>
      <c r="B12" t="s">
        <v>385</v>
      </c>
      <c r="C12" t="s">
        <v>384</v>
      </c>
      <c r="D12" t="s">
        <v>392</v>
      </c>
      <c r="E12" t="s">
        <v>395</v>
      </c>
      <c r="F12" s="18" t="s">
        <v>176</v>
      </c>
      <c r="G12" s="49">
        <f>VLOOKUP($A12,Master_Rack!$H$2:$N$265,5,FALSE)</f>
        <v>45</v>
      </c>
      <c r="H12" t="s">
        <v>247</v>
      </c>
      <c r="I12" t="s">
        <v>250</v>
      </c>
      <c r="J12" s="18" t="s">
        <v>32</v>
      </c>
      <c r="K12" s="18" t="s">
        <v>34</v>
      </c>
      <c r="L12" s="18" t="s">
        <v>70</v>
      </c>
      <c r="M12" s="18" t="s">
        <v>72</v>
      </c>
      <c r="N12" s="18" t="s">
        <v>293</v>
      </c>
      <c r="O12" s="18" t="s">
        <v>294</v>
      </c>
    </row>
    <row r="13" spans="1:15" ht="17" x14ac:dyDescent="0.2">
      <c r="A13" s="18" t="s">
        <v>177</v>
      </c>
      <c r="B13" t="s">
        <v>385</v>
      </c>
      <c r="C13" t="s">
        <v>384</v>
      </c>
      <c r="D13" t="s">
        <v>392</v>
      </c>
      <c r="E13" t="s">
        <v>395</v>
      </c>
      <c r="F13" s="18" t="s">
        <v>177</v>
      </c>
      <c r="G13" s="49">
        <f>VLOOKUP($A13,Master_Rack!$H$2:$N$265,5,FALSE)</f>
        <v>45</v>
      </c>
      <c r="H13" t="s">
        <v>247</v>
      </c>
      <c r="I13" t="s">
        <v>250</v>
      </c>
      <c r="J13" s="18" t="s">
        <v>32</v>
      </c>
      <c r="K13" s="18" t="s">
        <v>34</v>
      </c>
      <c r="L13" s="18" t="s">
        <v>70</v>
      </c>
      <c r="M13" s="18" t="s">
        <v>72</v>
      </c>
      <c r="N13" s="18" t="s">
        <v>293</v>
      </c>
      <c r="O13" s="18" t="s">
        <v>294</v>
      </c>
    </row>
    <row r="14" spans="1:15" ht="17" x14ac:dyDescent="0.2">
      <c r="A14" s="18" t="s">
        <v>179</v>
      </c>
      <c r="B14" t="s">
        <v>385</v>
      </c>
      <c r="C14" t="s">
        <v>384</v>
      </c>
      <c r="D14" t="s">
        <v>392</v>
      </c>
      <c r="E14" t="s">
        <v>395</v>
      </c>
      <c r="F14" s="18" t="s">
        <v>179</v>
      </c>
      <c r="G14" s="49">
        <f>VLOOKUP($A14,Master_Rack!$H$2:$N$265,5,FALSE)</f>
        <v>45</v>
      </c>
      <c r="H14" t="s">
        <v>247</v>
      </c>
      <c r="I14" t="s">
        <v>250</v>
      </c>
      <c r="J14" s="18" t="s">
        <v>30</v>
      </c>
      <c r="K14" s="18" t="s">
        <v>28</v>
      </c>
      <c r="L14" s="18" t="s">
        <v>70</v>
      </c>
      <c r="M14" s="18" t="s">
        <v>72</v>
      </c>
      <c r="N14" s="18" t="s">
        <v>293</v>
      </c>
      <c r="O14" s="18" t="s">
        <v>294</v>
      </c>
    </row>
    <row r="15" spans="1:15" ht="17" x14ac:dyDescent="0.2">
      <c r="A15" s="18" t="s">
        <v>180</v>
      </c>
      <c r="B15" t="s">
        <v>385</v>
      </c>
      <c r="C15" t="s">
        <v>384</v>
      </c>
      <c r="D15" t="s">
        <v>392</v>
      </c>
      <c r="E15" t="s">
        <v>395</v>
      </c>
      <c r="F15" s="18" t="s">
        <v>180</v>
      </c>
      <c r="G15" s="49">
        <f>VLOOKUP($A15,Master_Rack!$H$2:$N$265,5,FALSE)</f>
        <v>45</v>
      </c>
      <c r="H15" t="s">
        <v>247</v>
      </c>
      <c r="I15" t="s">
        <v>250</v>
      </c>
      <c r="J15" s="18" t="s">
        <v>30</v>
      </c>
      <c r="K15" s="18" t="s">
        <v>28</v>
      </c>
      <c r="L15" s="18" t="s">
        <v>70</v>
      </c>
      <c r="M15" s="18" t="s">
        <v>72</v>
      </c>
      <c r="N15" s="18" t="s">
        <v>293</v>
      </c>
      <c r="O15" s="18" t="s">
        <v>294</v>
      </c>
    </row>
    <row r="16" spans="1:15" ht="17" x14ac:dyDescent="0.2">
      <c r="A16" s="18" t="s">
        <v>181</v>
      </c>
      <c r="B16" t="s">
        <v>385</v>
      </c>
      <c r="C16" t="s">
        <v>384</v>
      </c>
      <c r="D16" t="s">
        <v>392</v>
      </c>
      <c r="E16" t="s">
        <v>395</v>
      </c>
      <c r="F16" s="18" t="s">
        <v>181</v>
      </c>
      <c r="G16" s="49">
        <f>VLOOKUP($A16,Master_Rack!$H$2:$N$265,5,FALSE)</f>
        <v>45</v>
      </c>
      <c r="H16" t="s">
        <v>247</v>
      </c>
      <c r="I16" t="s">
        <v>250</v>
      </c>
      <c r="J16" s="18" t="s">
        <v>30</v>
      </c>
      <c r="K16" s="18" t="s">
        <v>28</v>
      </c>
      <c r="L16" s="18" t="s">
        <v>70</v>
      </c>
      <c r="M16" s="18" t="s">
        <v>72</v>
      </c>
      <c r="N16" s="18" t="s">
        <v>293</v>
      </c>
      <c r="O16" s="18" t="s">
        <v>294</v>
      </c>
    </row>
    <row r="17" spans="1:15" ht="17" x14ac:dyDescent="0.2">
      <c r="A17" s="18" t="s">
        <v>182</v>
      </c>
      <c r="B17" t="s">
        <v>385</v>
      </c>
      <c r="C17" t="s">
        <v>384</v>
      </c>
      <c r="D17" t="s">
        <v>392</v>
      </c>
      <c r="E17" t="s">
        <v>395</v>
      </c>
      <c r="F17" s="18" t="s">
        <v>182</v>
      </c>
      <c r="G17" s="49">
        <f>VLOOKUP($A17,Master_Rack!$H$2:$N$265,5,FALSE)</f>
        <v>45</v>
      </c>
      <c r="H17" t="s">
        <v>247</v>
      </c>
      <c r="I17" t="s">
        <v>250</v>
      </c>
      <c r="J17" s="18" t="s">
        <v>30</v>
      </c>
      <c r="K17" s="18" t="s">
        <v>28</v>
      </c>
      <c r="L17" s="18" t="s">
        <v>70</v>
      </c>
      <c r="M17" s="18" t="s">
        <v>72</v>
      </c>
      <c r="N17" s="18" t="s">
        <v>293</v>
      </c>
      <c r="O17" s="18" t="s">
        <v>294</v>
      </c>
    </row>
    <row r="18" spans="1:15" ht="17" x14ac:dyDescent="0.2">
      <c r="A18" s="18" t="s">
        <v>183</v>
      </c>
      <c r="B18" t="s">
        <v>385</v>
      </c>
      <c r="C18" t="s">
        <v>384</v>
      </c>
      <c r="D18" t="s">
        <v>392</v>
      </c>
      <c r="E18" t="s">
        <v>395</v>
      </c>
      <c r="F18" s="18" t="s">
        <v>183</v>
      </c>
      <c r="G18" s="49">
        <f>VLOOKUP($A18,Master_Rack!$H$2:$N$265,5,FALSE)</f>
        <v>45</v>
      </c>
      <c r="H18" t="s">
        <v>247</v>
      </c>
      <c r="I18" t="s">
        <v>250</v>
      </c>
      <c r="J18" s="18" t="s">
        <v>33</v>
      </c>
      <c r="K18" s="18" t="s">
        <v>28</v>
      </c>
      <c r="L18" s="18" t="s">
        <v>70</v>
      </c>
      <c r="M18" s="18" t="s">
        <v>72</v>
      </c>
      <c r="N18" s="18" t="s">
        <v>293</v>
      </c>
      <c r="O18" s="18" t="s">
        <v>294</v>
      </c>
    </row>
    <row r="19" spans="1:15" ht="17" x14ac:dyDescent="0.2">
      <c r="A19" s="18" t="s">
        <v>184</v>
      </c>
      <c r="B19" t="s">
        <v>385</v>
      </c>
      <c r="C19" t="s">
        <v>384</v>
      </c>
      <c r="D19" t="s">
        <v>392</v>
      </c>
      <c r="E19" t="s">
        <v>395</v>
      </c>
      <c r="F19" s="18" t="s">
        <v>184</v>
      </c>
      <c r="G19" s="49">
        <f>VLOOKUP($A19,Master_Rack!$H$2:$N$265,5,FALSE)</f>
        <v>45</v>
      </c>
      <c r="H19" t="s">
        <v>247</v>
      </c>
      <c r="I19" t="s">
        <v>250</v>
      </c>
      <c r="J19" s="18" t="s">
        <v>33</v>
      </c>
      <c r="K19" s="18" t="s">
        <v>28</v>
      </c>
      <c r="L19" s="18" t="s">
        <v>70</v>
      </c>
      <c r="M19" s="18" t="s">
        <v>72</v>
      </c>
      <c r="N19" s="18" t="s">
        <v>293</v>
      </c>
      <c r="O19" s="18" t="s">
        <v>294</v>
      </c>
    </row>
    <row r="20" spans="1:15" ht="17" x14ac:dyDescent="0.2">
      <c r="A20" s="18" t="s">
        <v>185</v>
      </c>
      <c r="B20" t="s">
        <v>385</v>
      </c>
      <c r="C20" t="s">
        <v>384</v>
      </c>
      <c r="D20" t="s">
        <v>392</v>
      </c>
      <c r="E20" t="s">
        <v>395</v>
      </c>
      <c r="F20" s="18" t="s">
        <v>185</v>
      </c>
      <c r="G20" s="49">
        <f>VLOOKUP($A20,Master_Rack!$H$2:$N$265,5,FALSE)</f>
        <v>45</v>
      </c>
      <c r="H20" t="s">
        <v>247</v>
      </c>
      <c r="I20" t="s">
        <v>250</v>
      </c>
      <c r="J20" s="18" t="s">
        <v>33</v>
      </c>
      <c r="K20" s="18" t="s">
        <v>34</v>
      </c>
      <c r="L20" s="18" t="s">
        <v>70</v>
      </c>
      <c r="M20" s="18" t="s">
        <v>72</v>
      </c>
      <c r="N20" s="18" t="s">
        <v>293</v>
      </c>
      <c r="O20" s="18" t="s">
        <v>294</v>
      </c>
    </row>
    <row r="21" spans="1:15" ht="17" x14ac:dyDescent="0.2">
      <c r="A21" s="18" t="s">
        <v>186</v>
      </c>
      <c r="B21" t="s">
        <v>385</v>
      </c>
      <c r="C21" t="s">
        <v>384</v>
      </c>
      <c r="D21" t="s">
        <v>392</v>
      </c>
      <c r="E21" t="s">
        <v>395</v>
      </c>
      <c r="F21" s="18" t="s">
        <v>186</v>
      </c>
      <c r="G21" s="49">
        <f>VLOOKUP($A21,Master_Rack!$H$2:$N$265,5,FALSE)</f>
        <v>45</v>
      </c>
      <c r="H21" t="s">
        <v>247</v>
      </c>
      <c r="I21" t="s">
        <v>250</v>
      </c>
      <c r="J21" s="18" t="s">
        <v>33</v>
      </c>
      <c r="K21" s="18" t="s">
        <v>34</v>
      </c>
      <c r="L21" s="18" t="s">
        <v>70</v>
      </c>
      <c r="M21" s="18" t="s">
        <v>72</v>
      </c>
      <c r="N21" s="18" t="s">
        <v>293</v>
      </c>
      <c r="O21" s="18" t="s">
        <v>294</v>
      </c>
    </row>
    <row r="22" spans="1:15" ht="17" x14ac:dyDescent="0.2">
      <c r="A22" s="18" t="s">
        <v>187</v>
      </c>
      <c r="B22" t="s">
        <v>385</v>
      </c>
      <c r="C22" t="s">
        <v>384</v>
      </c>
      <c r="D22" t="s">
        <v>392</v>
      </c>
      <c r="E22" t="s">
        <v>395</v>
      </c>
      <c r="F22" s="18" t="s">
        <v>187</v>
      </c>
      <c r="G22" s="49">
        <f>VLOOKUP($A22,Master_Rack!$H$2:$N$265,5,FALSE)</f>
        <v>45</v>
      </c>
      <c r="H22" t="s">
        <v>247</v>
      </c>
      <c r="I22" t="s">
        <v>250</v>
      </c>
      <c r="J22" s="18" t="s">
        <v>33</v>
      </c>
      <c r="K22" s="18" t="s">
        <v>34</v>
      </c>
      <c r="L22" s="18" t="s">
        <v>70</v>
      </c>
      <c r="M22" s="18" t="s">
        <v>72</v>
      </c>
      <c r="N22" s="18" t="s">
        <v>293</v>
      </c>
      <c r="O22" s="18" t="s">
        <v>294</v>
      </c>
    </row>
    <row r="23" spans="1:15" ht="17" x14ac:dyDescent="0.2">
      <c r="A23" s="18" t="s">
        <v>188</v>
      </c>
      <c r="B23" t="s">
        <v>385</v>
      </c>
      <c r="C23" t="s">
        <v>384</v>
      </c>
      <c r="D23" t="s">
        <v>392</v>
      </c>
      <c r="E23" t="s">
        <v>395</v>
      </c>
      <c r="F23" s="18" t="s">
        <v>188</v>
      </c>
      <c r="G23" s="49">
        <f>VLOOKUP($A23,Master_Rack!$H$2:$N$265,5,FALSE)</f>
        <v>45</v>
      </c>
      <c r="H23" t="s">
        <v>247</v>
      </c>
      <c r="I23" t="s">
        <v>250</v>
      </c>
      <c r="J23" s="18" t="s">
        <v>33</v>
      </c>
      <c r="K23" s="18" t="s">
        <v>34</v>
      </c>
      <c r="L23" s="18" t="s">
        <v>70</v>
      </c>
      <c r="M23" s="18" t="s">
        <v>72</v>
      </c>
      <c r="N23" s="18" t="s">
        <v>293</v>
      </c>
      <c r="O23" s="18" t="s">
        <v>294</v>
      </c>
    </row>
    <row r="24" spans="1:15" ht="17" x14ac:dyDescent="0.2">
      <c r="A24" s="18" t="s">
        <v>189</v>
      </c>
      <c r="B24" t="s">
        <v>385</v>
      </c>
      <c r="C24" t="s">
        <v>384</v>
      </c>
      <c r="D24" t="s">
        <v>392</v>
      </c>
      <c r="E24" t="s">
        <v>395</v>
      </c>
      <c r="F24" s="18" t="s">
        <v>189</v>
      </c>
      <c r="G24" s="49">
        <f>VLOOKUP($A24,Master_Rack!$H$2:$N$265,5,FALSE)</f>
        <v>45</v>
      </c>
      <c r="H24" t="s">
        <v>247</v>
      </c>
      <c r="I24" t="s">
        <v>250</v>
      </c>
      <c r="J24" s="18" t="s">
        <v>33</v>
      </c>
      <c r="K24" s="18" t="s">
        <v>34</v>
      </c>
      <c r="L24" s="18" t="s">
        <v>70</v>
      </c>
      <c r="M24" s="18" t="s">
        <v>72</v>
      </c>
      <c r="N24" s="18" t="s">
        <v>293</v>
      </c>
      <c r="O24" s="18" t="s">
        <v>294</v>
      </c>
    </row>
    <row r="25" spans="1:15" ht="17" x14ac:dyDescent="0.2">
      <c r="A25" s="18" t="s">
        <v>190</v>
      </c>
      <c r="B25" t="s">
        <v>385</v>
      </c>
      <c r="C25" t="s">
        <v>384</v>
      </c>
      <c r="D25" t="s">
        <v>392</v>
      </c>
      <c r="E25" t="s">
        <v>395</v>
      </c>
      <c r="F25" s="18" t="s">
        <v>190</v>
      </c>
      <c r="G25" s="49">
        <f>VLOOKUP($A25,Master_Rack!$H$2:$N$265,5,FALSE)</f>
        <v>45</v>
      </c>
      <c r="H25" t="s">
        <v>247</v>
      </c>
      <c r="I25" t="s">
        <v>250</v>
      </c>
      <c r="J25" s="18" t="s">
        <v>33</v>
      </c>
      <c r="K25" s="18" t="s">
        <v>34</v>
      </c>
      <c r="L25" s="18" t="s">
        <v>70</v>
      </c>
      <c r="M25" s="18" t="s">
        <v>72</v>
      </c>
      <c r="N25" s="18" t="s">
        <v>293</v>
      </c>
      <c r="O25" s="18" t="s">
        <v>294</v>
      </c>
    </row>
    <row r="26" spans="1:15" ht="17" x14ac:dyDescent="0.2">
      <c r="A26" s="18" t="s">
        <v>193</v>
      </c>
      <c r="B26" t="s">
        <v>385</v>
      </c>
      <c r="C26" t="s">
        <v>384</v>
      </c>
      <c r="D26" t="s">
        <v>392</v>
      </c>
      <c r="E26" t="s">
        <v>395</v>
      </c>
      <c r="F26" s="18" t="s">
        <v>193</v>
      </c>
      <c r="G26" s="49">
        <f>VLOOKUP($A26,Master_Rack!$H$2:$N$265,5,FALSE)</f>
        <v>45</v>
      </c>
      <c r="H26" t="s">
        <v>247</v>
      </c>
      <c r="I26" t="s">
        <v>250</v>
      </c>
      <c r="J26" s="18" t="s">
        <v>32</v>
      </c>
      <c r="K26" s="18" t="s">
        <v>29</v>
      </c>
      <c r="L26" s="18" t="s">
        <v>70</v>
      </c>
      <c r="M26" s="18" t="s">
        <v>72</v>
      </c>
      <c r="N26" s="18" t="s">
        <v>293</v>
      </c>
      <c r="O26" s="18" t="s">
        <v>294</v>
      </c>
    </row>
    <row r="27" spans="1:15" ht="17" x14ac:dyDescent="0.2">
      <c r="A27" s="18" t="s">
        <v>194</v>
      </c>
      <c r="B27" t="s">
        <v>385</v>
      </c>
      <c r="C27" t="s">
        <v>384</v>
      </c>
      <c r="D27" t="s">
        <v>392</v>
      </c>
      <c r="E27" t="s">
        <v>395</v>
      </c>
      <c r="F27" s="18" t="s">
        <v>194</v>
      </c>
      <c r="G27" s="49">
        <f>VLOOKUP($A27,Master_Rack!$H$2:$N$265,5,FALSE)</f>
        <v>45</v>
      </c>
      <c r="H27" t="s">
        <v>247</v>
      </c>
      <c r="I27" t="s">
        <v>250</v>
      </c>
      <c r="J27" s="18" t="s">
        <v>33</v>
      </c>
      <c r="K27" s="18" t="s">
        <v>29</v>
      </c>
      <c r="L27" s="18" t="s">
        <v>70</v>
      </c>
      <c r="M27" s="18" t="s">
        <v>72</v>
      </c>
      <c r="N27" s="18" t="s">
        <v>293</v>
      </c>
      <c r="O27" s="18" t="s">
        <v>294</v>
      </c>
    </row>
    <row r="28" spans="1:15" ht="17" x14ac:dyDescent="0.2">
      <c r="A28" s="18" t="s">
        <v>195</v>
      </c>
      <c r="B28" t="s">
        <v>385</v>
      </c>
      <c r="C28" t="s">
        <v>384</v>
      </c>
      <c r="D28" t="s">
        <v>392</v>
      </c>
      <c r="E28" t="s">
        <v>395</v>
      </c>
      <c r="F28" s="18" t="s">
        <v>195</v>
      </c>
      <c r="G28" s="49">
        <f>VLOOKUP($A28,Master_Rack!$H$2:$N$265,5,FALSE)</f>
        <v>45</v>
      </c>
      <c r="H28" t="s">
        <v>247</v>
      </c>
      <c r="I28" t="s">
        <v>250</v>
      </c>
      <c r="J28" s="18" t="s">
        <v>32</v>
      </c>
      <c r="K28" s="18" t="s">
        <v>29</v>
      </c>
      <c r="L28" s="18" t="s">
        <v>70</v>
      </c>
      <c r="M28" s="18" t="s">
        <v>72</v>
      </c>
      <c r="N28" s="18" t="s">
        <v>293</v>
      </c>
      <c r="O28" s="18" t="s">
        <v>294</v>
      </c>
    </row>
    <row r="29" spans="1:15" ht="17" x14ac:dyDescent="0.2">
      <c r="A29" s="18" t="s">
        <v>196</v>
      </c>
      <c r="B29" t="s">
        <v>385</v>
      </c>
      <c r="C29" t="s">
        <v>384</v>
      </c>
      <c r="D29" t="s">
        <v>392</v>
      </c>
      <c r="E29" t="s">
        <v>395</v>
      </c>
      <c r="F29" s="18" t="s">
        <v>196</v>
      </c>
      <c r="G29" s="49">
        <f>VLOOKUP($A29,Master_Rack!$H$2:$N$265,5,FALSE)</f>
        <v>45</v>
      </c>
      <c r="H29" t="s">
        <v>247</v>
      </c>
      <c r="I29" t="s">
        <v>250</v>
      </c>
      <c r="J29" s="18" t="s">
        <v>33</v>
      </c>
      <c r="K29" s="18" t="s">
        <v>29</v>
      </c>
      <c r="L29" s="18" t="s">
        <v>70</v>
      </c>
      <c r="M29" s="18" t="s">
        <v>72</v>
      </c>
      <c r="N29" s="18" t="s">
        <v>293</v>
      </c>
      <c r="O29" s="18" t="s">
        <v>294</v>
      </c>
    </row>
    <row r="30" spans="1:15" ht="17" x14ac:dyDescent="0.2">
      <c r="A30" s="18" t="s">
        <v>197</v>
      </c>
      <c r="B30" t="s">
        <v>385</v>
      </c>
      <c r="C30" t="s">
        <v>384</v>
      </c>
      <c r="D30" t="s">
        <v>392</v>
      </c>
      <c r="E30" t="s">
        <v>395</v>
      </c>
      <c r="F30" s="18" t="s">
        <v>197</v>
      </c>
      <c r="G30" s="49">
        <f>VLOOKUP($A30,Master_Rack!$H$2:$N$265,5,FALSE)</f>
        <v>45</v>
      </c>
      <c r="H30" t="s">
        <v>247</v>
      </c>
      <c r="I30" t="s">
        <v>250</v>
      </c>
      <c r="J30" s="18" t="s">
        <v>32</v>
      </c>
      <c r="K30" s="18" t="s">
        <v>29</v>
      </c>
      <c r="L30" s="18" t="s">
        <v>70</v>
      </c>
      <c r="M30" s="18" t="s">
        <v>72</v>
      </c>
      <c r="N30" s="18" t="s">
        <v>293</v>
      </c>
      <c r="O30" s="18" t="s">
        <v>294</v>
      </c>
    </row>
    <row r="31" spans="1:15" ht="17" x14ac:dyDescent="0.2">
      <c r="A31" s="18" t="s">
        <v>198</v>
      </c>
      <c r="B31" t="s">
        <v>385</v>
      </c>
      <c r="C31" t="s">
        <v>384</v>
      </c>
      <c r="D31" t="s">
        <v>392</v>
      </c>
      <c r="E31" t="s">
        <v>395</v>
      </c>
      <c r="F31" s="18" t="s">
        <v>198</v>
      </c>
      <c r="G31" s="49">
        <f>VLOOKUP($A31,Master_Rack!$H$2:$N$265,5,FALSE)</f>
        <v>45</v>
      </c>
      <c r="H31" t="s">
        <v>247</v>
      </c>
      <c r="I31" t="s">
        <v>250</v>
      </c>
      <c r="J31" s="18" t="s">
        <v>33</v>
      </c>
      <c r="K31" s="18" t="s">
        <v>29</v>
      </c>
      <c r="L31" s="18" t="s">
        <v>70</v>
      </c>
      <c r="M31" s="18" t="s">
        <v>72</v>
      </c>
      <c r="N31" s="18" t="s">
        <v>293</v>
      </c>
      <c r="O31" s="18" t="s">
        <v>294</v>
      </c>
    </row>
    <row r="32" spans="1:15" ht="17" x14ac:dyDescent="0.2">
      <c r="A32" s="18" t="s">
        <v>199</v>
      </c>
      <c r="B32" t="s">
        <v>385</v>
      </c>
      <c r="C32" t="s">
        <v>384</v>
      </c>
      <c r="D32" t="s">
        <v>392</v>
      </c>
      <c r="E32" t="s">
        <v>395</v>
      </c>
      <c r="F32" s="18" t="s">
        <v>199</v>
      </c>
      <c r="G32" s="49">
        <f>VLOOKUP($A32,Master_Rack!$H$2:$N$265,5,FALSE)</f>
        <v>45</v>
      </c>
      <c r="H32" t="s">
        <v>247</v>
      </c>
      <c r="I32" t="s">
        <v>250</v>
      </c>
      <c r="J32" s="18" t="s">
        <v>32</v>
      </c>
      <c r="K32" s="18" t="s">
        <v>34</v>
      </c>
      <c r="L32" s="18" t="s">
        <v>70</v>
      </c>
      <c r="M32" s="18" t="s">
        <v>72</v>
      </c>
      <c r="N32" s="18" t="s">
        <v>293</v>
      </c>
      <c r="O32" s="18" t="s">
        <v>294</v>
      </c>
    </row>
    <row r="33" spans="1:15" ht="17" x14ac:dyDescent="0.2">
      <c r="A33" s="18" t="s">
        <v>200</v>
      </c>
      <c r="B33" t="s">
        <v>385</v>
      </c>
      <c r="C33" t="s">
        <v>384</v>
      </c>
      <c r="D33" t="s">
        <v>392</v>
      </c>
      <c r="E33" t="s">
        <v>395</v>
      </c>
      <c r="F33" s="18" t="s">
        <v>200</v>
      </c>
      <c r="G33" s="49">
        <f>VLOOKUP($A33,Master_Rack!$H$2:$N$265,5,FALSE)</f>
        <v>45</v>
      </c>
      <c r="H33" t="s">
        <v>247</v>
      </c>
      <c r="I33" t="s">
        <v>250</v>
      </c>
      <c r="J33" s="18" t="s">
        <v>33</v>
      </c>
      <c r="K33" s="18" t="s">
        <v>34</v>
      </c>
      <c r="L33" s="18" t="s">
        <v>70</v>
      </c>
      <c r="M33" s="18" t="s">
        <v>72</v>
      </c>
      <c r="N33" s="18" t="s">
        <v>293</v>
      </c>
      <c r="O33" s="18" t="s">
        <v>294</v>
      </c>
    </row>
    <row r="34" spans="1:15" ht="17" x14ac:dyDescent="0.2">
      <c r="A34" s="18" t="s">
        <v>201</v>
      </c>
      <c r="B34" t="s">
        <v>385</v>
      </c>
      <c r="C34" t="s">
        <v>384</v>
      </c>
      <c r="D34" t="s">
        <v>392</v>
      </c>
      <c r="E34" t="s">
        <v>395</v>
      </c>
      <c r="F34" s="18" t="s">
        <v>201</v>
      </c>
      <c r="G34" s="49">
        <f>VLOOKUP($A34,Master_Rack!$H$2:$N$265,5,FALSE)</f>
        <v>45</v>
      </c>
      <c r="H34" t="s">
        <v>247</v>
      </c>
      <c r="I34" t="s">
        <v>250</v>
      </c>
      <c r="J34" s="18" t="s">
        <v>32</v>
      </c>
      <c r="K34" s="18" t="s">
        <v>34</v>
      </c>
      <c r="L34" s="18" t="s">
        <v>70</v>
      </c>
      <c r="M34" s="18" t="s">
        <v>72</v>
      </c>
      <c r="N34" s="18" t="s">
        <v>293</v>
      </c>
      <c r="O34" s="18" t="s">
        <v>294</v>
      </c>
    </row>
    <row r="35" spans="1:15" ht="17" x14ac:dyDescent="0.2">
      <c r="A35" s="18" t="s">
        <v>202</v>
      </c>
      <c r="B35" t="s">
        <v>385</v>
      </c>
      <c r="C35" t="s">
        <v>384</v>
      </c>
      <c r="D35" t="s">
        <v>392</v>
      </c>
      <c r="E35" t="s">
        <v>395</v>
      </c>
      <c r="F35" s="18" t="s">
        <v>202</v>
      </c>
      <c r="G35" s="49">
        <f>VLOOKUP($A35,Master_Rack!$H$2:$N$265,5,FALSE)</f>
        <v>45</v>
      </c>
      <c r="H35" t="s">
        <v>247</v>
      </c>
      <c r="I35" t="s">
        <v>250</v>
      </c>
      <c r="J35" s="18" t="s">
        <v>33</v>
      </c>
      <c r="K35" s="18" t="s">
        <v>34</v>
      </c>
      <c r="L35" s="18" t="s">
        <v>70</v>
      </c>
      <c r="M35" s="18" t="s">
        <v>72</v>
      </c>
      <c r="N35" s="18" t="s">
        <v>293</v>
      </c>
      <c r="O35" s="18" t="s">
        <v>294</v>
      </c>
    </row>
    <row r="36" spans="1:15" ht="17" x14ac:dyDescent="0.2">
      <c r="A36" s="18" t="s">
        <v>203</v>
      </c>
      <c r="B36" t="s">
        <v>385</v>
      </c>
      <c r="C36" t="s">
        <v>384</v>
      </c>
      <c r="D36" t="s">
        <v>392</v>
      </c>
      <c r="E36" t="s">
        <v>395</v>
      </c>
      <c r="F36" s="18" t="s">
        <v>203</v>
      </c>
      <c r="G36" s="49">
        <f>VLOOKUP($A36,Master_Rack!$H$2:$N$265,5,FALSE)</f>
        <v>45</v>
      </c>
      <c r="H36" t="s">
        <v>247</v>
      </c>
      <c r="I36" t="s">
        <v>250</v>
      </c>
      <c r="J36" s="18" t="s">
        <v>32</v>
      </c>
      <c r="K36" s="18" t="s">
        <v>34</v>
      </c>
      <c r="L36" s="18" t="s">
        <v>70</v>
      </c>
      <c r="M36" s="18" t="s">
        <v>72</v>
      </c>
      <c r="N36" s="18" t="s">
        <v>293</v>
      </c>
      <c r="O36" s="18" t="s">
        <v>294</v>
      </c>
    </row>
    <row r="37" spans="1:15" ht="17" x14ac:dyDescent="0.2">
      <c r="A37" s="18" t="s">
        <v>204</v>
      </c>
      <c r="B37" t="s">
        <v>385</v>
      </c>
      <c r="C37" t="s">
        <v>384</v>
      </c>
      <c r="D37" t="s">
        <v>392</v>
      </c>
      <c r="E37" t="s">
        <v>395</v>
      </c>
      <c r="F37" s="18" t="s">
        <v>204</v>
      </c>
      <c r="G37" s="49">
        <f>VLOOKUP($A37,Master_Rack!$H$2:$N$265,5,FALSE)</f>
        <v>45</v>
      </c>
      <c r="H37" t="s">
        <v>247</v>
      </c>
      <c r="I37" t="s">
        <v>250</v>
      </c>
      <c r="J37" s="18" t="s">
        <v>33</v>
      </c>
      <c r="K37" s="18" t="s">
        <v>34</v>
      </c>
      <c r="L37" s="18" t="s">
        <v>70</v>
      </c>
      <c r="M37" s="18" t="s">
        <v>72</v>
      </c>
      <c r="N37" s="18" t="s">
        <v>293</v>
      </c>
      <c r="O37" s="18" t="s">
        <v>294</v>
      </c>
    </row>
    <row r="38" spans="1:15" ht="17" x14ac:dyDescent="0.2">
      <c r="A38" s="18" t="s">
        <v>206</v>
      </c>
      <c r="B38" t="s">
        <v>385</v>
      </c>
      <c r="C38" t="s">
        <v>384</v>
      </c>
      <c r="D38" t="s">
        <v>392</v>
      </c>
      <c r="E38" t="s">
        <v>395</v>
      </c>
      <c r="F38" s="18" t="s">
        <v>206</v>
      </c>
      <c r="G38" s="49">
        <f>VLOOKUP($A38,Master_Rack!$H$2:$N$265,5,FALSE)</f>
        <v>45</v>
      </c>
      <c r="H38" t="s">
        <v>247</v>
      </c>
      <c r="I38" t="s">
        <v>250</v>
      </c>
      <c r="J38" s="18" t="s">
        <v>32</v>
      </c>
      <c r="K38" s="18" t="s">
        <v>28</v>
      </c>
      <c r="L38" s="18" t="s">
        <v>70</v>
      </c>
      <c r="M38" s="18" t="s">
        <v>72</v>
      </c>
      <c r="N38" s="18" t="s">
        <v>293</v>
      </c>
      <c r="O38" s="18" t="s">
        <v>294</v>
      </c>
    </row>
    <row r="39" spans="1:15" ht="17" x14ac:dyDescent="0.2">
      <c r="A39" s="18" t="s">
        <v>207</v>
      </c>
      <c r="B39" t="s">
        <v>385</v>
      </c>
      <c r="C39" t="s">
        <v>384</v>
      </c>
      <c r="D39" t="s">
        <v>392</v>
      </c>
      <c r="E39" t="s">
        <v>395</v>
      </c>
      <c r="F39" s="18" t="s">
        <v>207</v>
      </c>
      <c r="G39" s="49">
        <f>VLOOKUP($A39,Master_Rack!$H$2:$N$265,5,FALSE)</f>
        <v>45</v>
      </c>
      <c r="H39" t="s">
        <v>247</v>
      </c>
      <c r="I39" t="s">
        <v>250</v>
      </c>
      <c r="J39" s="18" t="s">
        <v>33</v>
      </c>
      <c r="K39" s="18" t="s">
        <v>28</v>
      </c>
      <c r="L39" s="18" t="s">
        <v>70</v>
      </c>
      <c r="M39" s="18" t="s">
        <v>72</v>
      </c>
      <c r="N39" s="18" t="s">
        <v>293</v>
      </c>
      <c r="O39" s="18" t="s">
        <v>294</v>
      </c>
    </row>
    <row r="40" spans="1:15" ht="17" x14ac:dyDescent="0.2">
      <c r="A40" s="18" t="s">
        <v>208</v>
      </c>
      <c r="B40" t="s">
        <v>385</v>
      </c>
      <c r="C40" t="s">
        <v>384</v>
      </c>
      <c r="D40" t="s">
        <v>392</v>
      </c>
      <c r="E40" t="s">
        <v>395</v>
      </c>
      <c r="F40" s="18" t="s">
        <v>208</v>
      </c>
      <c r="G40" s="49">
        <f>VLOOKUP($A40,Master_Rack!$H$2:$N$265,5,FALSE)</f>
        <v>45</v>
      </c>
      <c r="H40" t="s">
        <v>247</v>
      </c>
      <c r="I40" t="s">
        <v>250</v>
      </c>
      <c r="J40" s="18" t="s">
        <v>32</v>
      </c>
      <c r="K40" s="18" t="s">
        <v>28</v>
      </c>
      <c r="L40" s="18" t="s">
        <v>70</v>
      </c>
      <c r="M40" s="18" t="s">
        <v>72</v>
      </c>
      <c r="N40" s="18" t="s">
        <v>293</v>
      </c>
      <c r="O40" s="18" t="s">
        <v>294</v>
      </c>
    </row>
    <row r="41" spans="1:15" ht="17" x14ac:dyDescent="0.2">
      <c r="A41" s="18" t="s">
        <v>209</v>
      </c>
      <c r="B41" t="s">
        <v>385</v>
      </c>
      <c r="C41" t="s">
        <v>384</v>
      </c>
      <c r="D41" t="s">
        <v>392</v>
      </c>
      <c r="E41" t="s">
        <v>395</v>
      </c>
      <c r="F41" s="18" t="s">
        <v>209</v>
      </c>
      <c r="G41" s="49">
        <f>VLOOKUP($A41,Master_Rack!$H$2:$N$265,5,FALSE)</f>
        <v>45</v>
      </c>
      <c r="H41" t="s">
        <v>247</v>
      </c>
      <c r="I41" t="s">
        <v>250</v>
      </c>
      <c r="J41" s="18" t="s">
        <v>33</v>
      </c>
      <c r="K41" s="18" t="s">
        <v>28</v>
      </c>
      <c r="L41" s="18" t="s">
        <v>70</v>
      </c>
      <c r="M41" s="18" t="s">
        <v>72</v>
      </c>
      <c r="N41" s="18" t="s">
        <v>293</v>
      </c>
      <c r="O41" s="18" t="s">
        <v>294</v>
      </c>
    </row>
    <row r="42" spans="1:15" ht="17" x14ac:dyDescent="0.2">
      <c r="A42" s="18" t="s">
        <v>210</v>
      </c>
      <c r="B42" t="s">
        <v>385</v>
      </c>
      <c r="C42" t="s">
        <v>384</v>
      </c>
      <c r="D42" t="s">
        <v>392</v>
      </c>
      <c r="E42" t="s">
        <v>395</v>
      </c>
      <c r="F42" s="18" t="s">
        <v>210</v>
      </c>
      <c r="G42" s="49">
        <f>VLOOKUP($A42,Master_Rack!$H$2:$N$265,5,FALSE)</f>
        <v>45</v>
      </c>
      <c r="H42" t="s">
        <v>247</v>
      </c>
      <c r="I42" t="s">
        <v>250</v>
      </c>
      <c r="J42" s="18" t="s">
        <v>32</v>
      </c>
      <c r="K42" s="18" t="s">
        <v>28</v>
      </c>
      <c r="L42" s="18" t="s">
        <v>70</v>
      </c>
      <c r="M42" s="18" t="s">
        <v>72</v>
      </c>
      <c r="N42" s="18" t="s">
        <v>293</v>
      </c>
      <c r="O42" s="18" t="s">
        <v>294</v>
      </c>
    </row>
    <row r="43" spans="1:15" ht="17" x14ac:dyDescent="0.2">
      <c r="A43" s="18" t="s">
        <v>211</v>
      </c>
      <c r="B43" t="s">
        <v>385</v>
      </c>
      <c r="C43" t="s">
        <v>384</v>
      </c>
      <c r="D43" t="s">
        <v>392</v>
      </c>
      <c r="E43" t="s">
        <v>395</v>
      </c>
      <c r="F43" s="18" t="s">
        <v>211</v>
      </c>
      <c r="G43" s="49">
        <f>VLOOKUP($A43,Master_Rack!$H$2:$N$265,5,FALSE)</f>
        <v>45</v>
      </c>
      <c r="H43" t="s">
        <v>247</v>
      </c>
      <c r="I43" t="s">
        <v>250</v>
      </c>
      <c r="J43" s="18" t="s">
        <v>33</v>
      </c>
      <c r="K43" s="18" t="s">
        <v>28</v>
      </c>
      <c r="L43" s="18" t="s">
        <v>70</v>
      </c>
      <c r="M43" s="18" t="s">
        <v>72</v>
      </c>
      <c r="N43" s="18" t="s">
        <v>293</v>
      </c>
      <c r="O43" s="18" t="s">
        <v>294</v>
      </c>
    </row>
    <row r="44" spans="1:15" ht="17" x14ac:dyDescent="0.2">
      <c r="A44" s="18" t="s">
        <v>212</v>
      </c>
      <c r="B44" t="s">
        <v>385</v>
      </c>
      <c r="C44" t="s">
        <v>384</v>
      </c>
      <c r="D44" t="s">
        <v>392</v>
      </c>
      <c r="E44" t="s">
        <v>395</v>
      </c>
      <c r="F44" s="18" t="s">
        <v>212</v>
      </c>
      <c r="G44" s="49">
        <f>VLOOKUP($A44,Master_Rack!$H$2:$N$265,5,FALSE)</f>
        <v>45</v>
      </c>
      <c r="H44" t="s">
        <v>247</v>
      </c>
      <c r="I44" t="s">
        <v>250</v>
      </c>
      <c r="J44" s="18" t="s">
        <v>32</v>
      </c>
      <c r="K44" s="18" t="s">
        <v>34</v>
      </c>
      <c r="L44" s="18" t="s">
        <v>70</v>
      </c>
      <c r="M44" s="18" t="s">
        <v>72</v>
      </c>
      <c r="N44" s="18" t="s">
        <v>293</v>
      </c>
      <c r="O44" s="18" t="s">
        <v>294</v>
      </c>
    </row>
    <row r="45" spans="1:15" ht="17" x14ac:dyDescent="0.2">
      <c r="A45" s="18" t="s">
        <v>213</v>
      </c>
      <c r="B45" t="s">
        <v>385</v>
      </c>
      <c r="C45" t="s">
        <v>384</v>
      </c>
      <c r="D45" t="s">
        <v>392</v>
      </c>
      <c r="E45" t="s">
        <v>395</v>
      </c>
      <c r="F45" s="18" t="s">
        <v>213</v>
      </c>
      <c r="G45" s="49">
        <f>VLOOKUP($A45,Master_Rack!$H$2:$N$265,5,FALSE)</f>
        <v>45</v>
      </c>
      <c r="H45" t="s">
        <v>247</v>
      </c>
      <c r="I45" t="s">
        <v>250</v>
      </c>
      <c r="J45" s="18" t="s">
        <v>33</v>
      </c>
      <c r="K45" s="18" t="s">
        <v>34</v>
      </c>
      <c r="L45" s="18" t="s">
        <v>70</v>
      </c>
      <c r="M45" s="18" t="s">
        <v>72</v>
      </c>
      <c r="N45" s="18" t="s">
        <v>293</v>
      </c>
      <c r="O45" s="18" t="s">
        <v>294</v>
      </c>
    </row>
    <row r="46" spans="1:15" ht="17" x14ac:dyDescent="0.2">
      <c r="A46" s="18" t="s">
        <v>214</v>
      </c>
      <c r="B46" t="s">
        <v>385</v>
      </c>
      <c r="C46" t="s">
        <v>384</v>
      </c>
      <c r="D46" t="s">
        <v>392</v>
      </c>
      <c r="E46" t="s">
        <v>395</v>
      </c>
      <c r="F46" s="18" t="s">
        <v>214</v>
      </c>
      <c r="G46" s="49">
        <f>VLOOKUP($A46,Master_Rack!$H$2:$N$265,5,FALSE)</f>
        <v>45</v>
      </c>
      <c r="H46" t="s">
        <v>247</v>
      </c>
      <c r="I46" t="s">
        <v>250</v>
      </c>
      <c r="J46" s="18" t="s">
        <v>32</v>
      </c>
      <c r="K46" s="18" t="s">
        <v>34</v>
      </c>
      <c r="L46" s="18" t="s">
        <v>70</v>
      </c>
      <c r="M46" s="18" t="s">
        <v>72</v>
      </c>
      <c r="N46" s="18" t="s">
        <v>293</v>
      </c>
      <c r="O46" s="18" t="s">
        <v>294</v>
      </c>
    </row>
    <row r="47" spans="1:15" ht="17" x14ac:dyDescent="0.2">
      <c r="A47" s="18" t="s">
        <v>215</v>
      </c>
      <c r="B47" t="s">
        <v>385</v>
      </c>
      <c r="C47" t="s">
        <v>384</v>
      </c>
      <c r="D47" t="s">
        <v>392</v>
      </c>
      <c r="E47" t="s">
        <v>395</v>
      </c>
      <c r="F47" s="18" t="s">
        <v>215</v>
      </c>
      <c r="G47" s="49">
        <f>VLOOKUP($A47,Master_Rack!$H$2:$N$265,5,FALSE)</f>
        <v>45</v>
      </c>
      <c r="H47" t="s">
        <v>247</v>
      </c>
      <c r="I47" t="s">
        <v>250</v>
      </c>
      <c r="J47" s="18" t="s">
        <v>33</v>
      </c>
      <c r="K47" s="18" t="s">
        <v>34</v>
      </c>
      <c r="L47" s="18" t="s">
        <v>70</v>
      </c>
      <c r="M47" s="18" t="s">
        <v>72</v>
      </c>
      <c r="N47" s="18" t="s">
        <v>293</v>
      </c>
      <c r="O47" s="18" t="s">
        <v>294</v>
      </c>
    </row>
    <row r="48" spans="1:15" ht="17" x14ac:dyDescent="0.2">
      <c r="A48" s="18" t="s">
        <v>216</v>
      </c>
      <c r="B48" t="s">
        <v>385</v>
      </c>
      <c r="C48" t="s">
        <v>384</v>
      </c>
      <c r="D48" t="s">
        <v>392</v>
      </c>
      <c r="E48" t="s">
        <v>395</v>
      </c>
      <c r="F48" s="18" t="s">
        <v>216</v>
      </c>
      <c r="G48" s="49">
        <f>VLOOKUP($A48,Master_Rack!$H$2:$N$265,5,FALSE)</f>
        <v>45</v>
      </c>
      <c r="H48" t="s">
        <v>247</v>
      </c>
      <c r="I48" t="s">
        <v>250</v>
      </c>
      <c r="J48" s="18" t="s">
        <v>32</v>
      </c>
      <c r="K48" s="18" t="s">
        <v>34</v>
      </c>
      <c r="L48" s="18" t="s">
        <v>70</v>
      </c>
      <c r="M48" s="18" t="s">
        <v>72</v>
      </c>
      <c r="N48" s="18" t="s">
        <v>293</v>
      </c>
      <c r="O48" s="18" t="s">
        <v>294</v>
      </c>
    </row>
    <row r="49" spans="1:15" ht="17" x14ac:dyDescent="0.2">
      <c r="A49" s="18" t="s">
        <v>217</v>
      </c>
      <c r="B49" t="s">
        <v>385</v>
      </c>
      <c r="C49" t="s">
        <v>384</v>
      </c>
      <c r="D49" t="s">
        <v>392</v>
      </c>
      <c r="E49" t="s">
        <v>395</v>
      </c>
      <c r="F49" s="18" t="s">
        <v>217</v>
      </c>
      <c r="G49" s="49">
        <f>VLOOKUP($A49,Master_Rack!$H$2:$N$265,5,FALSE)</f>
        <v>45</v>
      </c>
      <c r="H49" t="s">
        <v>247</v>
      </c>
      <c r="I49" t="s">
        <v>250</v>
      </c>
      <c r="J49" s="18" t="s">
        <v>33</v>
      </c>
      <c r="K49" s="18" t="s">
        <v>34</v>
      </c>
      <c r="L49" s="18" t="s">
        <v>70</v>
      </c>
      <c r="M49" s="18" t="s">
        <v>72</v>
      </c>
      <c r="N49" s="18" t="s">
        <v>293</v>
      </c>
      <c r="O49" s="18" t="s">
        <v>294</v>
      </c>
    </row>
    <row r="50" spans="1:15" ht="17" x14ac:dyDescent="0.2">
      <c r="A50" s="18" t="s">
        <v>220</v>
      </c>
      <c r="B50" t="s">
        <v>385</v>
      </c>
      <c r="C50" t="s">
        <v>384</v>
      </c>
      <c r="D50" t="s">
        <v>392</v>
      </c>
      <c r="E50" t="s">
        <v>395</v>
      </c>
      <c r="F50" s="18" t="s">
        <v>220</v>
      </c>
      <c r="G50" s="49">
        <f>VLOOKUP($A50,Master_Rack!$H$2:$N$265,5,FALSE)</f>
        <v>45</v>
      </c>
      <c r="H50" t="s">
        <v>247</v>
      </c>
      <c r="I50" t="s">
        <v>251</v>
      </c>
      <c r="J50" s="18" t="s">
        <v>32</v>
      </c>
      <c r="K50" s="18" t="s">
        <v>29</v>
      </c>
      <c r="L50" s="18" t="s">
        <v>70</v>
      </c>
      <c r="M50" s="18" t="s">
        <v>72</v>
      </c>
      <c r="N50" s="18" t="s">
        <v>293</v>
      </c>
      <c r="O50" s="18" t="s">
        <v>294</v>
      </c>
    </row>
    <row r="51" spans="1:15" ht="17" x14ac:dyDescent="0.2">
      <c r="A51" s="18" t="s">
        <v>221</v>
      </c>
      <c r="B51" t="s">
        <v>385</v>
      </c>
      <c r="C51" t="s">
        <v>384</v>
      </c>
      <c r="D51" t="s">
        <v>392</v>
      </c>
      <c r="E51" t="s">
        <v>395</v>
      </c>
      <c r="F51" s="18" t="s">
        <v>221</v>
      </c>
      <c r="G51" s="49">
        <f>VLOOKUP($A51,Master_Rack!$H$2:$N$265,5,FALSE)</f>
        <v>45</v>
      </c>
      <c r="H51" t="s">
        <v>247</v>
      </c>
      <c r="I51" t="s">
        <v>251</v>
      </c>
      <c r="J51" s="18" t="s">
        <v>33</v>
      </c>
      <c r="K51" s="18" t="s">
        <v>29</v>
      </c>
      <c r="L51" s="18" t="s">
        <v>70</v>
      </c>
      <c r="M51" s="18" t="s">
        <v>72</v>
      </c>
      <c r="N51" s="18" t="s">
        <v>293</v>
      </c>
      <c r="O51" s="18" t="s">
        <v>294</v>
      </c>
    </row>
    <row r="52" spans="1:15" ht="17" x14ac:dyDescent="0.2">
      <c r="A52" s="18" t="s">
        <v>222</v>
      </c>
      <c r="B52" t="s">
        <v>385</v>
      </c>
      <c r="C52" t="s">
        <v>384</v>
      </c>
      <c r="D52" t="s">
        <v>392</v>
      </c>
      <c r="E52" t="s">
        <v>395</v>
      </c>
      <c r="F52" s="18" t="s">
        <v>222</v>
      </c>
      <c r="G52" s="49">
        <f>VLOOKUP($A52,Master_Rack!$H$2:$N$265,5,FALSE)</f>
        <v>45</v>
      </c>
      <c r="H52" t="s">
        <v>247</v>
      </c>
      <c r="I52" t="s">
        <v>251</v>
      </c>
      <c r="J52" s="18" t="s">
        <v>32</v>
      </c>
      <c r="K52" s="18" t="s">
        <v>29</v>
      </c>
      <c r="L52" s="18" t="s">
        <v>70</v>
      </c>
      <c r="M52" s="18" t="s">
        <v>72</v>
      </c>
      <c r="N52" s="18" t="s">
        <v>293</v>
      </c>
      <c r="O52" s="18" t="s">
        <v>294</v>
      </c>
    </row>
    <row r="53" spans="1:15" ht="17" x14ac:dyDescent="0.2">
      <c r="A53" s="18" t="s">
        <v>223</v>
      </c>
      <c r="B53" t="s">
        <v>385</v>
      </c>
      <c r="C53" t="s">
        <v>384</v>
      </c>
      <c r="D53" t="s">
        <v>392</v>
      </c>
      <c r="E53" t="s">
        <v>395</v>
      </c>
      <c r="F53" s="18" t="s">
        <v>223</v>
      </c>
      <c r="G53" s="49">
        <f>VLOOKUP($A53,Master_Rack!$H$2:$N$265,5,FALSE)</f>
        <v>45</v>
      </c>
      <c r="H53" t="s">
        <v>247</v>
      </c>
      <c r="I53" t="s">
        <v>251</v>
      </c>
      <c r="J53" s="18" t="s">
        <v>33</v>
      </c>
      <c r="K53" s="18" t="s">
        <v>29</v>
      </c>
      <c r="L53" s="18" t="s">
        <v>70</v>
      </c>
      <c r="M53" s="18" t="s">
        <v>72</v>
      </c>
      <c r="N53" s="18" t="s">
        <v>293</v>
      </c>
      <c r="O53" s="18" t="s">
        <v>294</v>
      </c>
    </row>
    <row r="54" spans="1:15" ht="17" x14ac:dyDescent="0.2">
      <c r="A54" s="18" t="s">
        <v>224</v>
      </c>
      <c r="B54" t="s">
        <v>385</v>
      </c>
      <c r="C54" t="s">
        <v>384</v>
      </c>
      <c r="D54" t="s">
        <v>392</v>
      </c>
      <c r="E54" t="s">
        <v>395</v>
      </c>
      <c r="F54" s="18" t="s">
        <v>224</v>
      </c>
      <c r="G54" s="49">
        <f>VLOOKUP($A54,Master_Rack!$H$2:$N$265,5,FALSE)</f>
        <v>45</v>
      </c>
      <c r="H54" t="s">
        <v>247</v>
      </c>
      <c r="I54" t="s">
        <v>251</v>
      </c>
      <c r="J54" s="18" t="s">
        <v>32</v>
      </c>
      <c r="K54" s="18" t="s">
        <v>29</v>
      </c>
      <c r="L54" s="18" t="s">
        <v>70</v>
      </c>
      <c r="M54" s="18" t="s">
        <v>72</v>
      </c>
      <c r="N54" s="18" t="s">
        <v>293</v>
      </c>
      <c r="O54" s="18" t="s">
        <v>294</v>
      </c>
    </row>
    <row r="55" spans="1:15" ht="17" x14ac:dyDescent="0.2">
      <c r="A55" s="18" t="s">
        <v>225</v>
      </c>
      <c r="B55" t="s">
        <v>385</v>
      </c>
      <c r="C55" t="s">
        <v>384</v>
      </c>
      <c r="D55" t="s">
        <v>392</v>
      </c>
      <c r="E55" t="s">
        <v>395</v>
      </c>
      <c r="F55" s="18" t="s">
        <v>225</v>
      </c>
      <c r="G55" s="49">
        <f>VLOOKUP($A55,Master_Rack!$H$2:$N$265,5,FALSE)</f>
        <v>45</v>
      </c>
      <c r="H55" t="s">
        <v>247</v>
      </c>
      <c r="I55" t="s">
        <v>251</v>
      </c>
      <c r="J55" s="18" t="s">
        <v>33</v>
      </c>
      <c r="K55" s="18" t="s">
        <v>29</v>
      </c>
      <c r="L55" s="18" t="s">
        <v>70</v>
      </c>
      <c r="M55" s="18" t="s">
        <v>72</v>
      </c>
      <c r="N55" s="18" t="s">
        <v>293</v>
      </c>
      <c r="O55" s="18" t="s">
        <v>294</v>
      </c>
    </row>
    <row r="56" spans="1:15" ht="17" x14ac:dyDescent="0.2">
      <c r="A56" s="18" t="s">
        <v>226</v>
      </c>
      <c r="B56" t="s">
        <v>385</v>
      </c>
      <c r="C56" t="s">
        <v>384</v>
      </c>
      <c r="D56" t="s">
        <v>392</v>
      </c>
      <c r="E56" t="s">
        <v>395</v>
      </c>
      <c r="F56" s="18" t="s">
        <v>226</v>
      </c>
      <c r="G56" s="49">
        <f>VLOOKUP($A56,Master_Rack!$H$2:$N$265,5,FALSE)</f>
        <v>45</v>
      </c>
      <c r="H56" t="s">
        <v>247</v>
      </c>
      <c r="I56" t="s">
        <v>251</v>
      </c>
      <c r="J56" s="18" t="s">
        <v>32</v>
      </c>
      <c r="K56" s="18" t="s">
        <v>34</v>
      </c>
      <c r="L56" s="18" t="s">
        <v>70</v>
      </c>
      <c r="M56" s="18" t="s">
        <v>72</v>
      </c>
      <c r="N56" s="18" t="s">
        <v>293</v>
      </c>
      <c r="O56" s="18" t="s">
        <v>294</v>
      </c>
    </row>
    <row r="57" spans="1:15" ht="17" x14ac:dyDescent="0.2">
      <c r="A57" s="18" t="s">
        <v>227</v>
      </c>
      <c r="B57" t="s">
        <v>385</v>
      </c>
      <c r="C57" t="s">
        <v>384</v>
      </c>
      <c r="D57" t="s">
        <v>392</v>
      </c>
      <c r="E57" t="s">
        <v>395</v>
      </c>
      <c r="F57" s="18" t="s">
        <v>227</v>
      </c>
      <c r="G57" s="49">
        <f>VLOOKUP($A57,Master_Rack!$H$2:$N$265,5,FALSE)</f>
        <v>45</v>
      </c>
      <c r="H57" t="s">
        <v>247</v>
      </c>
      <c r="I57" t="s">
        <v>251</v>
      </c>
      <c r="J57" s="18" t="s">
        <v>33</v>
      </c>
      <c r="K57" s="18" t="s">
        <v>34</v>
      </c>
      <c r="L57" s="18" t="s">
        <v>70</v>
      </c>
      <c r="M57" s="18" t="s">
        <v>72</v>
      </c>
      <c r="N57" s="18" t="s">
        <v>293</v>
      </c>
      <c r="O57" s="18" t="s">
        <v>294</v>
      </c>
    </row>
    <row r="58" spans="1:15" ht="17" x14ac:dyDescent="0.2">
      <c r="A58" s="18" t="s">
        <v>228</v>
      </c>
      <c r="B58" t="s">
        <v>385</v>
      </c>
      <c r="C58" t="s">
        <v>384</v>
      </c>
      <c r="D58" t="s">
        <v>392</v>
      </c>
      <c r="E58" t="s">
        <v>395</v>
      </c>
      <c r="F58" s="18" t="s">
        <v>228</v>
      </c>
      <c r="G58" s="49">
        <f>VLOOKUP($A58,Master_Rack!$H$2:$N$265,5,FALSE)</f>
        <v>45</v>
      </c>
      <c r="H58" t="s">
        <v>247</v>
      </c>
      <c r="I58" t="s">
        <v>251</v>
      </c>
      <c r="J58" s="18" t="s">
        <v>32</v>
      </c>
      <c r="K58" s="18" t="s">
        <v>34</v>
      </c>
      <c r="L58" s="18" t="s">
        <v>70</v>
      </c>
      <c r="M58" s="18" t="s">
        <v>72</v>
      </c>
      <c r="N58" s="18" t="s">
        <v>293</v>
      </c>
      <c r="O58" s="18" t="s">
        <v>294</v>
      </c>
    </row>
    <row r="59" spans="1:15" ht="17" x14ac:dyDescent="0.2">
      <c r="A59" s="18" t="s">
        <v>229</v>
      </c>
      <c r="B59" t="s">
        <v>385</v>
      </c>
      <c r="C59" t="s">
        <v>384</v>
      </c>
      <c r="D59" t="s">
        <v>392</v>
      </c>
      <c r="E59" t="s">
        <v>395</v>
      </c>
      <c r="F59" s="18" t="s">
        <v>229</v>
      </c>
      <c r="G59" s="49">
        <f>VLOOKUP($A59,Master_Rack!$H$2:$N$265,5,FALSE)</f>
        <v>45</v>
      </c>
      <c r="H59" t="s">
        <v>247</v>
      </c>
      <c r="I59" t="s">
        <v>251</v>
      </c>
      <c r="J59" s="18" t="s">
        <v>33</v>
      </c>
      <c r="K59" s="18" t="s">
        <v>34</v>
      </c>
      <c r="L59" s="18" t="s">
        <v>70</v>
      </c>
      <c r="M59" s="18" t="s">
        <v>72</v>
      </c>
      <c r="N59" s="18" t="s">
        <v>293</v>
      </c>
      <c r="O59" s="18" t="s">
        <v>294</v>
      </c>
    </row>
    <row r="60" spans="1:15" ht="17" x14ac:dyDescent="0.2">
      <c r="A60" s="18" t="s">
        <v>230</v>
      </c>
      <c r="B60" t="s">
        <v>385</v>
      </c>
      <c r="C60" t="s">
        <v>384</v>
      </c>
      <c r="D60" t="s">
        <v>392</v>
      </c>
      <c r="E60" t="s">
        <v>395</v>
      </c>
      <c r="F60" s="18" t="s">
        <v>230</v>
      </c>
      <c r="G60" s="49">
        <f>VLOOKUP($A60,Master_Rack!$H$2:$N$265,5,FALSE)</f>
        <v>45</v>
      </c>
      <c r="H60" t="s">
        <v>247</v>
      </c>
      <c r="I60" t="s">
        <v>251</v>
      </c>
      <c r="J60" s="18" t="s">
        <v>32</v>
      </c>
      <c r="K60" s="18" t="s">
        <v>34</v>
      </c>
      <c r="L60" s="18" t="s">
        <v>70</v>
      </c>
      <c r="M60" s="18" t="s">
        <v>72</v>
      </c>
      <c r="N60" s="18" t="s">
        <v>293</v>
      </c>
      <c r="O60" s="18" t="s">
        <v>294</v>
      </c>
    </row>
    <row r="61" spans="1:15" ht="17" x14ac:dyDescent="0.2">
      <c r="A61" s="18" t="s">
        <v>231</v>
      </c>
      <c r="B61" t="s">
        <v>385</v>
      </c>
      <c r="C61" t="s">
        <v>384</v>
      </c>
      <c r="D61" t="s">
        <v>392</v>
      </c>
      <c r="E61" t="s">
        <v>395</v>
      </c>
      <c r="F61" s="18" t="s">
        <v>231</v>
      </c>
      <c r="G61" s="49">
        <f>VLOOKUP($A61,Master_Rack!$H$2:$N$265,5,FALSE)</f>
        <v>45</v>
      </c>
      <c r="H61" t="s">
        <v>247</v>
      </c>
      <c r="I61" t="s">
        <v>251</v>
      </c>
      <c r="J61" s="18" t="s">
        <v>33</v>
      </c>
      <c r="K61" s="18" t="s">
        <v>34</v>
      </c>
      <c r="L61" s="18" t="s">
        <v>70</v>
      </c>
      <c r="M61" s="18" t="s">
        <v>72</v>
      </c>
      <c r="N61" s="18" t="s">
        <v>293</v>
      </c>
      <c r="O61" s="18" t="s">
        <v>294</v>
      </c>
    </row>
    <row r="62" spans="1:15" ht="17" x14ac:dyDescent="0.2">
      <c r="A62" s="18" t="s">
        <v>233</v>
      </c>
      <c r="B62" t="s">
        <v>385</v>
      </c>
      <c r="C62" t="s">
        <v>384</v>
      </c>
      <c r="D62" t="s">
        <v>392</v>
      </c>
      <c r="E62" t="s">
        <v>395</v>
      </c>
      <c r="F62" s="18" t="s">
        <v>233</v>
      </c>
      <c r="G62" s="49">
        <f>VLOOKUP($A62,Master_Rack!$H$2:$N$265,5,FALSE)</f>
        <v>45</v>
      </c>
      <c r="H62" t="s">
        <v>247</v>
      </c>
      <c r="I62" t="s">
        <v>251</v>
      </c>
      <c r="J62" s="18" t="s">
        <v>32</v>
      </c>
      <c r="K62" s="18" t="s">
        <v>28</v>
      </c>
      <c r="L62" s="18" t="s">
        <v>70</v>
      </c>
      <c r="M62" s="18" t="s">
        <v>72</v>
      </c>
      <c r="N62" s="18" t="s">
        <v>293</v>
      </c>
      <c r="O62" s="18" t="s">
        <v>294</v>
      </c>
    </row>
    <row r="63" spans="1:15" ht="17" x14ac:dyDescent="0.2">
      <c r="A63" s="18" t="s">
        <v>234</v>
      </c>
      <c r="B63" t="s">
        <v>385</v>
      </c>
      <c r="C63" t="s">
        <v>384</v>
      </c>
      <c r="D63" t="s">
        <v>392</v>
      </c>
      <c r="E63" t="s">
        <v>395</v>
      </c>
      <c r="F63" s="18" t="s">
        <v>234</v>
      </c>
      <c r="G63" s="49">
        <f>VLOOKUP($A63,Master_Rack!$H$2:$N$265,5,FALSE)</f>
        <v>45</v>
      </c>
      <c r="H63" t="s">
        <v>247</v>
      </c>
      <c r="I63" t="s">
        <v>251</v>
      </c>
      <c r="J63" s="18" t="s">
        <v>33</v>
      </c>
      <c r="K63" s="18" t="s">
        <v>28</v>
      </c>
      <c r="L63" s="18" t="s">
        <v>70</v>
      </c>
      <c r="M63" s="18" t="s">
        <v>72</v>
      </c>
      <c r="N63" s="18" t="s">
        <v>293</v>
      </c>
      <c r="O63" s="18" t="s">
        <v>294</v>
      </c>
    </row>
    <row r="64" spans="1:15" ht="17" x14ac:dyDescent="0.2">
      <c r="A64" s="18" t="s">
        <v>235</v>
      </c>
      <c r="B64" t="s">
        <v>385</v>
      </c>
      <c r="C64" t="s">
        <v>384</v>
      </c>
      <c r="D64" t="s">
        <v>392</v>
      </c>
      <c r="E64" t="s">
        <v>395</v>
      </c>
      <c r="F64" s="18" t="s">
        <v>235</v>
      </c>
      <c r="G64" s="49">
        <f>VLOOKUP($A64,Master_Rack!$H$2:$N$265,5,FALSE)</f>
        <v>45</v>
      </c>
      <c r="H64" t="s">
        <v>247</v>
      </c>
      <c r="I64" t="s">
        <v>251</v>
      </c>
      <c r="J64" s="18" t="s">
        <v>32</v>
      </c>
      <c r="K64" s="18" t="s">
        <v>28</v>
      </c>
      <c r="L64" s="18" t="s">
        <v>70</v>
      </c>
      <c r="M64" s="18" t="s">
        <v>72</v>
      </c>
      <c r="N64" s="18" t="s">
        <v>293</v>
      </c>
      <c r="O64" s="18" t="s">
        <v>294</v>
      </c>
    </row>
    <row r="65" spans="1:15" ht="17" x14ac:dyDescent="0.2">
      <c r="A65" s="18" t="s">
        <v>236</v>
      </c>
      <c r="B65" t="s">
        <v>385</v>
      </c>
      <c r="C65" t="s">
        <v>384</v>
      </c>
      <c r="D65" t="s">
        <v>392</v>
      </c>
      <c r="E65" t="s">
        <v>395</v>
      </c>
      <c r="F65" s="18" t="s">
        <v>236</v>
      </c>
      <c r="G65" s="49">
        <f>VLOOKUP($A65,Master_Rack!$H$2:$N$265,5,FALSE)</f>
        <v>45</v>
      </c>
      <c r="H65" t="s">
        <v>247</v>
      </c>
      <c r="I65" t="s">
        <v>251</v>
      </c>
      <c r="J65" s="18" t="s">
        <v>33</v>
      </c>
      <c r="K65" s="18" t="s">
        <v>28</v>
      </c>
      <c r="L65" s="18" t="s">
        <v>70</v>
      </c>
      <c r="M65" s="18" t="s">
        <v>72</v>
      </c>
      <c r="N65" s="18" t="s">
        <v>293</v>
      </c>
      <c r="O65" s="18" t="s">
        <v>294</v>
      </c>
    </row>
    <row r="66" spans="1:15" ht="17" x14ac:dyDescent="0.2">
      <c r="A66" s="18" t="s">
        <v>237</v>
      </c>
      <c r="B66" t="s">
        <v>385</v>
      </c>
      <c r="C66" t="s">
        <v>384</v>
      </c>
      <c r="D66" t="s">
        <v>392</v>
      </c>
      <c r="E66" t="s">
        <v>395</v>
      </c>
      <c r="F66" s="18" t="s">
        <v>237</v>
      </c>
      <c r="G66" s="49">
        <f>VLOOKUP($A66,Master_Rack!$H$2:$N$265,5,FALSE)</f>
        <v>45</v>
      </c>
      <c r="H66" t="s">
        <v>247</v>
      </c>
      <c r="I66" t="s">
        <v>251</v>
      </c>
      <c r="J66" s="18" t="s">
        <v>32</v>
      </c>
      <c r="K66" s="18" t="s">
        <v>28</v>
      </c>
      <c r="L66" s="18" t="s">
        <v>70</v>
      </c>
      <c r="M66" s="18" t="s">
        <v>72</v>
      </c>
      <c r="N66" s="18" t="s">
        <v>293</v>
      </c>
      <c r="O66" s="18" t="s">
        <v>294</v>
      </c>
    </row>
    <row r="67" spans="1:15" ht="17" x14ac:dyDescent="0.2">
      <c r="A67" s="18" t="s">
        <v>238</v>
      </c>
      <c r="B67" t="s">
        <v>385</v>
      </c>
      <c r="C67" t="s">
        <v>384</v>
      </c>
      <c r="D67" t="s">
        <v>392</v>
      </c>
      <c r="E67" t="s">
        <v>395</v>
      </c>
      <c r="F67" s="18" t="s">
        <v>238</v>
      </c>
      <c r="G67" s="49">
        <f>VLOOKUP($A67,Master_Rack!$H$2:$N$265,5,FALSE)</f>
        <v>45</v>
      </c>
      <c r="H67" t="s">
        <v>247</v>
      </c>
      <c r="I67" t="s">
        <v>251</v>
      </c>
      <c r="J67" s="18" t="s">
        <v>33</v>
      </c>
      <c r="K67" s="18" t="s">
        <v>28</v>
      </c>
      <c r="L67" s="18" t="s">
        <v>70</v>
      </c>
      <c r="M67" s="18" t="s">
        <v>72</v>
      </c>
      <c r="N67" s="18" t="s">
        <v>293</v>
      </c>
      <c r="O67" s="18" t="s">
        <v>294</v>
      </c>
    </row>
    <row r="68" spans="1:15" ht="17" x14ac:dyDescent="0.2">
      <c r="A68" s="18" t="s">
        <v>239</v>
      </c>
      <c r="B68" t="s">
        <v>385</v>
      </c>
      <c r="C68" t="s">
        <v>384</v>
      </c>
      <c r="D68" t="s">
        <v>392</v>
      </c>
      <c r="E68" t="s">
        <v>395</v>
      </c>
      <c r="F68" s="18" t="s">
        <v>239</v>
      </c>
      <c r="G68" s="49">
        <f>VLOOKUP($A68,Master_Rack!$H$2:$N$265,5,FALSE)</f>
        <v>45</v>
      </c>
      <c r="H68" t="s">
        <v>247</v>
      </c>
      <c r="I68" t="s">
        <v>251</v>
      </c>
      <c r="J68" s="18" t="s">
        <v>32</v>
      </c>
      <c r="K68" s="18" t="s">
        <v>34</v>
      </c>
      <c r="L68" s="18" t="s">
        <v>70</v>
      </c>
      <c r="M68" s="18" t="s">
        <v>72</v>
      </c>
      <c r="N68" s="18" t="s">
        <v>293</v>
      </c>
      <c r="O68" s="18" t="s">
        <v>294</v>
      </c>
    </row>
    <row r="69" spans="1:15" ht="17" x14ac:dyDescent="0.2">
      <c r="A69" s="18" t="s">
        <v>240</v>
      </c>
      <c r="B69" t="s">
        <v>385</v>
      </c>
      <c r="C69" t="s">
        <v>384</v>
      </c>
      <c r="D69" t="s">
        <v>392</v>
      </c>
      <c r="E69" t="s">
        <v>395</v>
      </c>
      <c r="F69" s="18" t="s">
        <v>240</v>
      </c>
      <c r="G69" s="49">
        <f>VLOOKUP($A69,Master_Rack!$H$2:$N$265,5,FALSE)</f>
        <v>45</v>
      </c>
      <c r="H69" t="s">
        <v>247</v>
      </c>
      <c r="I69" t="s">
        <v>251</v>
      </c>
      <c r="J69" s="18" t="s">
        <v>33</v>
      </c>
      <c r="K69" s="18" t="s">
        <v>34</v>
      </c>
      <c r="L69" s="18" t="s">
        <v>70</v>
      </c>
      <c r="M69" s="18" t="s">
        <v>72</v>
      </c>
      <c r="N69" s="18" t="s">
        <v>293</v>
      </c>
      <c r="O69" s="18" t="s">
        <v>294</v>
      </c>
    </row>
    <row r="70" spans="1:15" ht="17" x14ac:dyDescent="0.2">
      <c r="A70" s="18" t="s">
        <v>241</v>
      </c>
      <c r="B70" t="s">
        <v>385</v>
      </c>
      <c r="C70" t="s">
        <v>384</v>
      </c>
      <c r="D70" t="s">
        <v>392</v>
      </c>
      <c r="E70" t="s">
        <v>395</v>
      </c>
      <c r="F70" s="18" t="s">
        <v>241</v>
      </c>
      <c r="G70" s="49">
        <f>VLOOKUP($A70,Master_Rack!$H$2:$N$265,5,FALSE)</f>
        <v>45</v>
      </c>
      <c r="H70" t="s">
        <v>247</v>
      </c>
      <c r="I70" t="s">
        <v>251</v>
      </c>
      <c r="J70" s="18" t="s">
        <v>32</v>
      </c>
      <c r="K70" s="18" t="s">
        <v>34</v>
      </c>
      <c r="L70" s="18" t="s">
        <v>70</v>
      </c>
      <c r="M70" s="18" t="s">
        <v>72</v>
      </c>
      <c r="N70" s="18" t="s">
        <v>293</v>
      </c>
      <c r="O70" s="18" t="s">
        <v>294</v>
      </c>
    </row>
    <row r="71" spans="1:15" ht="17" x14ac:dyDescent="0.2">
      <c r="A71" s="18" t="s">
        <v>242</v>
      </c>
      <c r="B71" t="s">
        <v>385</v>
      </c>
      <c r="C71" t="s">
        <v>384</v>
      </c>
      <c r="D71" t="s">
        <v>392</v>
      </c>
      <c r="E71" t="s">
        <v>395</v>
      </c>
      <c r="F71" s="18" t="s">
        <v>242</v>
      </c>
      <c r="G71" s="49">
        <f>VLOOKUP($A71,Master_Rack!$H$2:$N$265,5,FALSE)</f>
        <v>45</v>
      </c>
      <c r="H71" t="s">
        <v>247</v>
      </c>
      <c r="I71" t="s">
        <v>251</v>
      </c>
      <c r="J71" s="18" t="s">
        <v>33</v>
      </c>
      <c r="K71" s="18" t="s">
        <v>34</v>
      </c>
      <c r="L71" s="18" t="s">
        <v>70</v>
      </c>
      <c r="M71" s="18" t="s">
        <v>72</v>
      </c>
      <c r="N71" s="18" t="s">
        <v>293</v>
      </c>
      <c r="O71" s="18" t="s">
        <v>294</v>
      </c>
    </row>
    <row r="72" spans="1:15" ht="17" x14ac:dyDescent="0.2">
      <c r="A72" s="18" t="s">
        <v>243</v>
      </c>
      <c r="B72" t="s">
        <v>385</v>
      </c>
      <c r="C72" t="s">
        <v>384</v>
      </c>
      <c r="D72" t="s">
        <v>392</v>
      </c>
      <c r="E72" t="s">
        <v>395</v>
      </c>
      <c r="F72" s="18" t="s">
        <v>243</v>
      </c>
      <c r="G72" s="49">
        <f>VLOOKUP($A72,Master_Rack!$H$2:$N$265,5,FALSE)</f>
        <v>45</v>
      </c>
      <c r="H72" t="s">
        <v>247</v>
      </c>
      <c r="I72" t="s">
        <v>251</v>
      </c>
      <c r="J72" s="18" t="s">
        <v>32</v>
      </c>
      <c r="K72" s="18" t="s">
        <v>34</v>
      </c>
      <c r="L72" s="18" t="s">
        <v>70</v>
      </c>
      <c r="M72" s="18" t="s">
        <v>72</v>
      </c>
      <c r="N72" s="18" t="s">
        <v>293</v>
      </c>
      <c r="O72" s="18" t="s">
        <v>294</v>
      </c>
    </row>
    <row r="73" spans="1:15" ht="17" x14ac:dyDescent="0.2">
      <c r="A73" s="18" t="s">
        <v>244</v>
      </c>
      <c r="B73" t="s">
        <v>385</v>
      </c>
      <c r="C73" t="s">
        <v>384</v>
      </c>
      <c r="D73" t="s">
        <v>392</v>
      </c>
      <c r="E73" t="s">
        <v>395</v>
      </c>
      <c r="F73" s="18" t="s">
        <v>244</v>
      </c>
      <c r="G73" s="49">
        <f>VLOOKUP($A73,Master_Rack!$H$2:$N$265,5,FALSE)</f>
        <v>45</v>
      </c>
      <c r="H73" t="s">
        <v>247</v>
      </c>
      <c r="I73" t="s">
        <v>251</v>
      </c>
      <c r="J73" s="18" t="s">
        <v>33</v>
      </c>
      <c r="K73" s="18" t="s">
        <v>34</v>
      </c>
      <c r="L73" s="18" t="s">
        <v>70</v>
      </c>
      <c r="M73" s="18" t="s">
        <v>72</v>
      </c>
      <c r="N73" s="18" t="s">
        <v>293</v>
      </c>
      <c r="O73" s="18" t="s">
        <v>294</v>
      </c>
    </row>
    <row r="74" spans="1:15" ht="17" x14ac:dyDescent="0.2">
      <c r="A74" s="18" t="s">
        <v>85</v>
      </c>
      <c r="B74" t="s">
        <v>385</v>
      </c>
      <c r="C74" t="s">
        <v>384</v>
      </c>
      <c r="D74" t="s">
        <v>392</v>
      </c>
      <c r="E74" t="s">
        <v>395</v>
      </c>
      <c r="F74" s="18" t="s">
        <v>85</v>
      </c>
      <c r="G74" s="49">
        <f>VLOOKUP($A74,Master_Rack!$H$2:$N$265,5,FALSE)</f>
        <v>30</v>
      </c>
      <c r="H74" t="s">
        <v>246</v>
      </c>
      <c r="I74" t="s">
        <v>248</v>
      </c>
      <c r="J74" s="18" t="s">
        <v>27</v>
      </c>
      <c r="K74" s="18" t="s">
        <v>29</v>
      </c>
      <c r="L74" s="18" t="s">
        <v>70</v>
      </c>
      <c r="M74" s="18" t="s">
        <v>72</v>
      </c>
      <c r="N74" s="18" t="s">
        <v>293</v>
      </c>
      <c r="O74" s="18" t="s">
        <v>294</v>
      </c>
    </row>
    <row r="75" spans="1:15" ht="17" x14ac:dyDescent="0.2">
      <c r="A75" s="18" t="s">
        <v>86</v>
      </c>
      <c r="B75" t="s">
        <v>385</v>
      </c>
      <c r="C75" t="s">
        <v>384</v>
      </c>
      <c r="D75" t="s">
        <v>392</v>
      </c>
      <c r="E75" t="s">
        <v>395</v>
      </c>
      <c r="F75" s="18" t="s">
        <v>86</v>
      </c>
      <c r="G75" s="49">
        <f>VLOOKUP($A75,Master_Rack!$H$2:$N$265,5,FALSE)</f>
        <v>30</v>
      </c>
      <c r="H75" t="s">
        <v>246</v>
      </c>
      <c r="I75" t="s">
        <v>248</v>
      </c>
      <c r="J75" s="18" t="s">
        <v>27</v>
      </c>
      <c r="K75" s="18" t="s">
        <v>29</v>
      </c>
      <c r="L75" s="18" t="s">
        <v>70</v>
      </c>
      <c r="M75" s="18" t="s">
        <v>72</v>
      </c>
      <c r="N75" s="18" t="s">
        <v>293</v>
      </c>
      <c r="O75" s="18" t="s">
        <v>294</v>
      </c>
    </row>
    <row r="76" spans="1:15" ht="17" x14ac:dyDescent="0.2">
      <c r="A76" s="18" t="s">
        <v>87</v>
      </c>
      <c r="B76" t="s">
        <v>385</v>
      </c>
      <c r="C76" t="s">
        <v>384</v>
      </c>
      <c r="D76" t="s">
        <v>392</v>
      </c>
      <c r="E76" t="s">
        <v>395</v>
      </c>
      <c r="F76" s="18" t="s">
        <v>87</v>
      </c>
      <c r="G76" s="49">
        <f>VLOOKUP($A76,Master_Rack!$H$2:$N$265,5,FALSE)</f>
        <v>30</v>
      </c>
      <c r="H76" t="s">
        <v>246</v>
      </c>
      <c r="I76" t="s">
        <v>248</v>
      </c>
      <c r="J76" s="18" t="s">
        <v>27</v>
      </c>
      <c r="K76" s="18" t="s">
        <v>29</v>
      </c>
      <c r="L76" s="18" t="s">
        <v>70</v>
      </c>
      <c r="M76" s="18" t="s">
        <v>72</v>
      </c>
      <c r="N76" s="18" t="s">
        <v>293</v>
      </c>
      <c r="O76" s="18" t="s">
        <v>294</v>
      </c>
    </row>
    <row r="77" spans="1:15" ht="17" x14ac:dyDescent="0.2">
      <c r="A77" s="18" t="s">
        <v>88</v>
      </c>
      <c r="B77" t="s">
        <v>385</v>
      </c>
      <c r="C77" t="s">
        <v>384</v>
      </c>
      <c r="D77" t="s">
        <v>392</v>
      </c>
      <c r="E77" t="s">
        <v>395</v>
      </c>
      <c r="F77" s="18" t="s">
        <v>88</v>
      </c>
      <c r="G77" s="49">
        <f>VLOOKUP($A77,Master_Rack!$H$2:$N$265,5,FALSE)</f>
        <v>30</v>
      </c>
      <c r="H77" t="s">
        <v>246</v>
      </c>
      <c r="I77" t="s">
        <v>248</v>
      </c>
      <c r="J77" s="18" t="s">
        <v>27</v>
      </c>
      <c r="K77" s="18" t="s">
        <v>29</v>
      </c>
      <c r="L77" s="18" t="s">
        <v>70</v>
      </c>
      <c r="M77" s="18" t="s">
        <v>72</v>
      </c>
      <c r="N77" s="18" t="s">
        <v>293</v>
      </c>
      <c r="O77" s="18" t="s">
        <v>294</v>
      </c>
    </row>
    <row r="78" spans="1:15" ht="17" x14ac:dyDescent="0.2">
      <c r="A78" s="18" t="s">
        <v>89</v>
      </c>
      <c r="B78" t="s">
        <v>385</v>
      </c>
      <c r="C78" t="s">
        <v>384</v>
      </c>
      <c r="D78" t="s">
        <v>392</v>
      </c>
      <c r="E78" t="s">
        <v>395</v>
      </c>
      <c r="F78" s="18" t="s">
        <v>89</v>
      </c>
      <c r="G78" s="49">
        <f>VLOOKUP($A78,Master_Rack!$H$2:$N$265,5,FALSE)</f>
        <v>30</v>
      </c>
      <c r="H78" t="s">
        <v>246</v>
      </c>
      <c r="I78" t="s">
        <v>248</v>
      </c>
      <c r="J78" s="18" t="s">
        <v>30</v>
      </c>
      <c r="K78" s="18" t="s">
        <v>28</v>
      </c>
      <c r="L78" s="18" t="s">
        <v>70</v>
      </c>
      <c r="M78" s="18" t="s">
        <v>72</v>
      </c>
      <c r="N78" s="18" t="s">
        <v>293</v>
      </c>
      <c r="O78" s="18" t="s">
        <v>294</v>
      </c>
    </row>
    <row r="79" spans="1:15" ht="17" x14ac:dyDescent="0.2">
      <c r="A79" s="18" t="s">
        <v>90</v>
      </c>
      <c r="B79" t="s">
        <v>385</v>
      </c>
      <c r="C79" t="s">
        <v>384</v>
      </c>
      <c r="D79" t="s">
        <v>392</v>
      </c>
      <c r="E79" t="s">
        <v>395</v>
      </c>
      <c r="F79" s="18" t="s">
        <v>90</v>
      </c>
      <c r="G79" s="49">
        <f>VLOOKUP($A79,Master_Rack!$H$2:$N$265,5,FALSE)</f>
        <v>30</v>
      </c>
      <c r="H79" t="s">
        <v>246</v>
      </c>
      <c r="I79" t="s">
        <v>248</v>
      </c>
      <c r="J79" s="18" t="s">
        <v>30</v>
      </c>
      <c r="K79" s="18" t="s">
        <v>28</v>
      </c>
      <c r="L79" s="18" t="s">
        <v>70</v>
      </c>
      <c r="M79" s="18" t="s">
        <v>72</v>
      </c>
      <c r="N79" s="18" t="s">
        <v>293</v>
      </c>
      <c r="O79" s="18" t="s">
        <v>294</v>
      </c>
    </row>
    <row r="80" spans="1:15" ht="17" x14ac:dyDescent="0.2">
      <c r="A80" s="18" t="s">
        <v>91</v>
      </c>
      <c r="B80" t="s">
        <v>385</v>
      </c>
      <c r="C80" t="s">
        <v>384</v>
      </c>
      <c r="D80" t="s">
        <v>392</v>
      </c>
      <c r="E80" t="s">
        <v>395</v>
      </c>
      <c r="F80" s="18" t="s">
        <v>91</v>
      </c>
      <c r="G80" s="49">
        <f>VLOOKUP($A80,Master_Rack!$H$2:$N$265,5,FALSE)</f>
        <v>30</v>
      </c>
      <c r="H80" t="s">
        <v>246</v>
      </c>
      <c r="I80" t="s">
        <v>248</v>
      </c>
      <c r="J80" s="18" t="s">
        <v>30</v>
      </c>
      <c r="K80" s="18" t="s">
        <v>31</v>
      </c>
      <c r="L80" s="18" t="s">
        <v>70</v>
      </c>
      <c r="M80" s="18" t="s">
        <v>71</v>
      </c>
      <c r="N80" s="18" t="s">
        <v>293</v>
      </c>
      <c r="O80" s="18" t="s">
        <v>294</v>
      </c>
    </row>
    <row r="81" spans="1:15" ht="17" x14ac:dyDescent="0.2">
      <c r="A81" s="18" t="s">
        <v>92</v>
      </c>
      <c r="B81" t="s">
        <v>385</v>
      </c>
      <c r="C81" t="s">
        <v>384</v>
      </c>
      <c r="D81" t="s">
        <v>392</v>
      </c>
      <c r="E81" t="s">
        <v>395</v>
      </c>
      <c r="F81" s="18" t="s">
        <v>92</v>
      </c>
      <c r="G81" s="49">
        <f>VLOOKUP($A81,Master_Rack!$H$2:$N$265,5,FALSE)</f>
        <v>30</v>
      </c>
      <c r="H81" t="s">
        <v>246</v>
      </c>
      <c r="I81" t="s">
        <v>248</v>
      </c>
      <c r="J81" s="18" t="s">
        <v>30</v>
      </c>
      <c r="K81" s="18" t="s">
        <v>31</v>
      </c>
      <c r="L81" s="18" t="s">
        <v>70</v>
      </c>
      <c r="M81" s="18" t="s">
        <v>71</v>
      </c>
      <c r="N81" s="18" t="s">
        <v>293</v>
      </c>
      <c r="O81" s="18" t="s">
        <v>294</v>
      </c>
    </row>
    <row r="82" spans="1:15" ht="17" x14ac:dyDescent="0.2">
      <c r="A82" s="18" t="s">
        <v>93</v>
      </c>
      <c r="B82" t="s">
        <v>385</v>
      </c>
      <c r="C82" t="s">
        <v>384</v>
      </c>
      <c r="D82" t="s">
        <v>392</v>
      </c>
      <c r="E82" t="s">
        <v>395</v>
      </c>
      <c r="F82" s="18" t="s">
        <v>93</v>
      </c>
      <c r="G82" s="49">
        <f>VLOOKUP($A82,Master_Rack!$H$2:$N$265,5,FALSE)</f>
        <v>30</v>
      </c>
      <c r="H82" t="s">
        <v>246</v>
      </c>
      <c r="I82" t="s">
        <v>248</v>
      </c>
      <c r="J82" s="18" t="s">
        <v>27</v>
      </c>
      <c r="K82" s="18" t="s">
        <v>31</v>
      </c>
      <c r="L82" s="18" t="s">
        <v>70</v>
      </c>
      <c r="M82" s="18" t="s">
        <v>71</v>
      </c>
      <c r="N82" s="18" t="s">
        <v>293</v>
      </c>
      <c r="O82" s="18" t="s">
        <v>294</v>
      </c>
    </row>
    <row r="83" spans="1:15" ht="17" x14ac:dyDescent="0.2">
      <c r="A83" s="18" t="s">
        <v>94</v>
      </c>
      <c r="B83" t="s">
        <v>385</v>
      </c>
      <c r="C83" t="s">
        <v>384</v>
      </c>
      <c r="D83" t="s">
        <v>392</v>
      </c>
      <c r="E83" t="s">
        <v>395</v>
      </c>
      <c r="F83" s="18" t="s">
        <v>94</v>
      </c>
      <c r="G83" s="49">
        <f>VLOOKUP($A83,Master_Rack!$H$2:$N$265,5,FALSE)</f>
        <v>30</v>
      </c>
      <c r="H83" t="s">
        <v>246</v>
      </c>
      <c r="I83" t="s">
        <v>248</v>
      </c>
      <c r="J83" s="18" t="s">
        <v>27</v>
      </c>
      <c r="K83" s="18" t="s">
        <v>31</v>
      </c>
      <c r="L83" s="18" t="s">
        <v>70</v>
      </c>
      <c r="M83" s="18" t="s">
        <v>71</v>
      </c>
      <c r="N83" s="18" t="s">
        <v>293</v>
      </c>
      <c r="O83" s="18" t="s">
        <v>294</v>
      </c>
    </row>
    <row r="84" spans="1:15" ht="17" x14ac:dyDescent="0.2">
      <c r="A84" s="18" t="s">
        <v>95</v>
      </c>
      <c r="B84" t="s">
        <v>385</v>
      </c>
      <c r="C84" t="s">
        <v>384</v>
      </c>
      <c r="D84" t="s">
        <v>392</v>
      </c>
      <c r="E84" t="s">
        <v>395</v>
      </c>
      <c r="F84" s="18" t="s">
        <v>95</v>
      </c>
      <c r="G84" s="49">
        <f>VLOOKUP($A84,Master_Rack!$H$2:$N$265,5,FALSE)</f>
        <v>30</v>
      </c>
      <c r="H84" t="s">
        <v>246</v>
      </c>
      <c r="I84" t="s">
        <v>248</v>
      </c>
      <c r="J84" s="18" t="s">
        <v>27</v>
      </c>
      <c r="K84" s="18" t="s">
        <v>31</v>
      </c>
      <c r="L84" s="18" t="s">
        <v>70</v>
      </c>
      <c r="M84" s="18" t="s">
        <v>71</v>
      </c>
      <c r="N84" s="18" t="s">
        <v>293</v>
      </c>
      <c r="O84" s="18" t="s">
        <v>294</v>
      </c>
    </row>
    <row r="85" spans="1:15" ht="17" x14ac:dyDescent="0.2">
      <c r="A85" s="18" t="s">
        <v>96</v>
      </c>
      <c r="B85" t="s">
        <v>385</v>
      </c>
      <c r="C85" t="s">
        <v>384</v>
      </c>
      <c r="D85" t="s">
        <v>392</v>
      </c>
      <c r="E85" t="s">
        <v>395</v>
      </c>
      <c r="F85" s="18" t="s">
        <v>96</v>
      </c>
      <c r="G85" s="49">
        <f>VLOOKUP($A85,Master_Rack!$H$2:$N$265,5,FALSE)</f>
        <v>30</v>
      </c>
      <c r="H85" t="s">
        <v>246</v>
      </c>
      <c r="I85" t="s">
        <v>248</v>
      </c>
      <c r="J85" s="18" t="s">
        <v>27</v>
      </c>
      <c r="K85" s="18" t="s">
        <v>31</v>
      </c>
      <c r="L85" s="18" t="s">
        <v>70</v>
      </c>
      <c r="M85" s="18" t="s">
        <v>71</v>
      </c>
      <c r="N85" s="18" t="s">
        <v>293</v>
      </c>
      <c r="O85" s="18" t="s">
        <v>294</v>
      </c>
    </row>
    <row r="86" spans="1:15" ht="17" x14ac:dyDescent="0.2">
      <c r="A86" s="18" t="s">
        <v>98</v>
      </c>
      <c r="B86" t="s">
        <v>385</v>
      </c>
      <c r="C86" t="s">
        <v>384</v>
      </c>
      <c r="D86" t="s">
        <v>392</v>
      </c>
      <c r="E86" t="s">
        <v>395</v>
      </c>
      <c r="F86" s="18" t="s">
        <v>98</v>
      </c>
      <c r="G86" s="49">
        <f>VLOOKUP($A86,Master_Rack!$H$2:$N$265,5,FALSE)</f>
        <v>30</v>
      </c>
      <c r="H86" t="s">
        <v>246</v>
      </c>
      <c r="I86" t="s">
        <v>248</v>
      </c>
      <c r="J86" s="18" t="s">
        <v>30</v>
      </c>
      <c r="K86" s="18" t="s">
        <v>31</v>
      </c>
      <c r="L86" s="18" t="s">
        <v>70</v>
      </c>
      <c r="M86" s="18" t="s">
        <v>71</v>
      </c>
      <c r="N86" s="18" t="s">
        <v>293</v>
      </c>
      <c r="O86" s="18" t="s">
        <v>294</v>
      </c>
    </row>
    <row r="87" spans="1:15" ht="17" x14ac:dyDescent="0.2">
      <c r="A87" s="18" t="s">
        <v>99</v>
      </c>
      <c r="B87" t="s">
        <v>385</v>
      </c>
      <c r="C87" t="s">
        <v>384</v>
      </c>
      <c r="D87" t="s">
        <v>392</v>
      </c>
      <c r="E87" t="s">
        <v>395</v>
      </c>
      <c r="F87" s="18" t="s">
        <v>99</v>
      </c>
      <c r="G87" s="49">
        <f>VLOOKUP($A87,Master_Rack!$H$2:$N$265,5,FALSE)</f>
        <v>30</v>
      </c>
      <c r="H87" t="s">
        <v>246</v>
      </c>
      <c r="I87" t="s">
        <v>248</v>
      </c>
      <c r="J87" s="18" t="s">
        <v>30</v>
      </c>
      <c r="K87" s="18" t="s">
        <v>31</v>
      </c>
      <c r="L87" s="18" t="s">
        <v>70</v>
      </c>
      <c r="M87" s="18" t="s">
        <v>71</v>
      </c>
      <c r="N87" s="18" t="s">
        <v>293</v>
      </c>
      <c r="O87" s="18" t="s">
        <v>294</v>
      </c>
    </row>
    <row r="88" spans="1:15" ht="17" x14ac:dyDescent="0.2">
      <c r="A88" s="18" t="s">
        <v>100</v>
      </c>
      <c r="B88" t="s">
        <v>385</v>
      </c>
      <c r="C88" t="s">
        <v>384</v>
      </c>
      <c r="D88" t="s">
        <v>392</v>
      </c>
      <c r="E88" t="s">
        <v>395</v>
      </c>
      <c r="F88" s="18" t="s">
        <v>100</v>
      </c>
      <c r="G88" s="49">
        <f>VLOOKUP($A88,Master_Rack!$H$2:$N$265,5,FALSE)</f>
        <v>30</v>
      </c>
      <c r="H88" t="s">
        <v>246</v>
      </c>
      <c r="I88" t="s">
        <v>248</v>
      </c>
      <c r="J88" s="18" t="s">
        <v>30</v>
      </c>
      <c r="K88" s="18" t="s">
        <v>31</v>
      </c>
      <c r="L88" s="18" t="s">
        <v>70</v>
      </c>
      <c r="M88" s="18" t="s">
        <v>71</v>
      </c>
      <c r="N88" s="18" t="s">
        <v>293</v>
      </c>
      <c r="O88" s="18" t="s">
        <v>294</v>
      </c>
    </row>
    <row r="89" spans="1:15" ht="17" x14ac:dyDescent="0.2">
      <c r="A89" s="18" t="s">
        <v>101</v>
      </c>
      <c r="B89" t="s">
        <v>385</v>
      </c>
      <c r="C89" t="s">
        <v>384</v>
      </c>
      <c r="D89" t="s">
        <v>392</v>
      </c>
      <c r="E89" t="s">
        <v>395</v>
      </c>
      <c r="F89" s="18" t="s">
        <v>101</v>
      </c>
      <c r="G89" s="49">
        <f>VLOOKUP($A89,Master_Rack!$H$2:$N$265,5,FALSE)</f>
        <v>30</v>
      </c>
      <c r="H89" t="s">
        <v>246</v>
      </c>
      <c r="I89" t="s">
        <v>248</v>
      </c>
      <c r="J89" s="18" t="s">
        <v>30</v>
      </c>
      <c r="K89" s="18" t="s">
        <v>31</v>
      </c>
      <c r="L89" s="18" t="s">
        <v>70</v>
      </c>
      <c r="M89" s="18" t="s">
        <v>71</v>
      </c>
      <c r="N89" s="18" t="s">
        <v>293</v>
      </c>
      <c r="O89" s="18" t="s">
        <v>294</v>
      </c>
    </row>
    <row r="90" spans="1:15" ht="17" x14ac:dyDescent="0.2">
      <c r="A90" s="18" t="s">
        <v>102</v>
      </c>
      <c r="B90" t="s">
        <v>385</v>
      </c>
      <c r="C90" t="s">
        <v>384</v>
      </c>
      <c r="D90" t="s">
        <v>392</v>
      </c>
      <c r="E90" t="s">
        <v>395</v>
      </c>
      <c r="F90" s="18" t="s">
        <v>102</v>
      </c>
      <c r="G90" s="49">
        <f>VLOOKUP($A90,Master_Rack!$H$2:$N$265,5,FALSE)</f>
        <v>30</v>
      </c>
      <c r="H90" t="s">
        <v>246</v>
      </c>
      <c r="I90" t="s">
        <v>248</v>
      </c>
      <c r="J90" s="18" t="s">
        <v>27</v>
      </c>
      <c r="K90" s="18" t="s">
        <v>31</v>
      </c>
      <c r="L90" s="18" t="s">
        <v>70</v>
      </c>
      <c r="M90" s="18" t="s">
        <v>71</v>
      </c>
      <c r="N90" s="18" t="s">
        <v>293</v>
      </c>
      <c r="O90" s="18" t="s">
        <v>294</v>
      </c>
    </row>
    <row r="91" spans="1:15" ht="17" x14ac:dyDescent="0.2">
      <c r="A91" s="18" t="s">
        <v>103</v>
      </c>
      <c r="B91" t="s">
        <v>385</v>
      </c>
      <c r="C91" t="s">
        <v>384</v>
      </c>
      <c r="D91" t="s">
        <v>392</v>
      </c>
      <c r="E91" t="s">
        <v>395</v>
      </c>
      <c r="F91" s="18" t="s">
        <v>103</v>
      </c>
      <c r="G91" s="49">
        <f>VLOOKUP($A91,Master_Rack!$H$2:$N$265,5,FALSE)</f>
        <v>30</v>
      </c>
      <c r="H91" t="s">
        <v>246</v>
      </c>
      <c r="I91" t="s">
        <v>248</v>
      </c>
      <c r="J91" s="18" t="s">
        <v>27</v>
      </c>
      <c r="K91" s="18" t="s">
        <v>31</v>
      </c>
      <c r="L91" s="18" t="s">
        <v>70</v>
      </c>
      <c r="M91" s="18" t="s">
        <v>71</v>
      </c>
      <c r="N91" s="18" t="s">
        <v>293</v>
      </c>
      <c r="O91" s="18" t="s">
        <v>294</v>
      </c>
    </row>
    <row r="92" spans="1:15" ht="17" x14ac:dyDescent="0.2">
      <c r="A92" s="18" t="s">
        <v>104</v>
      </c>
      <c r="B92" t="s">
        <v>385</v>
      </c>
      <c r="C92" t="s">
        <v>384</v>
      </c>
      <c r="D92" t="s">
        <v>392</v>
      </c>
      <c r="E92" t="s">
        <v>395</v>
      </c>
      <c r="F92" s="18" t="s">
        <v>104</v>
      </c>
      <c r="G92" s="49">
        <f>VLOOKUP($A92,Master_Rack!$H$2:$N$265,5,FALSE)</f>
        <v>30</v>
      </c>
      <c r="H92" t="s">
        <v>246</v>
      </c>
      <c r="I92" t="s">
        <v>248</v>
      </c>
      <c r="J92" s="18" t="s">
        <v>27</v>
      </c>
      <c r="K92" s="18" t="s">
        <v>29</v>
      </c>
      <c r="L92" s="18" t="s">
        <v>70</v>
      </c>
      <c r="M92" s="18" t="s">
        <v>72</v>
      </c>
      <c r="N92" s="18" t="s">
        <v>293</v>
      </c>
      <c r="O92" s="18" t="s">
        <v>294</v>
      </c>
    </row>
    <row r="93" spans="1:15" ht="17" x14ac:dyDescent="0.2">
      <c r="A93" s="18" t="s">
        <v>105</v>
      </c>
      <c r="B93" t="s">
        <v>385</v>
      </c>
      <c r="C93" t="s">
        <v>384</v>
      </c>
      <c r="D93" t="s">
        <v>392</v>
      </c>
      <c r="E93" t="s">
        <v>395</v>
      </c>
      <c r="F93" s="18" t="s">
        <v>105</v>
      </c>
      <c r="G93" s="49">
        <f>VLOOKUP($A93,Master_Rack!$H$2:$N$265,5,FALSE)</f>
        <v>30</v>
      </c>
      <c r="H93" t="s">
        <v>246</v>
      </c>
      <c r="I93" t="s">
        <v>248</v>
      </c>
      <c r="J93" s="18" t="s">
        <v>27</v>
      </c>
      <c r="K93" s="18" t="s">
        <v>29</v>
      </c>
      <c r="L93" s="18" t="s">
        <v>70</v>
      </c>
      <c r="M93" s="18" t="s">
        <v>72</v>
      </c>
      <c r="N93" s="18" t="s">
        <v>293</v>
      </c>
      <c r="O93" s="18" t="s">
        <v>294</v>
      </c>
    </row>
    <row r="94" spans="1:15" ht="17" x14ac:dyDescent="0.2">
      <c r="A94" s="18" t="s">
        <v>106</v>
      </c>
      <c r="B94" t="s">
        <v>385</v>
      </c>
      <c r="C94" t="s">
        <v>384</v>
      </c>
      <c r="D94" t="s">
        <v>392</v>
      </c>
      <c r="E94" t="s">
        <v>395</v>
      </c>
      <c r="F94" s="18" t="s">
        <v>106</v>
      </c>
      <c r="G94" s="49">
        <f>VLOOKUP($A94,Master_Rack!$H$2:$N$265,5,FALSE)</f>
        <v>30</v>
      </c>
      <c r="H94" t="s">
        <v>246</v>
      </c>
      <c r="I94" t="s">
        <v>248</v>
      </c>
      <c r="J94" s="18" t="s">
        <v>30</v>
      </c>
      <c r="K94" s="18" t="s">
        <v>28</v>
      </c>
      <c r="L94" s="18" t="s">
        <v>70</v>
      </c>
      <c r="M94" s="18" t="s">
        <v>72</v>
      </c>
      <c r="N94" s="18" t="s">
        <v>293</v>
      </c>
      <c r="O94" s="18" t="s">
        <v>294</v>
      </c>
    </row>
    <row r="95" spans="1:15" ht="17" x14ac:dyDescent="0.2">
      <c r="A95" s="18" t="s">
        <v>107</v>
      </c>
      <c r="B95" t="s">
        <v>385</v>
      </c>
      <c r="C95" t="s">
        <v>384</v>
      </c>
      <c r="D95" t="s">
        <v>392</v>
      </c>
      <c r="E95" t="s">
        <v>395</v>
      </c>
      <c r="F95" s="18" t="s">
        <v>107</v>
      </c>
      <c r="G95" s="49">
        <f>VLOOKUP($A95,Master_Rack!$H$2:$N$265,5,FALSE)</f>
        <v>30</v>
      </c>
      <c r="H95" t="s">
        <v>246</v>
      </c>
      <c r="I95" t="s">
        <v>248</v>
      </c>
      <c r="J95" s="18" t="s">
        <v>30</v>
      </c>
      <c r="K95" s="18" t="s">
        <v>28</v>
      </c>
      <c r="L95" s="18" t="s">
        <v>70</v>
      </c>
      <c r="M95" s="18" t="s">
        <v>72</v>
      </c>
      <c r="N95" s="18" t="s">
        <v>293</v>
      </c>
      <c r="O95" s="18" t="s">
        <v>294</v>
      </c>
    </row>
    <row r="96" spans="1:15" ht="17" x14ac:dyDescent="0.2">
      <c r="A96" s="18" t="s">
        <v>108</v>
      </c>
      <c r="B96" t="s">
        <v>385</v>
      </c>
      <c r="C96" t="s">
        <v>384</v>
      </c>
      <c r="D96" t="s">
        <v>392</v>
      </c>
      <c r="E96" t="s">
        <v>395</v>
      </c>
      <c r="F96" s="18" t="s">
        <v>108</v>
      </c>
      <c r="G96" s="49">
        <f>VLOOKUP($A96,Master_Rack!$H$2:$N$265,5,FALSE)</f>
        <v>30</v>
      </c>
      <c r="H96" t="s">
        <v>246</v>
      </c>
      <c r="I96" t="s">
        <v>248</v>
      </c>
      <c r="J96" s="18" t="s">
        <v>30</v>
      </c>
      <c r="K96" s="18" t="s">
        <v>28</v>
      </c>
      <c r="L96" s="18" t="s">
        <v>70</v>
      </c>
      <c r="M96" s="18" t="s">
        <v>72</v>
      </c>
      <c r="N96" s="18" t="s">
        <v>293</v>
      </c>
      <c r="O96" s="18" t="s">
        <v>294</v>
      </c>
    </row>
    <row r="97" spans="1:15" ht="17" x14ac:dyDescent="0.2">
      <c r="A97" s="18" t="s">
        <v>109</v>
      </c>
      <c r="B97" t="s">
        <v>385</v>
      </c>
      <c r="C97" t="s">
        <v>384</v>
      </c>
      <c r="D97" t="s">
        <v>392</v>
      </c>
      <c r="E97" t="s">
        <v>395</v>
      </c>
      <c r="F97" s="18" t="s">
        <v>109</v>
      </c>
      <c r="G97" s="49">
        <f>VLOOKUP($A97,Master_Rack!$H$2:$N$265,5,FALSE)</f>
        <v>30</v>
      </c>
      <c r="H97" t="s">
        <v>246</v>
      </c>
      <c r="I97" t="s">
        <v>248</v>
      </c>
      <c r="J97" s="18" t="s">
        <v>30</v>
      </c>
      <c r="K97" s="18" t="s">
        <v>28</v>
      </c>
      <c r="L97" s="18" t="s">
        <v>70</v>
      </c>
      <c r="M97" s="18" t="s">
        <v>72</v>
      </c>
      <c r="N97" s="18" t="s">
        <v>293</v>
      </c>
      <c r="O97" s="18" t="s">
        <v>294</v>
      </c>
    </row>
    <row r="98" spans="1:15" ht="17" x14ac:dyDescent="0.2">
      <c r="A98" s="18" t="s">
        <v>112</v>
      </c>
      <c r="B98" t="s">
        <v>385</v>
      </c>
      <c r="C98" t="s">
        <v>384</v>
      </c>
      <c r="D98" t="s">
        <v>392</v>
      </c>
      <c r="E98" t="s">
        <v>395</v>
      </c>
      <c r="F98" s="18" t="s">
        <v>112</v>
      </c>
      <c r="G98" s="49">
        <f>VLOOKUP($A98,Master_Rack!$H$2:$N$265,5,FALSE)</f>
        <v>30</v>
      </c>
      <c r="H98" t="s">
        <v>246</v>
      </c>
      <c r="I98" t="s">
        <v>248</v>
      </c>
      <c r="J98" s="18" t="s">
        <v>27</v>
      </c>
      <c r="K98" s="18" t="s">
        <v>29</v>
      </c>
      <c r="L98" s="18" t="s">
        <v>70</v>
      </c>
      <c r="M98" s="18" t="s">
        <v>72</v>
      </c>
      <c r="N98" s="18" t="s">
        <v>293</v>
      </c>
      <c r="O98" s="18" t="s">
        <v>294</v>
      </c>
    </row>
    <row r="99" spans="1:15" ht="17" x14ac:dyDescent="0.2">
      <c r="A99" s="18" t="s">
        <v>113</v>
      </c>
      <c r="B99" t="s">
        <v>385</v>
      </c>
      <c r="C99" t="s">
        <v>384</v>
      </c>
      <c r="D99" t="s">
        <v>392</v>
      </c>
      <c r="E99" t="s">
        <v>395</v>
      </c>
      <c r="F99" s="18" t="s">
        <v>113</v>
      </c>
      <c r="G99" s="49">
        <f>VLOOKUP($A99,Master_Rack!$H$2:$N$265,5,FALSE)</f>
        <v>30</v>
      </c>
      <c r="H99" t="s">
        <v>246</v>
      </c>
      <c r="I99" t="s">
        <v>248</v>
      </c>
      <c r="J99" s="18" t="s">
        <v>27</v>
      </c>
      <c r="K99" s="18" t="s">
        <v>29</v>
      </c>
      <c r="L99" s="18" t="s">
        <v>70</v>
      </c>
      <c r="M99" s="18" t="s">
        <v>72</v>
      </c>
      <c r="N99" s="18" t="s">
        <v>293</v>
      </c>
      <c r="O99" s="18" t="s">
        <v>294</v>
      </c>
    </row>
    <row r="100" spans="1:15" ht="17" x14ac:dyDescent="0.2">
      <c r="A100" s="18" t="s">
        <v>114</v>
      </c>
      <c r="B100" t="s">
        <v>385</v>
      </c>
      <c r="C100" t="s">
        <v>384</v>
      </c>
      <c r="D100" t="s">
        <v>392</v>
      </c>
      <c r="E100" t="s">
        <v>395</v>
      </c>
      <c r="F100" s="18" t="s">
        <v>114</v>
      </c>
      <c r="G100" s="49">
        <f>VLOOKUP($A100,Master_Rack!$H$2:$N$265,5,FALSE)</f>
        <v>30</v>
      </c>
      <c r="H100" t="s">
        <v>246</v>
      </c>
      <c r="I100" t="s">
        <v>248</v>
      </c>
      <c r="J100" s="18" t="s">
        <v>27</v>
      </c>
      <c r="K100" s="18" t="s">
        <v>29</v>
      </c>
      <c r="L100" s="18" t="s">
        <v>70</v>
      </c>
      <c r="M100" s="18" t="s">
        <v>72</v>
      </c>
      <c r="N100" s="18" t="s">
        <v>293</v>
      </c>
      <c r="O100" s="18" t="s">
        <v>294</v>
      </c>
    </row>
    <row r="101" spans="1:15" ht="17" x14ac:dyDescent="0.2">
      <c r="A101" s="18" t="s">
        <v>115</v>
      </c>
      <c r="B101" t="s">
        <v>385</v>
      </c>
      <c r="C101" t="s">
        <v>384</v>
      </c>
      <c r="D101" t="s">
        <v>392</v>
      </c>
      <c r="E101" t="s">
        <v>395</v>
      </c>
      <c r="F101" s="18" t="s">
        <v>115</v>
      </c>
      <c r="G101" s="49">
        <f>VLOOKUP($A101,Master_Rack!$H$2:$N$265,5,FALSE)</f>
        <v>30</v>
      </c>
      <c r="H101" t="s">
        <v>246</v>
      </c>
      <c r="I101" t="s">
        <v>248</v>
      </c>
      <c r="J101" s="18" t="s">
        <v>27</v>
      </c>
      <c r="K101" s="18" t="s">
        <v>29</v>
      </c>
      <c r="L101" s="18" t="s">
        <v>70</v>
      </c>
      <c r="M101" s="18" t="s">
        <v>72</v>
      </c>
      <c r="N101" s="18" t="s">
        <v>293</v>
      </c>
      <c r="O101" s="18" t="s">
        <v>294</v>
      </c>
    </row>
    <row r="102" spans="1:15" ht="17" x14ac:dyDescent="0.2">
      <c r="A102" s="18" t="s">
        <v>116</v>
      </c>
      <c r="B102" t="s">
        <v>385</v>
      </c>
      <c r="C102" t="s">
        <v>384</v>
      </c>
      <c r="D102" t="s">
        <v>392</v>
      </c>
      <c r="E102" t="s">
        <v>395</v>
      </c>
      <c r="F102" s="18" t="s">
        <v>116</v>
      </c>
      <c r="G102" s="49">
        <f>VLOOKUP($A102,Master_Rack!$H$2:$N$265,5,FALSE)</f>
        <v>30</v>
      </c>
      <c r="H102" t="s">
        <v>246</v>
      </c>
      <c r="I102" t="s">
        <v>248</v>
      </c>
      <c r="J102" s="18" t="s">
        <v>30</v>
      </c>
      <c r="K102" s="18" t="s">
        <v>29</v>
      </c>
      <c r="L102" s="18" t="s">
        <v>70</v>
      </c>
      <c r="M102" s="18" t="s">
        <v>72</v>
      </c>
      <c r="N102" s="18" t="s">
        <v>293</v>
      </c>
      <c r="O102" s="18" t="s">
        <v>294</v>
      </c>
    </row>
    <row r="103" spans="1:15" ht="17" x14ac:dyDescent="0.2">
      <c r="A103" s="18" t="s">
        <v>117</v>
      </c>
      <c r="B103" t="s">
        <v>385</v>
      </c>
      <c r="C103" t="s">
        <v>384</v>
      </c>
      <c r="D103" t="s">
        <v>392</v>
      </c>
      <c r="E103" t="s">
        <v>395</v>
      </c>
      <c r="F103" s="18" t="s">
        <v>117</v>
      </c>
      <c r="G103" s="49">
        <f>VLOOKUP($A103,Master_Rack!$H$2:$N$265,5,FALSE)</f>
        <v>30</v>
      </c>
      <c r="H103" t="s">
        <v>246</v>
      </c>
      <c r="I103" t="s">
        <v>248</v>
      </c>
      <c r="J103" s="18" t="s">
        <v>30</v>
      </c>
      <c r="K103" s="18" t="s">
        <v>29</v>
      </c>
      <c r="L103" s="18" t="s">
        <v>70</v>
      </c>
      <c r="M103" s="18" t="s">
        <v>72</v>
      </c>
      <c r="N103" s="18" t="s">
        <v>293</v>
      </c>
      <c r="O103" s="18" t="s">
        <v>294</v>
      </c>
    </row>
    <row r="104" spans="1:15" ht="17" x14ac:dyDescent="0.2">
      <c r="A104" s="18" t="s">
        <v>118</v>
      </c>
      <c r="B104" t="s">
        <v>385</v>
      </c>
      <c r="C104" t="s">
        <v>384</v>
      </c>
      <c r="D104" t="s">
        <v>392</v>
      </c>
      <c r="E104" t="s">
        <v>395</v>
      </c>
      <c r="F104" s="18" t="s">
        <v>118</v>
      </c>
      <c r="G104" s="49">
        <f>VLOOKUP($A104,Master_Rack!$H$2:$N$265,5,FALSE)</f>
        <v>30</v>
      </c>
      <c r="H104" t="s">
        <v>246</v>
      </c>
      <c r="I104" t="s">
        <v>248</v>
      </c>
      <c r="J104" s="18" t="s">
        <v>30</v>
      </c>
      <c r="K104" s="18" t="s">
        <v>31</v>
      </c>
      <c r="L104" s="18" t="s">
        <v>70</v>
      </c>
      <c r="M104" s="18" t="s">
        <v>71</v>
      </c>
      <c r="N104" s="18" t="s">
        <v>293</v>
      </c>
      <c r="O104" s="18" t="s">
        <v>294</v>
      </c>
    </row>
    <row r="105" spans="1:15" ht="17" x14ac:dyDescent="0.2">
      <c r="A105" s="18" t="s">
        <v>119</v>
      </c>
      <c r="B105" t="s">
        <v>385</v>
      </c>
      <c r="C105" t="s">
        <v>384</v>
      </c>
      <c r="D105" t="s">
        <v>392</v>
      </c>
      <c r="E105" t="s">
        <v>395</v>
      </c>
      <c r="F105" s="18" t="s">
        <v>119</v>
      </c>
      <c r="G105" s="49">
        <f>VLOOKUP($A105,Master_Rack!$H$2:$N$265,5,FALSE)</f>
        <v>30</v>
      </c>
      <c r="H105" t="s">
        <v>246</v>
      </c>
      <c r="I105" t="s">
        <v>248</v>
      </c>
      <c r="J105" s="18" t="s">
        <v>30</v>
      </c>
      <c r="K105" s="18" t="s">
        <v>31</v>
      </c>
      <c r="L105" s="18" t="s">
        <v>70</v>
      </c>
      <c r="M105" s="18" t="s">
        <v>71</v>
      </c>
      <c r="N105" s="18" t="s">
        <v>293</v>
      </c>
      <c r="O105" s="18" t="s">
        <v>294</v>
      </c>
    </row>
    <row r="106" spans="1:15" ht="17" x14ac:dyDescent="0.2">
      <c r="A106" s="18" t="s">
        <v>120</v>
      </c>
      <c r="B106" t="s">
        <v>385</v>
      </c>
      <c r="C106" t="s">
        <v>384</v>
      </c>
      <c r="D106" t="s">
        <v>392</v>
      </c>
      <c r="E106" t="s">
        <v>395</v>
      </c>
      <c r="F106" s="18" t="s">
        <v>120</v>
      </c>
      <c r="G106" s="49">
        <f>VLOOKUP($A106,Master_Rack!$H$2:$N$265,5,FALSE)</f>
        <v>30</v>
      </c>
      <c r="H106" t="s">
        <v>246</v>
      </c>
      <c r="I106" t="s">
        <v>248</v>
      </c>
      <c r="J106" s="18" t="s">
        <v>27</v>
      </c>
      <c r="K106" s="18" t="s">
        <v>31</v>
      </c>
      <c r="L106" s="18" t="s">
        <v>70</v>
      </c>
      <c r="M106" s="18" t="s">
        <v>71</v>
      </c>
      <c r="N106" s="18" t="s">
        <v>293</v>
      </c>
      <c r="O106" s="18" t="s">
        <v>294</v>
      </c>
    </row>
    <row r="107" spans="1:15" ht="17" x14ac:dyDescent="0.2">
      <c r="A107" s="18" t="s">
        <v>121</v>
      </c>
      <c r="B107" t="s">
        <v>385</v>
      </c>
      <c r="C107" t="s">
        <v>384</v>
      </c>
      <c r="D107" t="s">
        <v>392</v>
      </c>
      <c r="E107" t="s">
        <v>395</v>
      </c>
      <c r="F107" s="18" t="s">
        <v>121</v>
      </c>
      <c r="G107" s="49">
        <f>VLOOKUP($A107,Master_Rack!$H$2:$N$265,5,FALSE)</f>
        <v>30</v>
      </c>
      <c r="H107" t="s">
        <v>246</v>
      </c>
      <c r="I107" t="s">
        <v>248</v>
      </c>
      <c r="J107" s="18" t="s">
        <v>27</v>
      </c>
      <c r="K107" s="18" t="s">
        <v>31</v>
      </c>
      <c r="L107" s="18" t="s">
        <v>70</v>
      </c>
      <c r="M107" s="18" t="s">
        <v>71</v>
      </c>
      <c r="N107" s="18" t="s">
        <v>293</v>
      </c>
      <c r="O107" s="18" t="s">
        <v>294</v>
      </c>
    </row>
    <row r="108" spans="1:15" ht="17" x14ac:dyDescent="0.2">
      <c r="A108" s="18" t="s">
        <v>122</v>
      </c>
      <c r="B108" t="s">
        <v>385</v>
      </c>
      <c r="C108" t="s">
        <v>384</v>
      </c>
      <c r="D108" t="s">
        <v>392</v>
      </c>
      <c r="E108" t="s">
        <v>395</v>
      </c>
      <c r="F108" s="18" t="s">
        <v>122</v>
      </c>
      <c r="G108" s="49">
        <f>VLOOKUP($A108,Master_Rack!$H$2:$N$265,5,FALSE)</f>
        <v>30</v>
      </c>
      <c r="H108" t="s">
        <v>246</v>
      </c>
      <c r="I108" t="s">
        <v>248</v>
      </c>
      <c r="J108" s="18" t="s">
        <v>27</v>
      </c>
      <c r="K108" s="18" t="s">
        <v>31</v>
      </c>
      <c r="L108" s="18" t="s">
        <v>70</v>
      </c>
      <c r="M108" s="18" t="s">
        <v>71</v>
      </c>
      <c r="N108" s="18" t="s">
        <v>293</v>
      </c>
      <c r="O108" s="18" t="s">
        <v>294</v>
      </c>
    </row>
    <row r="109" spans="1:15" ht="17" x14ac:dyDescent="0.2">
      <c r="A109" s="18" t="s">
        <v>123</v>
      </c>
      <c r="B109" t="s">
        <v>385</v>
      </c>
      <c r="C109" t="s">
        <v>384</v>
      </c>
      <c r="D109" t="s">
        <v>392</v>
      </c>
      <c r="E109" t="s">
        <v>395</v>
      </c>
      <c r="F109" s="18" t="s">
        <v>123</v>
      </c>
      <c r="G109" s="49">
        <f>VLOOKUP($A109,Master_Rack!$H$2:$N$265,5,FALSE)</f>
        <v>30</v>
      </c>
      <c r="H109" t="s">
        <v>246</v>
      </c>
      <c r="I109" t="s">
        <v>248</v>
      </c>
      <c r="J109" s="18" t="s">
        <v>27</v>
      </c>
      <c r="K109" s="18" t="s">
        <v>31</v>
      </c>
      <c r="L109" s="18" t="s">
        <v>70</v>
      </c>
      <c r="M109" s="18" t="s">
        <v>71</v>
      </c>
      <c r="N109" s="18" t="s">
        <v>293</v>
      </c>
      <c r="O109" s="18" t="s">
        <v>294</v>
      </c>
    </row>
    <row r="110" spans="1:15" ht="17" x14ac:dyDescent="0.2">
      <c r="A110" s="18" t="s">
        <v>125</v>
      </c>
      <c r="B110" t="s">
        <v>385</v>
      </c>
      <c r="C110" t="s">
        <v>384</v>
      </c>
      <c r="D110" t="s">
        <v>392</v>
      </c>
      <c r="E110" t="s">
        <v>395</v>
      </c>
      <c r="F110" s="18" t="s">
        <v>125</v>
      </c>
      <c r="G110" s="49">
        <f>VLOOKUP($A110,Master_Rack!$H$2:$N$265,5,FALSE)</f>
        <v>30</v>
      </c>
      <c r="H110" t="s">
        <v>246</v>
      </c>
      <c r="I110" t="s">
        <v>248</v>
      </c>
      <c r="J110" s="18" t="s">
        <v>30</v>
      </c>
      <c r="K110" s="18" t="s">
        <v>31</v>
      </c>
      <c r="L110" s="18" t="s">
        <v>70</v>
      </c>
      <c r="M110" s="18" t="s">
        <v>71</v>
      </c>
      <c r="N110" s="18" t="s">
        <v>293</v>
      </c>
      <c r="O110" s="18" t="s">
        <v>294</v>
      </c>
    </row>
    <row r="111" spans="1:15" ht="17" x14ac:dyDescent="0.2">
      <c r="A111" s="18" t="s">
        <v>126</v>
      </c>
      <c r="B111" t="s">
        <v>385</v>
      </c>
      <c r="C111" t="s">
        <v>384</v>
      </c>
      <c r="D111" t="s">
        <v>392</v>
      </c>
      <c r="E111" t="s">
        <v>395</v>
      </c>
      <c r="F111" s="18" t="s">
        <v>126</v>
      </c>
      <c r="G111" s="49">
        <f>VLOOKUP($A111,Master_Rack!$H$2:$N$265,5,FALSE)</f>
        <v>30</v>
      </c>
      <c r="H111" t="s">
        <v>246</v>
      </c>
      <c r="I111" t="s">
        <v>248</v>
      </c>
      <c r="J111" s="18" t="s">
        <v>30</v>
      </c>
      <c r="K111" s="18" t="s">
        <v>31</v>
      </c>
      <c r="L111" s="18" t="s">
        <v>70</v>
      </c>
      <c r="M111" s="18" t="s">
        <v>71</v>
      </c>
      <c r="N111" s="18" t="s">
        <v>293</v>
      </c>
      <c r="O111" s="18" t="s">
        <v>294</v>
      </c>
    </row>
    <row r="112" spans="1:15" ht="17" x14ac:dyDescent="0.2">
      <c r="A112" s="18" t="s">
        <v>127</v>
      </c>
      <c r="B112" t="s">
        <v>385</v>
      </c>
      <c r="C112" t="s">
        <v>384</v>
      </c>
      <c r="D112" t="s">
        <v>392</v>
      </c>
      <c r="E112" t="s">
        <v>395</v>
      </c>
      <c r="F112" s="18" t="s">
        <v>127</v>
      </c>
      <c r="G112" s="49">
        <f>VLOOKUP($A112,Master_Rack!$H$2:$N$265,5,FALSE)</f>
        <v>30</v>
      </c>
      <c r="H112" t="s">
        <v>246</v>
      </c>
      <c r="I112" t="s">
        <v>248</v>
      </c>
      <c r="J112" s="18" t="s">
        <v>30</v>
      </c>
      <c r="K112" s="18" t="s">
        <v>31</v>
      </c>
      <c r="L112" s="18" t="s">
        <v>70</v>
      </c>
      <c r="M112" s="18" t="s">
        <v>71</v>
      </c>
      <c r="N112" s="18" t="s">
        <v>293</v>
      </c>
      <c r="O112" s="18" t="s">
        <v>294</v>
      </c>
    </row>
    <row r="113" spans="1:15" ht="17" x14ac:dyDescent="0.2">
      <c r="A113" s="18" t="s">
        <v>128</v>
      </c>
      <c r="B113" t="s">
        <v>385</v>
      </c>
      <c r="C113" t="s">
        <v>384</v>
      </c>
      <c r="D113" t="s">
        <v>392</v>
      </c>
      <c r="E113" t="s">
        <v>395</v>
      </c>
      <c r="F113" s="18" t="s">
        <v>128</v>
      </c>
      <c r="G113" s="49">
        <f>VLOOKUP($A113,Master_Rack!$H$2:$N$265,5,FALSE)</f>
        <v>30</v>
      </c>
      <c r="H113" t="s">
        <v>246</v>
      </c>
      <c r="I113" t="s">
        <v>248</v>
      </c>
      <c r="J113" s="18" t="s">
        <v>30</v>
      </c>
      <c r="K113" s="18" t="s">
        <v>31</v>
      </c>
      <c r="L113" s="18" t="s">
        <v>70</v>
      </c>
      <c r="M113" s="18" t="s">
        <v>71</v>
      </c>
      <c r="N113" s="18" t="s">
        <v>293</v>
      </c>
      <c r="O113" s="18" t="s">
        <v>294</v>
      </c>
    </row>
    <row r="114" spans="1:15" ht="17" x14ac:dyDescent="0.2">
      <c r="A114" s="18" t="s">
        <v>129</v>
      </c>
      <c r="B114" t="s">
        <v>385</v>
      </c>
      <c r="C114" t="s">
        <v>384</v>
      </c>
      <c r="D114" t="s">
        <v>392</v>
      </c>
      <c r="E114" t="s">
        <v>395</v>
      </c>
      <c r="F114" s="18" t="s">
        <v>129</v>
      </c>
      <c r="G114" s="49">
        <f>VLOOKUP($A114,Master_Rack!$H$2:$N$265,5,FALSE)</f>
        <v>30</v>
      </c>
      <c r="H114" t="s">
        <v>246</v>
      </c>
      <c r="I114" t="s">
        <v>248</v>
      </c>
      <c r="J114" s="18" t="s">
        <v>27</v>
      </c>
      <c r="K114" s="18" t="s">
        <v>31</v>
      </c>
      <c r="L114" s="18" t="s">
        <v>70</v>
      </c>
      <c r="M114" s="18" t="s">
        <v>71</v>
      </c>
      <c r="N114" s="18" t="s">
        <v>293</v>
      </c>
      <c r="O114" s="18" t="s">
        <v>294</v>
      </c>
    </row>
    <row r="115" spans="1:15" ht="17" x14ac:dyDescent="0.2">
      <c r="A115" s="18" t="s">
        <v>130</v>
      </c>
      <c r="B115" t="s">
        <v>385</v>
      </c>
      <c r="C115" t="s">
        <v>384</v>
      </c>
      <c r="D115" t="s">
        <v>392</v>
      </c>
      <c r="E115" t="s">
        <v>395</v>
      </c>
      <c r="F115" s="18" t="s">
        <v>130</v>
      </c>
      <c r="G115" s="49">
        <f>VLOOKUP($A115,Master_Rack!$H$2:$N$265,5,FALSE)</f>
        <v>30</v>
      </c>
      <c r="H115" t="s">
        <v>246</v>
      </c>
      <c r="I115" t="s">
        <v>248</v>
      </c>
      <c r="J115" s="18" t="s">
        <v>27</v>
      </c>
      <c r="K115" s="18" t="s">
        <v>31</v>
      </c>
      <c r="L115" s="18" t="s">
        <v>70</v>
      </c>
      <c r="M115" s="18" t="s">
        <v>71</v>
      </c>
      <c r="N115" s="18" t="s">
        <v>293</v>
      </c>
      <c r="O115" s="18" t="s">
        <v>294</v>
      </c>
    </row>
    <row r="116" spans="1:15" ht="17" x14ac:dyDescent="0.2">
      <c r="A116" s="18" t="s">
        <v>131</v>
      </c>
      <c r="B116" t="s">
        <v>385</v>
      </c>
      <c r="C116" t="s">
        <v>384</v>
      </c>
      <c r="D116" t="s">
        <v>392</v>
      </c>
      <c r="E116" t="s">
        <v>395</v>
      </c>
      <c r="F116" s="18" t="s">
        <v>131</v>
      </c>
      <c r="G116" s="49">
        <f>VLOOKUP($A116,Master_Rack!$H$2:$N$265,5,FALSE)</f>
        <v>30</v>
      </c>
      <c r="H116" t="s">
        <v>246</v>
      </c>
      <c r="I116" t="s">
        <v>248</v>
      </c>
      <c r="J116" s="18" t="s">
        <v>27</v>
      </c>
      <c r="K116" s="18" t="s">
        <v>28</v>
      </c>
      <c r="L116" s="18" t="s">
        <v>70</v>
      </c>
      <c r="M116" s="18" t="s">
        <v>72</v>
      </c>
      <c r="N116" s="18" t="s">
        <v>293</v>
      </c>
      <c r="O116" s="18" t="s">
        <v>294</v>
      </c>
    </row>
    <row r="117" spans="1:15" ht="17" x14ac:dyDescent="0.2">
      <c r="A117" s="18" t="s">
        <v>132</v>
      </c>
      <c r="B117" t="s">
        <v>385</v>
      </c>
      <c r="C117" t="s">
        <v>384</v>
      </c>
      <c r="D117" t="s">
        <v>392</v>
      </c>
      <c r="E117" t="s">
        <v>395</v>
      </c>
      <c r="F117" s="18" t="s">
        <v>132</v>
      </c>
      <c r="G117" s="49">
        <f>VLOOKUP($A117,Master_Rack!$H$2:$N$265,5,FALSE)</f>
        <v>30</v>
      </c>
      <c r="H117" t="s">
        <v>246</v>
      </c>
      <c r="I117" t="s">
        <v>248</v>
      </c>
      <c r="J117" s="18" t="s">
        <v>27</v>
      </c>
      <c r="K117" s="18" t="s">
        <v>28</v>
      </c>
      <c r="L117" s="18" t="s">
        <v>70</v>
      </c>
      <c r="M117" s="18" t="s">
        <v>72</v>
      </c>
      <c r="N117" s="18" t="s">
        <v>293</v>
      </c>
      <c r="O117" s="18" t="s">
        <v>294</v>
      </c>
    </row>
    <row r="118" spans="1:15" ht="17" x14ac:dyDescent="0.2">
      <c r="A118" s="18" t="s">
        <v>133</v>
      </c>
      <c r="B118" t="s">
        <v>385</v>
      </c>
      <c r="C118" t="s">
        <v>384</v>
      </c>
      <c r="D118" t="s">
        <v>392</v>
      </c>
      <c r="E118" t="s">
        <v>395</v>
      </c>
      <c r="F118" s="18" t="s">
        <v>133</v>
      </c>
      <c r="G118" s="49">
        <f>VLOOKUP($A118,Master_Rack!$H$2:$N$265,5,FALSE)</f>
        <v>30</v>
      </c>
      <c r="H118" t="s">
        <v>246</v>
      </c>
      <c r="I118" t="s">
        <v>248</v>
      </c>
      <c r="J118" s="18" t="s">
        <v>30</v>
      </c>
      <c r="K118" s="18" t="s">
        <v>28</v>
      </c>
      <c r="L118" s="18" t="s">
        <v>70</v>
      </c>
      <c r="M118" s="18" t="s">
        <v>72</v>
      </c>
      <c r="N118" s="18" t="s">
        <v>293</v>
      </c>
      <c r="O118" s="18" t="s">
        <v>294</v>
      </c>
    </row>
    <row r="119" spans="1:15" ht="17" x14ac:dyDescent="0.2">
      <c r="A119" s="18" t="s">
        <v>134</v>
      </c>
      <c r="B119" t="s">
        <v>385</v>
      </c>
      <c r="C119" t="s">
        <v>384</v>
      </c>
      <c r="D119" t="s">
        <v>392</v>
      </c>
      <c r="E119" t="s">
        <v>395</v>
      </c>
      <c r="F119" s="18" t="s">
        <v>134</v>
      </c>
      <c r="G119" s="49">
        <f>VLOOKUP($A119,Master_Rack!$H$2:$N$265,5,FALSE)</f>
        <v>30</v>
      </c>
      <c r="H119" t="s">
        <v>246</v>
      </c>
      <c r="I119" t="s">
        <v>248</v>
      </c>
      <c r="J119" s="18" t="s">
        <v>30</v>
      </c>
      <c r="K119" s="18" t="s">
        <v>28</v>
      </c>
      <c r="L119" s="18" t="s">
        <v>70</v>
      </c>
      <c r="M119" s="18" t="s">
        <v>72</v>
      </c>
      <c r="N119" s="18" t="s">
        <v>293</v>
      </c>
      <c r="O119" s="18" t="s">
        <v>294</v>
      </c>
    </row>
    <row r="120" spans="1:15" ht="17" x14ac:dyDescent="0.2">
      <c r="A120" s="18" t="s">
        <v>135</v>
      </c>
      <c r="B120" t="s">
        <v>385</v>
      </c>
      <c r="C120" t="s">
        <v>384</v>
      </c>
      <c r="D120" t="s">
        <v>392</v>
      </c>
      <c r="E120" t="s">
        <v>395</v>
      </c>
      <c r="F120" s="18" t="s">
        <v>135</v>
      </c>
      <c r="G120" s="49">
        <f>VLOOKUP($A120,Master_Rack!$H$2:$N$265,5,FALSE)</f>
        <v>30</v>
      </c>
      <c r="H120" t="s">
        <v>246</v>
      </c>
      <c r="I120" t="s">
        <v>248</v>
      </c>
      <c r="J120" s="18" t="s">
        <v>30</v>
      </c>
      <c r="K120" s="18" t="s">
        <v>28</v>
      </c>
      <c r="L120" s="18" t="s">
        <v>70</v>
      </c>
      <c r="M120" s="18" t="s">
        <v>72</v>
      </c>
      <c r="N120" s="18" t="s">
        <v>293</v>
      </c>
      <c r="O120" s="18" t="s">
        <v>294</v>
      </c>
    </row>
    <row r="121" spans="1:15" ht="17" x14ac:dyDescent="0.2">
      <c r="A121" s="18" t="s">
        <v>136</v>
      </c>
      <c r="B121" t="s">
        <v>385</v>
      </c>
      <c r="C121" t="s">
        <v>384</v>
      </c>
      <c r="D121" t="s">
        <v>392</v>
      </c>
      <c r="E121" t="s">
        <v>395</v>
      </c>
      <c r="F121" s="18" t="s">
        <v>136</v>
      </c>
      <c r="G121" s="49">
        <f>VLOOKUP($A121,Master_Rack!$H$2:$N$265,5,FALSE)</f>
        <v>30</v>
      </c>
      <c r="H121" t="s">
        <v>246</v>
      </c>
      <c r="I121" t="s">
        <v>248</v>
      </c>
      <c r="J121" s="18" t="s">
        <v>30</v>
      </c>
      <c r="K121" s="18" t="s">
        <v>28</v>
      </c>
      <c r="L121" s="18" t="s">
        <v>70</v>
      </c>
      <c r="M121" s="18" t="s">
        <v>72</v>
      </c>
      <c r="N121" s="18" t="s">
        <v>293</v>
      </c>
      <c r="O121" s="18" t="s">
        <v>294</v>
      </c>
    </row>
    <row r="122" spans="1:15" ht="17" x14ac:dyDescent="0.2">
      <c r="A122" s="18" t="s">
        <v>139</v>
      </c>
      <c r="B122" t="s">
        <v>385</v>
      </c>
      <c r="C122" t="s">
        <v>384</v>
      </c>
      <c r="D122" t="s">
        <v>392</v>
      </c>
      <c r="E122" t="s">
        <v>395</v>
      </c>
      <c r="F122" s="18" t="s">
        <v>139</v>
      </c>
      <c r="G122" s="49">
        <f>VLOOKUP($A122,Master_Rack!$H$2:$N$265,5,FALSE)</f>
        <v>30</v>
      </c>
      <c r="H122" t="s">
        <v>246</v>
      </c>
      <c r="I122" t="s">
        <v>249</v>
      </c>
      <c r="J122" s="18" t="s">
        <v>27</v>
      </c>
      <c r="K122" s="18" t="s">
        <v>28</v>
      </c>
      <c r="L122" s="18" t="s">
        <v>70</v>
      </c>
      <c r="M122" s="18" t="s">
        <v>72</v>
      </c>
      <c r="N122" s="18" t="s">
        <v>293</v>
      </c>
      <c r="O122" s="18" t="s">
        <v>294</v>
      </c>
    </row>
    <row r="123" spans="1:15" ht="17" x14ac:dyDescent="0.2">
      <c r="A123" s="18" t="s">
        <v>140</v>
      </c>
      <c r="B123" t="s">
        <v>385</v>
      </c>
      <c r="C123" t="s">
        <v>384</v>
      </c>
      <c r="D123" t="s">
        <v>392</v>
      </c>
      <c r="E123" t="s">
        <v>395</v>
      </c>
      <c r="F123" s="18" t="s">
        <v>140</v>
      </c>
      <c r="G123" s="49">
        <f>VLOOKUP($A123,Master_Rack!$H$2:$N$265,5,FALSE)</f>
        <v>30</v>
      </c>
      <c r="H123" t="s">
        <v>246</v>
      </c>
      <c r="I123" t="s">
        <v>249</v>
      </c>
      <c r="J123" s="18" t="s">
        <v>27</v>
      </c>
      <c r="K123" s="18" t="s">
        <v>28</v>
      </c>
      <c r="L123" s="18" t="s">
        <v>70</v>
      </c>
      <c r="M123" s="18" t="s">
        <v>72</v>
      </c>
      <c r="N123" s="18" t="s">
        <v>293</v>
      </c>
      <c r="O123" s="18" t="s">
        <v>294</v>
      </c>
    </row>
    <row r="124" spans="1:15" ht="17" x14ac:dyDescent="0.2">
      <c r="A124" s="18" t="s">
        <v>141</v>
      </c>
      <c r="B124" t="s">
        <v>385</v>
      </c>
      <c r="C124" t="s">
        <v>384</v>
      </c>
      <c r="D124" t="s">
        <v>392</v>
      </c>
      <c r="E124" t="s">
        <v>395</v>
      </c>
      <c r="F124" s="18" t="s">
        <v>141</v>
      </c>
      <c r="G124" s="49">
        <f>VLOOKUP($A124,Master_Rack!$H$2:$N$265,5,FALSE)</f>
        <v>30</v>
      </c>
      <c r="H124" t="s">
        <v>246</v>
      </c>
      <c r="I124" t="s">
        <v>249</v>
      </c>
      <c r="J124" s="18" t="s">
        <v>27</v>
      </c>
      <c r="K124" s="18" t="s">
        <v>28</v>
      </c>
      <c r="L124" s="18" t="s">
        <v>70</v>
      </c>
      <c r="M124" s="18" t="s">
        <v>72</v>
      </c>
      <c r="N124" s="18" t="s">
        <v>293</v>
      </c>
      <c r="O124" s="18" t="s">
        <v>294</v>
      </c>
    </row>
    <row r="125" spans="1:15" ht="17" x14ac:dyDescent="0.2">
      <c r="A125" s="18" t="s">
        <v>142</v>
      </c>
      <c r="B125" t="s">
        <v>385</v>
      </c>
      <c r="C125" t="s">
        <v>384</v>
      </c>
      <c r="D125" t="s">
        <v>392</v>
      </c>
      <c r="E125" t="s">
        <v>395</v>
      </c>
      <c r="F125" s="18" t="s">
        <v>142</v>
      </c>
      <c r="G125" s="49">
        <f>VLOOKUP($A125,Master_Rack!$H$2:$N$265,5,FALSE)</f>
        <v>30</v>
      </c>
      <c r="H125" t="s">
        <v>246</v>
      </c>
      <c r="I125" t="s">
        <v>249</v>
      </c>
      <c r="J125" s="18" t="s">
        <v>27</v>
      </c>
      <c r="K125" s="18" t="s">
        <v>28</v>
      </c>
      <c r="L125" s="18" t="s">
        <v>70</v>
      </c>
      <c r="M125" s="18" t="s">
        <v>72</v>
      </c>
      <c r="N125" s="18" t="s">
        <v>293</v>
      </c>
      <c r="O125" s="18" t="s">
        <v>294</v>
      </c>
    </row>
    <row r="126" spans="1:15" ht="17" x14ac:dyDescent="0.2">
      <c r="A126" s="18" t="s">
        <v>143</v>
      </c>
      <c r="B126" t="s">
        <v>385</v>
      </c>
      <c r="C126" t="s">
        <v>384</v>
      </c>
      <c r="D126" t="s">
        <v>392</v>
      </c>
      <c r="E126" t="s">
        <v>395</v>
      </c>
      <c r="F126" s="18" t="s">
        <v>143</v>
      </c>
      <c r="G126" s="49">
        <f>VLOOKUP($A126,Master_Rack!$H$2:$N$265,5,FALSE)</f>
        <v>30</v>
      </c>
      <c r="H126" t="s">
        <v>246</v>
      </c>
      <c r="I126" t="s">
        <v>249</v>
      </c>
      <c r="J126" s="18" t="s">
        <v>30</v>
      </c>
      <c r="K126" s="18" t="s">
        <v>28</v>
      </c>
      <c r="L126" s="18" t="s">
        <v>70</v>
      </c>
      <c r="M126" s="18" t="s">
        <v>72</v>
      </c>
      <c r="N126" s="18" t="s">
        <v>293</v>
      </c>
      <c r="O126" s="18" t="s">
        <v>294</v>
      </c>
    </row>
    <row r="127" spans="1:15" ht="17" x14ac:dyDescent="0.2">
      <c r="A127" s="18" t="s">
        <v>144</v>
      </c>
      <c r="B127" t="s">
        <v>385</v>
      </c>
      <c r="C127" t="s">
        <v>384</v>
      </c>
      <c r="D127" t="s">
        <v>392</v>
      </c>
      <c r="E127" t="s">
        <v>395</v>
      </c>
      <c r="F127" s="18" t="s">
        <v>144</v>
      </c>
      <c r="G127" s="49">
        <f>VLOOKUP($A127,Master_Rack!$H$2:$N$265,5,FALSE)</f>
        <v>30</v>
      </c>
      <c r="H127" t="s">
        <v>246</v>
      </c>
      <c r="I127" t="s">
        <v>249</v>
      </c>
      <c r="J127" s="18" t="s">
        <v>30</v>
      </c>
      <c r="K127" s="18" t="s">
        <v>28</v>
      </c>
      <c r="L127" s="18" t="s">
        <v>70</v>
      </c>
      <c r="M127" s="18" t="s">
        <v>72</v>
      </c>
      <c r="N127" s="18" t="s">
        <v>293</v>
      </c>
      <c r="O127" s="18" t="s">
        <v>294</v>
      </c>
    </row>
    <row r="128" spans="1:15" ht="17" x14ac:dyDescent="0.2">
      <c r="A128" s="18" t="s">
        <v>145</v>
      </c>
      <c r="B128" t="s">
        <v>385</v>
      </c>
      <c r="C128" t="s">
        <v>384</v>
      </c>
      <c r="D128" t="s">
        <v>392</v>
      </c>
      <c r="E128" t="s">
        <v>395</v>
      </c>
      <c r="F128" s="18" t="s">
        <v>145</v>
      </c>
      <c r="G128" s="49">
        <f>VLOOKUP($A128,Master_Rack!$H$2:$N$265,5,FALSE)</f>
        <v>30</v>
      </c>
      <c r="H128" t="s">
        <v>246</v>
      </c>
      <c r="I128" t="s">
        <v>249</v>
      </c>
      <c r="J128" s="18" t="s">
        <v>30</v>
      </c>
      <c r="K128" s="18" t="s">
        <v>31</v>
      </c>
      <c r="L128" s="18" t="s">
        <v>70</v>
      </c>
      <c r="M128" s="18" t="s">
        <v>71</v>
      </c>
      <c r="N128" s="18" t="s">
        <v>293</v>
      </c>
      <c r="O128" s="18" t="s">
        <v>294</v>
      </c>
    </row>
    <row r="129" spans="1:15" ht="17" x14ac:dyDescent="0.2">
      <c r="A129" s="18" t="s">
        <v>146</v>
      </c>
      <c r="B129" t="s">
        <v>385</v>
      </c>
      <c r="C129" t="s">
        <v>384</v>
      </c>
      <c r="D129" t="s">
        <v>392</v>
      </c>
      <c r="E129" t="s">
        <v>395</v>
      </c>
      <c r="F129" s="18" t="s">
        <v>146</v>
      </c>
      <c r="G129" s="49">
        <f>VLOOKUP($A129,Master_Rack!$H$2:$N$265,5,FALSE)</f>
        <v>30</v>
      </c>
      <c r="H129" t="s">
        <v>246</v>
      </c>
      <c r="I129" t="s">
        <v>249</v>
      </c>
      <c r="J129" s="18" t="s">
        <v>30</v>
      </c>
      <c r="K129" s="18" t="s">
        <v>31</v>
      </c>
      <c r="L129" s="18" t="s">
        <v>70</v>
      </c>
      <c r="M129" s="18" t="s">
        <v>71</v>
      </c>
      <c r="N129" s="18" t="s">
        <v>293</v>
      </c>
      <c r="O129" s="18" t="s">
        <v>294</v>
      </c>
    </row>
    <row r="130" spans="1:15" ht="17" x14ac:dyDescent="0.2">
      <c r="A130" s="18" t="s">
        <v>147</v>
      </c>
      <c r="B130" t="s">
        <v>385</v>
      </c>
      <c r="C130" t="s">
        <v>384</v>
      </c>
      <c r="D130" t="s">
        <v>392</v>
      </c>
      <c r="E130" t="s">
        <v>395</v>
      </c>
      <c r="F130" s="18" t="s">
        <v>147</v>
      </c>
      <c r="G130" s="49">
        <f>VLOOKUP($A130,Master_Rack!$H$2:$N$265,5,FALSE)</f>
        <v>30</v>
      </c>
      <c r="H130" t="s">
        <v>246</v>
      </c>
      <c r="I130" t="s">
        <v>249</v>
      </c>
      <c r="J130" s="18" t="s">
        <v>27</v>
      </c>
      <c r="K130" s="18" t="s">
        <v>31</v>
      </c>
      <c r="L130" s="18" t="s">
        <v>70</v>
      </c>
      <c r="M130" s="18" t="s">
        <v>71</v>
      </c>
      <c r="N130" s="18" t="s">
        <v>293</v>
      </c>
      <c r="O130" s="18" t="s">
        <v>294</v>
      </c>
    </row>
    <row r="131" spans="1:15" ht="17" x14ac:dyDescent="0.2">
      <c r="A131" s="18" t="s">
        <v>148</v>
      </c>
      <c r="B131" t="s">
        <v>385</v>
      </c>
      <c r="C131" t="s">
        <v>384</v>
      </c>
      <c r="D131" t="s">
        <v>392</v>
      </c>
      <c r="E131" t="s">
        <v>395</v>
      </c>
      <c r="F131" s="18" t="s">
        <v>148</v>
      </c>
      <c r="G131" s="49">
        <f>VLOOKUP($A131,Master_Rack!$H$2:$N$265,5,FALSE)</f>
        <v>30</v>
      </c>
      <c r="H131" t="s">
        <v>246</v>
      </c>
      <c r="I131" t="s">
        <v>249</v>
      </c>
      <c r="J131" s="18" t="s">
        <v>27</v>
      </c>
      <c r="K131" s="18" t="s">
        <v>31</v>
      </c>
      <c r="L131" s="18" t="s">
        <v>70</v>
      </c>
      <c r="M131" s="18" t="s">
        <v>71</v>
      </c>
      <c r="N131" s="18" t="s">
        <v>293</v>
      </c>
      <c r="O131" s="18" t="s">
        <v>294</v>
      </c>
    </row>
    <row r="132" spans="1:15" ht="17" x14ac:dyDescent="0.2">
      <c r="A132" s="18" t="s">
        <v>149</v>
      </c>
      <c r="B132" t="s">
        <v>385</v>
      </c>
      <c r="C132" t="s">
        <v>384</v>
      </c>
      <c r="D132" t="s">
        <v>392</v>
      </c>
      <c r="E132" t="s">
        <v>395</v>
      </c>
      <c r="F132" s="18" t="s">
        <v>149</v>
      </c>
      <c r="G132" s="49">
        <f>VLOOKUP($A132,Master_Rack!$H$2:$N$265,5,FALSE)</f>
        <v>30</v>
      </c>
      <c r="H132" t="s">
        <v>246</v>
      </c>
      <c r="I132" t="s">
        <v>249</v>
      </c>
      <c r="J132" s="18" t="s">
        <v>27</v>
      </c>
      <c r="K132" s="18" t="s">
        <v>31</v>
      </c>
      <c r="L132" s="18" t="s">
        <v>70</v>
      </c>
      <c r="M132" s="18" t="s">
        <v>71</v>
      </c>
      <c r="N132" s="18" t="s">
        <v>293</v>
      </c>
      <c r="O132" s="18" t="s">
        <v>294</v>
      </c>
    </row>
    <row r="133" spans="1:15" ht="17" x14ac:dyDescent="0.2">
      <c r="A133" s="18" t="s">
        <v>150</v>
      </c>
      <c r="B133" t="s">
        <v>385</v>
      </c>
      <c r="C133" t="s">
        <v>384</v>
      </c>
      <c r="D133" t="s">
        <v>392</v>
      </c>
      <c r="E133" t="s">
        <v>395</v>
      </c>
      <c r="F133" s="18" t="s">
        <v>150</v>
      </c>
      <c r="G133" s="49">
        <f>VLOOKUP($A133,Master_Rack!$H$2:$N$265,5,FALSE)</f>
        <v>30</v>
      </c>
      <c r="H133" t="s">
        <v>246</v>
      </c>
      <c r="I133" t="s">
        <v>249</v>
      </c>
      <c r="J133" s="18" t="s">
        <v>27</v>
      </c>
      <c r="K133" s="18" t="s">
        <v>31</v>
      </c>
      <c r="L133" s="18" t="s">
        <v>70</v>
      </c>
      <c r="M133" s="18" t="s">
        <v>71</v>
      </c>
      <c r="N133" s="18" t="s">
        <v>293</v>
      </c>
      <c r="O133" s="18" t="s">
        <v>294</v>
      </c>
    </row>
    <row r="134" spans="1:15" ht="17" x14ac:dyDescent="0.2">
      <c r="A134" s="18" t="s">
        <v>152</v>
      </c>
      <c r="B134" t="s">
        <v>385</v>
      </c>
      <c r="C134" t="s">
        <v>384</v>
      </c>
      <c r="D134" t="s">
        <v>392</v>
      </c>
      <c r="E134" t="s">
        <v>395</v>
      </c>
      <c r="F134" s="18" t="s">
        <v>152</v>
      </c>
      <c r="G134" s="49">
        <f>VLOOKUP($A134,Master_Rack!$H$2:$N$265,5,FALSE)</f>
        <v>30</v>
      </c>
      <c r="H134" t="s">
        <v>246</v>
      </c>
      <c r="I134" t="s">
        <v>249</v>
      </c>
      <c r="J134" s="18" t="s">
        <v>30</v>
      </c>
      <c r="K134" s="18" t="s">
        <v>29</v>
      </c>
      <c r="L134" s="18" t="s">
        <v>70</v>
      </c>
      <c r="M134" s="18" t="s">
        <v>72</v>
      </c>
      <c r="N134" s="18" t="s">
        <v>293</v>
      </c>
      <c r="O134" s="18" t="s">
        <v>294</v>
      </c>
    </row>
    <row r="135" spans="1:15" ht="17" x14ac:dyDescent="0.2">
      <c r="A135" s="18" t="s">
        <v>153</v>
      </c>
      <c r="B135" t="s">
        <v>385</v>
      </c>
      <c r="C135" t="s">
        <v>384</v>
      </c>
      <c r="D135" t="s">
        <v>392</v>
      </c>
      <c r="E135" t="s">
        <v>395</v>
      </c>
      <c r="F135" s="18" t="s">
        <v>153</v>
      </c>
      <c r="G135" s="49">
        <f>VLOOKUP($A135,Master_Rack!$H$2:$N$265,5,FALSE)</f>
        <v>30</v>
      </c>
      <c r="H135" t="s">
        <v>246</v>
      </c>
      <c r="I135" t="s">
        <v>249</v>
      </c>
      <c r="J135" s="18" t="s">
        <v>30</v>
      </c>
      <c r="K135" s="18" t="s">
        <v>29</v>
      </c>
      <c r="L135" s="18" t="s">
        <v>70</v>
      </c>
      <c r="M135" s="18" t="s">
        <v>72</v>
      </c>
      <c r="N135" s="18" t="s">
        <v>293</v>
      </c>
      <c r="O135" s="18" t="s">
        <v>294</v>
      </c>
    </row>
    <row r="136" spans="1:15" ht="17" x14ac:dyDescent="0.2">
      <c r="A136" s="18" t="s">
        <v>154</v>
      </c>
      <c r="B136" t="s">
        <v>385</v>
      </c>
      <c r="C136" t="s">
        <v>384</v>
      </c>
      <c r="D136" t="s">
        <v>392</v>
      </c>
      <c r="E136" t="s">
        <v>395</v>
      </c>
      <c r="F136" s="18" t="s">
        <v>154</v>
      </c>
      <c r="G136" s="49">
        <f>VLOOKUP($A136,Master_Rack!$H$2:$N$265,5,FALSE)</f>
        <v>30</v>
      </c>
      <c r="H136" t="s">
        <v>246</v>
      </c>
      <c r="I136" t="s">
        <v>249</v>
      </c>
      <c r="J136" s="18" t="s">
        <v>30</v>
      </c>
      <c r="K136" s="18" t="s">
        <v>29</v>
      </c>
      <c r="L136" s="18" t="s">
        <v>70</v>
      </c>
      <c r="M136" s="18" t="s">
        <v>72</v>
      </c>
      <c r="N136" s="18" t="s">
        <v>293</v>
      </c>
      <c r="O136" s="18" t="s">
        <v>294</v>
      </c>
    </row>
    <row r="137" spans="1:15" ht="17" x14ac:dyDescent="0.2">
      <c r="A137" s="18" t="s">
        <v>155</v>
      </c>
      <c r="B137" t="s">
        <v>385</v>
      </c>
      <c r="C137" t="s">
        <v>384</v>
      </c>
      <c r="D137" t="s">
        <v>392</v>
      </c>
      <c r="E137" t="s">
        <v>395</v>
      </c>
      <c r="F137" s="18" t="s">
        <v>155</v>
      </c>
      <c r="G137" s="49">
        <f>VLOOKUP($A137,Master_Rack!$H$2:$N$265,5,FALSE)</f>
        <v>30</v>
      </c>
      <c r="H137" t="s">
        <v>246</v>
      </c>
      <c r="I137" t="s">
        <v>249</v>
      </c>
      <c r="J137" s="18" t="s">
        <v>30</v>
      </c>
      <c r="K137" s="18" t="s">
        <v>29</v>
      </c>
      <c r="L137" s="18" t="s">
        <v>70</v>
      </c>
      <c r="M137" s="18" t="s">
        <v>72</v>
      </c>
      <c r="N137" s="18" t="s">
        <v>293</v>
      </c>
      <c r="O137" s="18" t="s">
        <v>294</v>
      </c>
    </row>
    <row r="138" spans="1:15" ht="17" x14ac:dyDescent="0.2">
      <c r="A138" s="18" t="s">
        <v>156</v>
      </c>
      <c r="B138" t="s">
        <v>385</v>
      </c>
      <c r="C138" t="s">
        <v>384</v>
      </c>
      <c r="D138" t="s">
        <v>392</v>
      </c>
      <c r="E138" t="s">
        <v>395</v>
      </c>
      <c r="F138" s="18" t="s">
        <v>156</v>
      </c>
      <c r="G138" s="49">
        <f>VLOOKUP($A138,Master_Rack!$H$2:$N$265,5,FALSE)</f>
        <v>30</v>
      </c>
      <c r="H138" t="s">
        <v>246</v>
      </c>
      <c r="I138" t="s">
        <v>249</v>
      </c>
      <c r="J138" s="18" t="s">
        <v>27</v>
      </c>
      <c r="K138" s="18" t="s">
        <v>29</v>
      </c>
      <c r="L138" s="18" t="s">
        <v>70</v>
      </c>
      <c r="M138" s="18" t="s">
        <v>72</v>
      </c>
      <c r="N138" s="18" t="s">
        <v>293</v>
      </c>
      <c r="O138" s="18" t="s">
        <v>294</v>
      </c>
    </row>
    <row r="139" spans="1:15" ht="17" x14ac:dyDescent="0.2">
      <c r="A139" s="18" t="s">
        <v>157</v>
      </c>
      <c r="B139" t="s">
        <v>385</v>
      </c>
      <c r="C139" t="s">
        <v>384</v>
      </c>
      <c r="D139" t="s">
        <v>392</v>
      </c>
      <c r="E139" t="s">
        <v>395</v>
      </c>
      <c r="F139" s="18" t="s">
        <v>157</v>
      </c>
      <c r="G139" s="49">
        <f>VLOOKUP($A139,Master_Rack!$H$2:$N$265,5,FALSE)</f>
        <v>30</v>
      </c>
      <c r="H139" t="s">
        <v>246</v>
      </c>
      <c r="I139" t="s">
        <v>249</v>
      </c>
      <c r="J139" s="18" t="s">
        <v>27</v>
      </c>
      <c r="K139" s="18" t="s">
        <v>29</v>
      </c>
      <c r="L139" s="18" t="s">
        <v>70</v>
      </c>
      <c r="M139" s="18" t="s">
        <v>72</v>
      </c>
      <c r="N139" s="18" t="s">
        <v>293</v>
      </c>
      <c r="O139" s="18" t="s">
        <v>294</v>
      </c>
    </row>
    <row r="140" spans="1:15" ht="17" x14ac:dyDescent="0.2">
      <c r="A140" s="18" t="s">
        <v>158</v>
      </c>
      <c r="B140" t="s">
        <v>385</v>
      </c>
      <c r="C140" t="s">
        <v>384</v>
      </c>
      <c r="D140" t="s">
        <v>392</v>
      </c>
      <c r="E140" t="s">
        <v>395</v>
      </c>
      <c r="F140" s="18" t="s">
        <v>158</v>
      </c>
      <c r="G140" s="49">
        <f>VLOOKUP($A140,Master_Rack!$H$2:$N$265,5,FALSE)</f>
        <v>30</v>
      </c>
      <c r="H140" t="s">
        <v>246</v>
      </c>
      <c r="I140" t="s">
        <v>249</v>
      </c>
      <c r="J140" s="18" t="s">
        <v>27</v>
      </c>
      <c r="K140" s="18" t="s">
        <v>31</v>
      </c>
      <c r="L140" s="18" t="s">
        <v>70</v>
      </c>
      <c r="M140" s="18" t="s">
        <v>71</v>
      </c>
      <c r="N140" s="18" t="s">
        <v>293</v>
      </c>
      <c r="O140" s="18" t="s">
        <v>294</v>
      </c>
    </row>
    <row r="141" spans="1:15" ht="17" x14ac:dyDescent="0.2">
      <c r="A141" s="18" t="s">
        <v>159</v>
      </c>
      <c r="B141" t="s">
        <v>385</v>
      </c>
      <c r="C141" t="s">
        <v>384</v>
      </c>
      <c r="D141" t="s">
        <v>392</v>
      </c>
      <c r="E141" t="s">
        <v>395</v>
      </c>
      <c r="F141" s="18" t="s">
        <v>159</v>
      </c>
      <c r="G141" s="49">
        <f>VLOOKUP($A141,Master_Rack!$H$2:$N$265,5,FALSE)</f>
        <v>30</v>
      </c>
      <c r="H141" t="s">
        <v>246</v>
      </c>
      <c r="I141" t="s">
        <v>249</v>
      </c>
      <c r="J141" s="18" t="s">
        <v>27</v>
      </c>
      <c r="K141" s="18" t="s">
        <v>31</v>
      </c>
      <c r="L141" s="18" t="s">
        <v>70</v>
      </c>
      <c r="M141" s="18" t="s">
        <v>71</v>
      </c>
      <c r="N141" s="18" t="s">
        <v>293</v>
      </c>
      <c r="O141" s="18" t="s">
        <v>294</v>
      </c>
    </row>
    <row r="142" spans="1:15" ht="17" x14ac:dyDescent="0.2">
      <c r="A142" s="18" t="s">
        <v>160</v>
      </c>
      <c r="B142" t="s">
        <v>385</v>
      </c>
      <c r="C142" t="s">
        <v>384</v>
      </c>
      <c r="D142" t="s">
        <v>392</v>
      </c>
      <c r="E142" t="s">
        <v>395</v>
      </c>
      <c r="F142" s="18" t="s">
        <v>160</v>
      </c>
      <c r="G142" s="49">
        <f>VLOOKUP($A142,Master_Rack!$H$2:$N$265,5,FALSE)</f>
        <v>30</v>
      </c>
      <c r="H142" t="s">
        <v>246</v>
      </c>
      <c r="I142" t="s">
        <v>249</v>
      </c>
      <c r="J142" s="18" t="s">
        <v>30</v>
      </c>
      <c r="K142" s="18" t="s">
        <v>31</v>
      </c>
      <c r="L142" s="18" t="s">
        <v>70</v>
      </c>
      <c r="M142" s="18" t="s">
        <v>71</v>
      </c>
      <c r="N142" s="18" t="s">
        <v>293</v>
      </c>
      <c r="O142" s="18" t="s">
        <v>294</v>
      </c>
    </row>
    <row r="143" spans="1:15" ht="17" x14ac:dyDescent="0.2">
      <c r="A143" s="18" t="s">
        <v>161</v>
      </c>
      <c r="B143" t="s">
        <v>385</v>
      </c>
      <c r="C143" t="s">
        <v>384</v>
      </c>
      <c r="D143" t="s">
        <v>392</v>
      </c>
      <c r="E143" t="s">
        <v>395</v>
      </c>
      <c r="F143" s="18" t="s">
        <v>161</v>
      </c>
      <c r="G143" s="49">
        <f>VLOOKUP($A143,Master_Rack!$H$2:$N$265,5,FALSE)</f>
        <v>30</v>
      </c>
      <c r="H143" t="s">
        <v>246</v>
      </c>
      <c r="I143" t="s">
        <v>249</v>
      </c>
      <c r="J143" s="18" t="s">
        <v>30</v>
      </c>
      <c r="K143" s="18" t="s">
        <v>31</v>
      </c>
      <c r="L143" s="18" t="s">
        <v>70</v>
      </c>
      <c r="M143" s="18" t="s">
        <v>71</v>
      </c>
      <c r="N143" s="18" t="s">
        <v>293</v>
      </c>
      <c r="O143" s="18" t="s">
        <v>294</v>
      </c>
    </row>
    <row r="144" spans="1:15" ht="17" x14ac:dyDescent="0.2">
      <c r="A144" s="18" t="s">
        <v>162</v>
      </c>
      <c r="B144" t="s">
        <v>385</v>
      </c>
      <c r="C144" t="s">
        <v>384</v>
      </c>
      <c r="D144" t="s">
        <v>392</v>
      </c>
      <c r="E144" t="s">
        <v>395</v>
      </c>
      <c r="F144" s="18" t="s">
        <v>162</v>
      </c>
      <c r="G144" s="49">
        <f>VLOOKUP($A144,Master_Rack!$H$2:$N$265,5,FALSE)</f>
        <v>30</v>
      </c>
      <c r="H144" t="s">
        <v>246</v>
      </c>
      <c r="I144" t="s">
        <v>249</v>
      </c>
      <c r="J144" s="18" t="s">
        <v>30</v>
      </c>
      <c r="K144" s="18" t="s">
        <v>31</v>
      </c>
      <c r="L144" s="18" t="s">
        <v>70</v>
      </c>
      <c r="M144" s="18" t="s">
        <v>71</v>
      </c>
      <c r="N144" s="18" t="s">
        <v>293</v>
      </c>
      <c r="O144" s="18" t="s">
        <v>294</v>
      </c>
    </row>
    <row r="145" spans="1:15" ht="17" x14ac:dyDescent="0.2">
      <c r="A145" s="18" t="s">
        <v>163</v>
      </c>
      <c r="B145" t="s">
        <v>385</v>
      </c>
      <c r="C145" t="s">
        <v>384</v>
      </c>
      <c r="D145" t="s">
        <v>392</v>
      </c>
      <c r="E145" t="s">
        <v>395</v>
      </c>
      <c r="F145" s="18" t="s">
        <v>163</v>
      </c>
      <c r="G145" s="49">
        <f>VLOOKUP($A145,Master_Rack!$H$2:$N$265,5,FALSE)</f>
        <v>30</v>
      </c>
      <c r="H145" t="s">
        <v>246</v>
      </c>
      <c r="I145" t="s">
        <v>249</v>
      </c>
      <c r="J145" s="18" t="s">
        <v>30</v>
      </c>
      <c r="K145" s="18" t="s">
        <v>31</v>
      </c>
      <c r="L145" s="18" t="s">
        <v>70</v>
      </c>
      <c r="M145" s="18" t="s">
        <v>71</v>
      </c>
      <c r="N145" s="18" t="s">
        <v>293</v>
      </c>
      <c r="O145" s="18" t="s">
        <v>294</v>
      </c>
    </row>
    <row r="146" spans="1:15" ht="17" x14ac:dyDescent="0.2">
      <c r="A146" s="18" t="s">
        <v>40</v>
      </c>
      <c r="B146" t="s">
        <v>386</v>
      </c>
      <c r="C146" t="s">
        <v>389</v>
      </c>
      <c r="D146" t="s">
        <v>392</v>
      </c>
      <c r="E146" t="s">
        <v>395</v>
      </c>
      <c r="F146" s="18" t="s">
        <v>40</v>
      </c>
      <c r="G146" s="49">
        <f>VLOOKUP($A146,Master_Rack!$H$2:$N$265,5,FALSE)</f>
        <v>20</v>
      </c>
      <c r="H146" t="s">
        <v>252</v>
      </c>
      <c r="I146" t="s">
        <v>253</v>
      </c>
      <c r="J146" s="18" t="s">
        <v>64</v>
      </c>
      <c r="K146" s="18" t="s">
        <v>66</v>
      </c>
      <c r="L146" s="18" t="s">
        <v>73</v>
      </c>
      <c r="M146" s="18" t="s">
        <v>72</v>
      </c>
      <c r="N146" s="18" t="s">
        <v>293</v>
      </c>
      <c r="O146" s="18" t="s">
        <v>294</v>
      </c>
    </row>
    <row r="147" spans="1:15" ht="17" x14ac:dyDescent="0.2">
      <c r="A147" s="18" t="s">
        <v>41</v>
      </c>
      <c r="B147" t="s">
        <v>386</v>
      </c>
      <c r="C147" t="s">
        <v>389</v>
      </c>
      <c r="D147" t="s">
        <v>392</v>
      </c>
      <c r="E147" t="s">
        <v>395</v>
      </c>
      <c r="F147" s="18" t="s">
        <v>41</v>
      </c>
      <c r="G147" s="49">
        <f>VLOOKUP($A147,Master_Rack!$H$2:$N$265,5,FALSE)</f>
        <v>20</v>
      </c>
      <c r="H147" t="s">
        <v>252</v>
      </c>
      <c r="I147" t="s">
        <v>253</v>
      </c>
      <c r="J147" s="18" t="s">
        <v>65</v>
      </c>
      <c r="K147" s="18" t="s">
        <v>67</v>
      </c>
      <c r="L147" s="18" t="s">
        <v>73</v>
      </c>
      <c r="M147" s="18" t="s">
        <v>72</v>
      </c>
      <c r="N147" s="18" t="s">
        <v>293</v>
      </c>
      <c r="O147" s="18" t="s">
        <v>294</v>
      </c>
    </row>
    <row r="148" spans="1:15" ht="17" x14ac:dyDescent="0.2">
      <c r="A148" s="18" t="s">
        <v>42</v>
      </c>
      <c r="B148" t="s">
        <v>386</v>
      </c>
      <c r="C148" t="s">
        <v>389</v>
      </c>
      <c r="D148" t="s">
        <v>392</v>
      </c>
      <c r="E148" t="s">
        <v>395</v>
      </c>
      <c r="F148" s="18" t="s">
        <v>42</v>
      </c>
      <c r="G148" s="49">
        <f>VLOOKUP($A148,Master_Rack!$H$2:$N$265,5,FALSE)</f>
        <v>20</v>
      </c>
      <c r="H148" t="s">
        <v>252</v>
      </c>
      <c r="I148" t="s">
        <v>253</v>
      </c>
      <c r="J148" s="18" t="s">
        <v>64</v>
      </c>
      <c r="K148" s="18" t="s">
        <v>66</v>
      </c>
      <c r="L148" s="18" t="s">
        <v>73</v>
      </c>
      <c r="M148" s="18" t="s">
        <v>72</v>
      </c>
      <c r="N148" s="18" t="s">
        <v>293</v>
      </c>
      <c r="O148" s="18" t="s">
        <v>294</v>
      </c>
    </row>
    <row r="149" spans="1:15" ht="17" x14ac:dyDescent="0.2">
      <c r="A149" s="18" t="s">
        <v>43</v>
      </c>
      <c r="B149" t="s">
        <v>386</v>
      </c>
      <c r="C149" t="s">
        <v>389</v>
      </c>
      <c r="D149" t="s">
        <v>392</v>
      </c>
      <c r="E149" t="s">
        <v>395</v>
      </c>
      <c r="F149" s="18" t="s">
        <v>43</v>
      </c>
      <c r="G149" s="49">
        <f>VLOOKUP($A149,Master_Rack!$H$2:$N$265,5,FALSE)</f>
        <v>20</v>
      </c>
      <c r="H149" t="s">
        <v>252</v>
      </c>
      <c r="I149" t="s">
        <v>253</v>
      </c>
      <c r="J149" s="18" t="s">
        <v>65</v>
      </c>
      <c r="K149" s="18" t="s">
        <v>67</v>
      </c>
      <c r="L149" s="18" t="s">
        <v>73</v>
      </c>
      <c r="M149" s="18" t="s">
        <v>72</v>
      </c>
      <c r="N149" s="18" t="s">
        <v>293</v>
      </c>
      <c r="O149" s="18" t="s">
        <v>294</v>
      </c>
    </row>
    <row r="150" spans="1:15" ht="17" x14ac:dyDescent="0.2">
      <c r="A150" s="18" t="s">
        <v>44</v>
      </c>
      <c r="B150" t="s">
        <v>386</v>
      </c>
      <c r="C150" t="s">
        <v>389</v>
      </c>
      <c r="D150" t="s">
        <v>392</v>
      </c>
      <c r="E150" t="s">
        <v>395</v>
      </c>
      <c r="F150" s="18" t="s">
        <v>44</v>
      </c>
      <c r="G150" s="49">
        <f>VLOOKUP($A150,Master_Rack!$H$2:$N$265,5,FALSE)</f>
        <v>20</v>
      </c>
      <c r="H150" t="s">
        <v>252</v>
      </c>
      <c r="I150" t="s">
        <v>253</v>
      </c>
      <c r="J150" s="18" t="s">
        <v>64</v>
      </c>
      <c r="K150" s="18" t="s">
        <v>66</v>
      </c>
      <c r="L150" s="18" t="s">
        <v>73</v>
      </c>
      <c r="M150" s="18" t="s">
        <v>72</v>
      </c>
      <c r="N150" s="18" t="s">
        <v>293</v>
      </c>
      <c r="O150" s="18" t="s">
        <v>294</v>
      </c>
    </row>
    <row r="151" spans="1:15" ht="17" x14ac:dyDescent="0.2">
      <c r="A151" s="18" t="s">
        <v>45</v>
      </c>
      <c r="B151" t="s">
        <v>386</v>
      </c>
      <c r="C151" t="s">
        <v>389</v>
      </c>
      <c r="D151" t="s">
        <v>392</v>
      </c>
      <c r="E151" t="s">
        <v>395</v>
      </c>
      <c r="F151" s="18" t="s">
        <v>45</v>
      </c>
      <c r="G151" s="49">
        <f>VLOOKUP($A151,Master_Rack!$H$2:$N$265,5,FALSE)</f>
        <v>20</v>
      </c>
      <c r="H151" t="s">
        <v>252</v>
      </c>
      <c r="I151" t="s">
        <v>253</v>
      </c>
      <c r="J151" s="18" t="s">
        <v>65</v>
      </c>
      <c r="K151" s="18" t="s">
        <v>67</v>
      </c>
      <c r="L151" s="18" t="s">
        <v>73</v>
      </c>
      <c r="M151" s="18" t="s">
        <v>72</v>
      </c>
      <c r="N151" s="18" t="s">
        <v>293</v>
      </c>
      <c r="O151" s="18" t="s">
        <v>294</v>
      </c>
    </row>
    <row r="152" spans="1:15" ht="17" x14ac:dyDescent="0.2">
      <c r="A152" s="18" t="s">
        <v>46</v>
      </c>
      <c r="B152" t="s">
        <v>386</v>
      </c>
      <c r="C152" t="s">
        <v>389</v>
      </c>
      <c r="D152" t="s">
        <v>392</v>
      </c>
      <c r="E152" t="s">
        <v>395</v>
      </c>
      <c r="F152" s="18" t="s">
        <v>46</v>
      </c>
      <c r="G152" s="49">
        <f>VLOOKUP($A152,Master_Rack!$H$2:$N$265,5,FALSE)</f>
        <v>20</v>
      </c>
      <c r="H152" t="s">
        <v>252</v>
      </c>
      <c r="I152" t="s">
        <v>253</v>
      </c>
      <c r="J152" s="18" t="s">
        <v>64</v>
      </c>
      <c r="K152" s="18" t="s">
        <v>66</v>
      </c>
      <c r="L152" s="18" t="s">
        <v>73</v>
      </c>
      <c r="M152" s="18" t="s">
        <v>72</v>
      </c>
      <c r="N152" s="18" t="s">
        <v>293</v>
      </c>
      <c r="O152" s="18" t="s">
        <v>294</v>
      </c>
    </row>
    <row r="153" spans="1:15" ht="17" x14ac:dyDescent="0.2">
      <c r="A153" s="18" t="s">
        <v>47</v>
      </c>
      <c r="B153" t="s">
        <v>386</v>
      </c>
      <c r="C153" t="s">
        <v>389</v>
      </c>
      <c r="D153" t="s">
        <v>392</v>
      </c>
      <c r="E153" t="s">
        <v>395</v>
      </c>
      <c r="F153" s="18" t="s">
        <v>47</v>
      </c>
      <c r="G153" s="49">
        <f>VLOOKUP($A153,Master_Rack!$H$2:$N$265,5,FALSE)</f>
        <v>20</v>
      </c>
      <c r="H153" t="s">
        <v>252</v>
      </c>
      <c r="I153" t="s">
        <v>253</v>
      </c>
      <c r="J153" s="18" t="s">
        <v>65</v>
      </c>
      <c r="K153" s="18" t="s">
        <v>67</v>
      </c>
      <c r="L153" s="18" t="s">
        <v>73</v>
      </c>
      <c r="M153" s="18" t="s">
        <v>72</v>
      </c>
      <c r="N153" s="18" t="s">
        <v>293</v>
      </c>
      <c r="O153" s="18" t="s">
        <v>294</v>
      </c>
    </row>
    <row r="154" spans="1:15" ht="17" x14ac:dyDescent="0.2">
      <c r="A154" s="18" t="s">
        <v>48</v>
      </c>
      <c r="B154" t="s">
        <v>386</v>
      </c>
      <c r="C154" t="s">
        <v>389</v>
      </c>
      <c r="D154" t="s">
        <v>392</v>
      </c>
      <c r="E154" t="s">
        <v>395</v>
      </c>
      <c r="F154" s="18" t="s">
        <v>48</v>
      </c>
      <c r="G154" s="49">
        <f>VLOOKUP($A154,Master_Rack!$H$2:$N$265,5,FALSE)</f>
        <v>20</v>
      </c>
      <c r="H154" t="s">
        <v>252</v>
      </c>
      <c r="I154" t="s">
        <v>253</v>
      </c>
      <c r="J154" s="18" t="s">
        <v>64</v>
      </c>
      <c r="K154" s="18" t="s">
        <v>66</v>
      </c>
      <c r="L154" s="18" t="s">
        <v>73</v>
      </c>
      <c r="M154" s="18" t="s">
        <v>72</v>
      </c>
      <c r="N154" s="18" t="s">
        <v>293</v>
      </c>
      <c r="O154" s="18" t="s">
        <v>294</v>
      </c>
    </row>
    <row r="155" spans="1:15" ht="17" x14ac:dyDescent="0.2">
      <c r="A155" s="18" t="s">
        <v>49</v>
      </c>
      <c r="B155" t="s">
        <v>386</v>
      </c>
      <c r="C155" t="s">
        <v>389</v>
      </c>
      <c r="D155" t="s">
        <v>392</v>
      </c>
      <c r="E155" t="s">
        <v>395</v>
      </c>
      <c r="F155" s="18" t="s">
        <v>49</v>
      </c>
      <c r="G155" s="49">
        <f>VLOOKUP($A155,Master_Rack!$H$2:$N$265,5,FALSE)</f>
        <v>20</v>
      </c>
      <c r="H155" t="s">
        <v>252</v>
      </c>
      <c r="I155" t="s">
        <v>253</v>
      </c>
      <c r="J155" s="18" t="s">
        <v>65</v>
      </c>
      <c r="K155" s="18" t="s">
        <v>67</v>
      </c>
      <c r="L155" s="18" t="s">
        <v>73</v>
      </c>
      <c r="M155" s="18" t="s">
        <v>72</v>
      </c>
      <c r="N155" s="18" t="s">
        <v>293</v>
      </c>
      <c r="O155" s="18" t="s">
        <v>294</v>
      </c>
    </row>
    <row r="156" spans="1:15" ht="17" x14ac:dyDescent="0.2">
      <c r="A156" s="18" t="s">
        <v>50</v>
      </c>
      <c r="B156" t="s">
        <v>386</v>
      </c>
      <c r="C156" t="s">
        <v>389</v>
      </c>
      <c r="D156" t="s">
        <v>392</v>
      </c>
      <c r="E156" t="s">
        <v>395</v>
      </c>
      <c r="F156" s="18" t="s">
        <v>50</v>
      </c>
      <c r="G156" s="49">
        <f>VLOOKUP($A156,Master_Rack!$H$2:$N$265,5,FALSE)</f>
        <v>20</v>
      </c>
      <c r="H156" t="s">
        <v>252</v>
      </c>
      <c r="I156" t="s">
        <v>253</v>
      </c>
      <c r="J156" s="18" t="s">
        <v>64</v>
      </c>
      <c r="K156" s="18" t="s">
        <v>66</v>
      </c>
      <c r="L156" s="18" t="s">
        <v>73</v>
      </c>
      <c r="M156" s="18" t="s">
        <v>72</v>
      </c>
      <c r="N156" s="18" t="s">
        <v>293</v>
      </c>
      <c r="O156" s="18" t="s">
        <v>294</v>
      </c>
    </row>
    <row r="157" spans="1:15" ht="17" x14ac:dyDescent="0.2">
      <c r="A157" s="18" t="s">
        <v>51</v>
      </c>
      <c r="B157" t="s">
        <v>386</v>
      </c>
      <c r="C157" t="s">
        <v>389</v>
      </c>
      <c r="D157" t="s">
        <v>392</v>
      </c>
      <c r="E157" t="s">
        <v>395</v>
      </c>
      <c r="F157" s="18" t="s">
        <v>51</v>
      </c>
      <c r="G157" s="49">
        <f>VLOOKUP($A157,Master_Rack!$H$2:$N$265,5,FALSE)</f>
        <v>20</v>
      </c>
      <c r="H157" t="s">
        <v>252</v>
      </c>
      <c r="I157" t="s">
        <v>253</v>
      </c>
      <c r="J157" s="18" t="s">
        <v>65</v>
      </c>
      <c r="K157" s="18" t="s">
        <v>67</v>
      </c>
      <c r="L157" s="18" t="s">
        <v>73</v>
      </c>
      <c r="M157" s="18" t="s">
        <v>72</v>
      </c>
      <c r="N157" s="18" t="s">
        <v>293</v>
      </c>
      <c r="O157" s="18" t="s">
        <v>294</v>
      </c>
    </row>
    <row r="158" spans="1:15" ht="17" x14ac:dyDescent="0.2">
      <c r="A158" s="18" t="s">
        <v>52</v>
      </c>
      <c r="B158" t="s">
        <v>386</v>
      </c>
      <c r="C158" t="s">
        <v>389</v>
      </c>
      <c r="D158" t="s">
        <v>392</v>
      </c>
      <c r="E158" t="s">
        <v>395</v>
      </c>
      <c r="F158" s="18" t="s">
        <v>52</v>
      </c>
      <c r="G158" s="49">
        <f>VLOOKUP($A158,Master_Rack!$H$2:$N$265,5,FALSE)</f>
        <v>20</v>
      </c>
      <c r="H158" t="s">
        <v>252</v>
      </c>
      <c r="I158" t="s">
        <v>253</v>
      </c>
      <c r="J158" s="18" t="s">
        <v>64</v>
      </c>
      <c r="K158" s="18" t="s">
        <v>66</v>
      </c>
      <c r="L158" s="18" t="s">
        <v>73</v>
      </c>
      <c r="M158" s="18" t="s">
        <v>72</v>
      </c>
      <c r="N158" s="18" t="s">
        <v>293</v>
      </c>
      <c r="O158" s="18" t="s">
        <v>294</v>
      </c>
    </row>
    <row r="159" spans="1:15" ht="17" x14ac:dyDescent="0.2">
      <c r="A159" s="18" t="s">
        <v>53</v>
      </c>
      <c r="B159" t="s">
        <v>386</v>
      </c>
      <c r="C159" t="s">
        <v>389</v>
      </c>
      <c r="D159" t="s">
        <v>392</v>
      </c>
      <c r="E159" t="s">
        <v>395</v>
      </c>
      <c r="F159" s="18" t="s">
        <v>53</v>
      </c>
      <c r="G159" s="49">
        <f>VLOOKUP($A159,Master_Rack!$H$2:$N$265,5,FALSE)</f>
        <v>20</v>
      </c>
      <c r="H159" t="s">
        <v>252</v>
      </c>
      <c r="I159" t="s">
        <v>253</v>
      </c>
      <c r="J159" s="18" t="s">
        <v>65</v>
      </c>
      <c r="K159" s="18" t="s">
        <v>67</v>
      </c>
      <c r="L159" s="18" t="s">
        <v>73</v>
      </c>
      <c r="M159" s="18" t="s">
        <v>72</v>
      </c>
      <c r="N159" s="18" t="s">
        <v>293</v>
      </c>
      <c r="O159" s="18" t="s">
        <v>294</v>
      </c>
    </row>
    <row r="160" spans="1:15" ht="17" x14ac:dyDescent="0.2">
      <c r="A160" s="18" t="s">
        <v>54</v>
      </c>
      <c r="B160" t="s">
        <v>386</v>
      </c>
      <c r="C160" t="s">
        <v>389</v>
      </c>
      <c r="D160" t="s">
        <v>392</v>
      </c>
      <c r="E160" t="s">
        <v>395</v>
      </c>
      <c r="F160" s="18" t="s">
        <v>54</v>
      </c>
      <c r="G160" s="49">
        <f>VLOOKUP($A160,Master_Rack!$H$2:$N$265,5,FALSE)</f>
        <v>20</v>
      </c>
      <c r="H160" t="s">
        <v>252</v>
      </c>
      <c r="I160" t="s">
        <v>253</v>
      </c>
      <c r="J160" s="18" t="s">
        <v>64</v>
      </c>
      <c r="K160" s="18" t="s">
        <v>66</v>
      </c>
      <c r="L160" s="18" t="s">
        <v>73</v>
      </c>
      <c r="M160" s="18" t="s">
        <v>72</v>
      </c>
      <c r="N160" s="18" t="s">
        <v>293</v>
      </c>
      <c r="O160" s="18" t="s">
        <v>294</v>
      </c>
    </row>
    <row r="161" spans="1:15" ht="17" x14ac:dyDescent="0.2">
      <c r="A161" s="18" t="s">
        <v>55</v>
      </c>
      <c r="B161" t="s">
        <v>386</v>
      </c>
      <c r="C161" t="s">
        <v>389</v>
      </c>
      <c r="D161" t="s">
        <v>392</v>
      </c>
      <c r="E161" t="s">
        <v>395</v>
      </c>
      <c r="F161" s="18" t="s">
        <v>55</v>
      </c>
      <c r="G161" s="49">
        <f>VLOOKUP($A161,Master_Rack!$H$2:$N$265,5,FALSE)</f>
        <v>20</v>
      </c>
      <c r="H161" t="s">
        <v>252</v>
      </c>
      <c r="I161" t="s">
        <v>253</v>
      </c>
      <c r="J161" s="18" t="s">
        <v>65</v>
      </c>
      <c r="K161" s="18" t="s">
        <v>67</v>
      </c>
      <c r="L161" s="18" t="s">
        <v>73</v>
      </c>
      <c r="M161" s="18" t="s">
        <v>72</v>
      </c>
      <c r="N161" s="18" t="s">
        <v>293</v>
      </c>
      <c r="O161" s="18" t="s">
        <v>294</v>
      </c>
    </row>
    <row r="162" spans="1:15" ht="17" x14ac:dyDescent="0.2">
      <c r="A162" s="18" t="s">
        <v>56</v>
      </c>
      <c r="B162" t="s">
        <v>386</v>
      </c>
      <c r="C162" t="s">
        <v>389</v>
      </c>
      <c r="D162" t="s">
        <v>392</v>
      </c>
      <c r="E162" t="s">
        <v>395</v>
      </c>
      <c r="F162" s="18" t="s">
        <v>56</v>
      </c>
      <c r="G162" s="49">
        <f>VLOOKUP($A162,Master_Rack!$H$2:$N$265,5,FALSE)</f>
        <v>20</v>
      </c>
      <c r="H162" t="s">
        <v>252</v>
      </c>
      <c r="I162" t="s">
        <v>253</v>
      </c>
      <c r="J162" s="18" t="s">
        <v>64</v>
      </c>
      <c r="K162" s="18" t="s">
        <v>66</v>
      </c>
      <c r="L162" s="18" t="s">
        <v>73</v>
      </c>
      <c r="M162" s="18" t="s">
        <v>72</v>
      </c>
      <c r="N162" s="18" t="s">
        <v>293</v>
      </c>
      <c r="O162" s="18" t="s">
        <v>294</v>
      </c>
    </row>
    <row r="163" spans="1:15" ht="17" x14ac:dyDescent="0.2">
      <c r="A163" s="18" t="s">
        <v>57</v>
      </c>
      <c r="B163" t="s">
        <v>386</v>
      </c>
      <c r="C163" t="s">
        <v>389</v>
      </c>
      <c r="D163" t="s">
        <v>392</v>
      </c>
      <c r="E163" t="s">
        <v>395</v>
      </c>
      <c r="F163" s="18" t="s">
        <v>57</v>
      </c>
      <c r="G163" s="49">
        <f>VLOOKUP($A163,Master_Rack!$H$2:$N$265,5,FALSE)</f>
        <v>20</v>
      </c>
      <c r="H163" t="s">
        <v>252</v>
      </c>
      <c r="I163" t="s">
        <v>253</v>
      </c>
      <c r="J163" s="18" t="s">
        <v>65</v>
      </c>
      <c r="K163" s="18" t="s">
        <v>67</v>
      </c>
      <c r="L163" s="18" t="s">
        <v>73</v>
      </c>
      <c r="M163" s="18" t="s">
        <v>72</v>
      </c>
      <c r="N163" s="18" t="s">
        <v>293</v>
      </c>
      <c r="O163" s="18" t="s">
        <v>294</v>
      </c>
    </row>
    <row r="164" spans="1:15" ht="17" x14ac:dyDescent="0.2">
      <c r="A164" s="18" t="s">
        <v>58</v>
      </c>
      <c r="B164" t="s">
        <v>386</v>
      </c>
      <c r="C164" t="s">
        <v>389</v>
      </c>
      <c r="D164" t="s">
        <v>392</v>
      </c>
      <c r="E164" t="s">
        <v>395</v>
      </c>
      <c r="F164" s="18" t="s">
        <v>58</v>
      </c>
      <c r="G164" s="49">
        <f>VLOOKUP($A164,Master_Rack!$H$2:$N$265,5,FALSE)</f>
        <v>20</v>
      </c>
      <c r="H164" t="s">
        <v>252</v>
      </c>
      <c r="I164" t="s">
        <v>253</v>
      </c>
      <c r="J164" s="18" t="s">
        <v>64</v>
      </c>
      <c r="K164" s="18" t="s">
        <v>66</v>
      </c>
      <c r="L164" s="18" t="s">
        <v>73</v>
      </c>
      <c r="M164" s="18" t="s">
        <v>72</v>
      </c>
      <c r="N164" s="18" t="s">
        <v>293</v>
      </c>
      <c r="O164" s="18" t="s">
        <v>294</v>
      </c>
    </row>
    <row r="165" spans="1:15" ht="17" x14ac:dyDescent="0.2">
      <c r="A165" s="18" t="s">
        <v>59</v>
      </c>
      <c r="B165" t="s">
        <v>386</v>
      </c>
      <c r="C165" t="s">
        <v>389</v>
      </c>
      <c r="D165" t="s">
        <v>392</v>
      </c>
      <c r="E165" t="s">
        <v>395</v>
      </c>
      <c r="F165" s="18" t="s">
        <v>59</v>
      </c>
      <c r="G165" s="49">
        <f>VLOOKUP($A165,Master_Rack!$H$2:$N$265,5,FALSE)</f>
        <v>20</v>
      </c>
      <c r="H165" t="s">
        <v>252</v>
      </c>
      <c r="I165" t="s">
        <v>253</v>
      </c>
      <c r="J165" s="18" t="s">
        <v>65</v>
      </c>
      <c r="K165" s="18" t="s">
        <v>67</v>
      </c>
      <c r="L165" s="18" t="s">
        <v>73</v>
      </c>
      <c r="M165" s="18" t="s">
        <v>72</v>
      </c>
      <c r="N165" s="18" t="s">
        <v>293</v>
      </c>
      <c r="O165" s="18" t="s">
        <v>294</v>
      </c>
    </row>
    <row r="166" spans="1:15" ht="17" x14ac:dyDescent="0.2">
      <c r="A166" s="18" t="s">
        <v>60</v>
      </c>
      <c r="B166" t="s">
        <v>386</v>
      </c>
      <c r="C166" t="s">
        <v>389</v>
      </c>
      <c r="D166" t="s">
        <v>392</v>
      </c>
      <c r="E166" t="s">
        <v>395</v>
      </c>
      <c r="F166" s="18" t="s">
        <v>60</v>
      </c>
      <c r="G166" s="49">
        <f>VLOOKUP($A166,Master_Rack!$H$2:$N$265,5,FALSE)</f>
        <v>20</v>
      </c>
      <c r="H166" t="s">
        <v>252</v>
      </c>
      <c r="I166" t="s">
        <v>253</v>
      </c>
      <c r="J166" s="18" t="s">
        <v>64</v>
      </c>
      <c r="K166" s="18" t="s">
        <v>66</v>
      </c>
      <c r="L166" s="18" t="s">
        <v>73</v>
      </c>
      <c r="M166" s="18" t="s">
        <v>72</v>
      </c>
      <c r="N166" s="18" t="s">
        <v>293</v>
      </c>
      <c r="O166" s="18" t="s">
        <v>294</v>
      </c>
    </row>
    <row r="167" spans="1:15" ht="17" x14ac:dyDescent="0.2">
      <c r="A167" s="18" t="s">
        <v>61</v>
      </c>
      <c r="B167" t="s">
        <v>386</v>
      </c>
      <c r="C167" t="s">
        <v>389</v>
      </c>
      <c r="D167" t="s">
        <v>392</v>
      </c>
      <c r="E167" t="s">
        <v>395</v>
      </c>
      <c r="F167" s="18" t="s">
        <v>61</v>
      </c>
      <c r="G167" s="49">
        <f>VLOOKUP($A167,Master_Rack!$H$2:$N$265,5,FALSE)</f>
        <v>20</v>
      </c>
      <c r="H167" t="s">
        <v>252</v>
      </c>
      <c r="I167" t="s">
        <v>253</v>
      </c>
      <c r="J167" s="18" t="s">
        <v>65</v>
      </c>
      <c r="K167" s="18" t="s">
        <v>67</v>
      </c>
      <c r="L167" s="18" t="s">
        <v>73</v>
      </c>
      <c r="M167" s="18" t="s">
        <v>72</v>
      </c>
      <c r="N167" s="18" t="s">
        <v>293</v>
      </c>
      <c r="O167" s="18" t="s">
        <v>294</v>
      </c>
    </row>
    <row r="168" spans="1:15" ht="17" x14ac:dyDescent="0.2">
      <c r="A168" s="18" t="s">
        <v>62</v>
      </c>
      <c r="B168" t="s">
        <v>386</v>
      </c>
      <c r="C168" t="s">
        <v>389</v>
      </c>
      <c r="D168" t="s">
        <v>392</v>
      </c>
      <c r="E168" t="s">
        <v>395</v>
      </c>
      <c r="F168" s="18" t="s">
        <v>62</v>
      </c>
      <c r="G168" s="49">
        <f>VLOOKUP($A168,Master_Rack!$H$2:$N$265,5,FALSE)</f>
        <v>20</v>
      </c>
      <c r="H168" t="s">
        <v>252</v>
      </c>
      <c r="I168" t="s">
        <v>253</v>
      </c>
      <c r="J168" s="18" t="s">
        <v>64</v>
      </c>
      <c r="K168" s="18" t="s">
        <v>66</v>
      </c>
      <c r="L168" s="18" t="s">
        <v>73</v>
      </c>
      <c r="M168" s="18" t="s">
        <v>72</v>
      </c>
      <c r="N168" s="18" t="s">
        <v>293</v>
      </c>
      <c r="O168" s="18" t="s">
        <v>294</v>
      </c>
    </row>
    <row r="169" spans="1:15" ht="17" x14ac:dyDescent="0.2">
      <c r="A169" s="18" t="s">
        <v>63</v>
      </c>
      <c r="B169" t="s">
        <v>386</v>
      </c>
      <c r="C169" t="s">
        <v>389</v>
      </c>
      <c r="D169" t="s">
        <v>392</v>
      </c>
      <c r="E169" t="s">
        <v>395</v>
      </c>
      <c r="F169" s="18" t="s">
        <v>63</v>
      </c>
      <c r="G169" s="49">
        <f>VLOOKUP($A169,Master_Rack!$H$2:$N$265,5,FALSE)</f>
        <v>20</v>
      </c>
      <c r="H169" t="s">
        <v>252</v>
      </c>
      <c r="I169" t="s">
        <v>253</v>
      </c>
      <c r="J169" s="18" t="s">
        <v>65</v>
      </c>
      <c r="K169" s="18" t="s">
        <v>67</v>
      </c>
      <c r="L169" s="18" t="s">
        <v>73</v>
      </c>
      <c r="M169" s="18" t="s">
        <v>72</v>
      </c>
      <c r="N169" s="18" t="s">
        <v>293</v>
      </c>
      <c r="O169" s="18" t="s">
        <v>294</v>
      </c>
    </row>
    <row r="170" spans="1:15" x14ac:dyDescent="0.2">
      <c r="A170" s="42" t="s">
        <v>323</v>
      </c>
      <c r="B170" t="s">
        <v>387</v>
      </c>
      <c r="C170" t="s">
        <v>390</v>
      </c>
      <c r="D170" t="s">
        <v>393</v>
      </c>
      <c r="E170" t="s">
        <v>395</v>
      </c>
      <c r="F170" s="42" t="s">
        <v>323</v>
      </c>
      <c r="G170" s="49">
        <f>VLOOKUP($A170,Master_Rack!$H$2:$N$265,5,FALSE)</f>
        <v>60</v>
      </c>
      <c r="H170" t="s">
        <v>317</v>
      </c>
      <c r="I170" t="s">
        <v>319</v>
      </c>
      <c r="J170" t="s">
        <v>305</v>
      </c>
      <c r="K170" t="s">
        <v>306</v>
      </c>
      <c r="L170" t="s">
        <v>313</v>
      </c>
      <c r="M170" t="s">
        <v>314</v>
      </c>
      <c r="N170" t="s">
        <v>293</v>
      </c>
      <c r="O170" t="s">
        <v>294</v>
      </c>
    </row>
    <row r="171" spans="1:15" x14ac:dyDescent="0.2">
      <c r="A171" s="42" t="s">
        <v>324</v>
      </c>
      <c r="B171" t="s">
        <v>387</v>
      </c>
      <c r="C171" t="s">
        <v>390</v>
      </c>
      <c r="D171" t="s">
        <v>393</v>
      </c>
      <c r="E171" t="s">
        <v>395</v>
      </c>
      <c r="F171" s="42" t="s">
        <v>324</v>
      </c>
      <c r="G171" s="49">
        <f>VLOOKUP($A171,Master_Rack!$H$2:$N$265,5,FALSE)</f>
        <v>60</v>
      </c>
      <c r="H171" t="s">
        <v>317</v>
      </c>
      <c r="I171" t="s">
        <v>319</v>
      </c>
      <c r="J171" t="s">
        <v>305</v>
      </c>
      <c r="K171" t="s">
        <v>306</v>
      </c>
      <c r="L171" t="s">
        <v>313</v>
      </c>
      <c r="M171" t="s">
        <v>314</v>
      </c>
      <c r="N171" t="s">
        <v>293</v>
      </c>
      <c r="O171" t="s">
        <v>294</v>
      </c>
    </row>
    <row r="172" spans="1:15" x14ac:dyDescent="0.2">
      <c r="A172" s="42" t="s">
        <v>325</v>
      </c>
      <c r="B172" t="s">
        <v>387</v>
      </c>
      <c r="C172" t="s">
        <v>390</v>
      </c>
      <c r="D172" t="s">
        <v>393</v>
      </c>
      <c r="E172" t="s">
        <v>395</v>
      </c>
      <c r="F172" s="42" t="s">
        <v>325</v>
      </c>
      <c r="G172" s="49">
        <f>VLOOKUP($A172,Master_Rack!$H$2:$N$265,5,FALSE)</f>
        <v>60</v>
      </c>
      <c r="H172" t="s">
        <v>317</v>
      </c>
      <c r="I172" t="s">
        <v>319</v>
      </c>
      <c r="J172" t="s">
        <v>305</v>
      </c>
      <c r="K172" t="s">
        <v>306</v>
      </c>
      <c r="L172" t="s">
        <v>313</v>
      </c>
      <c r="M172" t="s">
        <v>314</v>
      </c>
      <c r="N172" t="s">
        <v>293</v>
      </c>
      <c r="O172" t="s">
        <v>294</v>
      </c>
    </row>
    <row r="173" spans="1:15" x14ac:dyDescent="0.2">
      <c r="A173" s="42" t="s">
        <v>326</v>
      </c>
      <c r="B173" t="s">
        <v>387</v>
      </c>
      <c r="C173" t="s">
        <v>390</v>
      </c>
      <c r="D173" t="s">
        <v>393</v>
      </c>
      <c r="E173" t="s">
        <v>395</v>
      </c>
      <c r="F173" s="42" t="s">
        <v>326</v>
      </c>
      <c r="G173" s="49">
        <f>VLOOKUP($A173,Master_Rack!$H$2:$N$265,5,FALSE)</f>
        <v>60</v>
      </c>
      <c r="H173" t="s">
        <v>317</v>
      </c>
      <c r="I173" t="s">
        <v>319</v>
      </c>
      <c r="J173" t="s">
        <v>305</v>
      </c>
      <c r="K173" t="s">
        <v>306</v>
      </c>
      <c r="L173" t="s">
        <v>313</v>
      </c>
      <c r="M173" t="s">
        <v>314</v>
      </c>
      <c r="N173" t="s">
        <v>293</v>
      </c>
      <c r="O173" t="s">
        <v>294</v>
      </c>
    </row>
    <row r="174" spans="1:15" x14ac:dyDescent="0.2">
      <c r="A174" s="42" t="s">
        <v>327</v>
      </c>
      <c r="B174" t="s">
        <v>387</v>
      </c>
      <c r="C174" t="s">
        <v>390</v>
      </c>
      <c r="D174" t="s">
        <v>393</v>
      </c>
      <c r="E174" t="s">
        <v>395</v>
      </c>
      <c r="F174" s="42" t="s">
        <v>327</v>
      </c>
      <c r="G174" s="49">
        <f>VLOOKUP($A174,Master_Rack!$H$2:$N$265,5,FALSE)</f>
        <v>60</v>
      </c>
      <c r="H174" t="s">
        <v>317</v>
      </c>
      <c r="I174" t="s">
        <v>319</v>
      </c>
      <c r="J174" t="s">
        <v>305</v>
      </c>
      <c r="K174" t="s">
        <v>306</v>
      </c>
      <c r="L174" t="s">
        <v>313</v>
      </c>
      <c r="M174" t="s">
        <v>314</v>
      </c>
      <c r="N174" t="s">
        <v>293</v>
      </c>
      <c r="O174" t="s">
        <v>294</v>
      </c>
    </row>
    <row r="175" spans="1:15" x14ac:dyDescent="0.2">
      <c r="A175" s="42" t="s">
        <v>328</v>
      </c>
      <c r="B175" t="s">
        <v>387</v>
      </c>
      <c r="C175" t="s">
        <v>390</v>
      </c>
      <c r="D175" t="s">
        <v>393</v>
      </c>
      <c r="E175" t="s">
        <v>395</v>
      </c>
      <c r="F175" s="42" t="s">
        <v>328</v>
      </c>
      <c r="G175" s="49">
        <f>VLOOKUP($A175,Master_Rack!$H$2:$N$265,5,FALSE)</f>
        <v>60</v>
      </c>
      <c r="H175" t="s">
        <v>317</v>
      </c>
      <c r="I175" t="s">
        <v>319</v>
      </c>
      <c r="J175" t="s">
        <v>305</v>
      </c>
      <c r="K175" t="s">
        <v>306</v>
      </c>
      <c r="L175" t="s">
        <v>313</v>
      </c>
      <c r="M175" t="s">
        <v>314</v>
      </c>
      <c r="N175" t="s">
        <v>293</v>
      </c>
      <c r="O175" t="s">
        <v>294</v>
      </c>
    </row>
    <row r="176" spans="1:15" x14ac:dyDescent="0.2">
      <c r="A176" s="42" t="s">
        <v>329</v>
      </c>
      <c r="B176" t="s">
        <v>387</v>
      </c>
      <c r="C176" t="s">
        <v>390</v>
      </c>
      <c r="D176" t="s">
        <v>393</v>
      </c>
      <c r="E176" t="s">
        <v>395</v>
      </c>
      <c r="F176" s="42" t="s">
        <v>329</v>
      </c>
      <c r="G176" s="49">
        <f>VLOOKUP($A176,Master_Rack!$H$2:$N$265,5,FALSE)</f>
        <v>60</v>
      </c>
      <c r="H176" t="s">
        <v>317</v>
      </c>
      <c r="I176" t="s">
        <v>319</v>
      </c>
      <c r="J176" t="s">
        <v>305</v>
      </c>
      <c r="K176" t="s">
        <v>306</v>
      </c>
      <c r="L176" t="s">
        <v>313</v>
      </c>
      <c r="M176" t="s">
        <v>314</v>
      </c>
      <c r="N176" t="s">
        <v>293</v>
      </c>
      <c r="O176" t="s">
        <v>294</v>
      </c>
    </row>
    <row r="177" spans="1:15" x14ac:dyDescent="0.2">
      <c r="A177" s="42" t="s">
        <v>330</v>
      </c>
      <c r="B177" t="s">
        <v>387</v>
      </c>
      <c r="C177" t="s">
        <v>390</v>
      </c>
      <c r="D177" t="s">
        <v>393</v>
      </c>
      <c r="E177" t="s">
        <v>395</v>
      </c>
      <c r="F177" s="42" t="s">
        <v>330</v>
      </c>
      <c r="G177" s="49">
        <f>VLOOKUP($A177,Master_Rack!$H$2:$N$265,5,FALSE)</f>
        <v>60</v>
      </c>
      <c r="H177" t="s">
        <v>317</v>
      </c>
      <c r="I177" t="s">
        <v>319</v>
      </c>
      <c r="J177" t="s">
        <v>305</v>
      </c>
      <c r="K177" t="s">
        <v>306</v>
      </c>
      <c r="L177" t="s">
        <v>313</v>
      </c>
      <c r="M177" t="s">
        <v>314</v>
      </c>
      <c r="N177" t="s">
        <v>293</v>
      </c>
      <c r="O177" t="s">
        <v>294</v>
      </c>
    </row>
    <row r="178" spans="1:15" x14ac:dyDescent="0.2">
      <c r="A178" s="42" t="s">
        <v>331</v>
      </c>
      <c r="B178" t="s">
        <v>387</v>
      </c>
      <c r="C178" t="s">
        <v>390</v>
      </c>
      <c r="D178" t="s">
        <v>393</v>
      </c>
      <c r="E178" t="s">
        <v>395</v>
      </c>
      <c r="F178" s="42" t="s">
        <v>331</v>
      </c>
      <c r="G178" s="49">
        <f>VLOOKUP($A178,Master_Rack!$H$2:$N$265,5,FALSE)</f>
        <v>60</v>
      </c>
      <c r="H178" t="s">
        <v>317</v>
      </c>
      <c r="I178" t="s">
        <v>319</v>
      </c>
      <c r="J178" t="s">
        <v>305</v>
      </c>
      <c r="K178" t="s">
        <v>306</v>
      </c>
      <c r="L178" t="s">
        <v>313</v>
      </c>
      <c r="M178" t="s">
        <v>314</v>
      </c>
      <c r="N178" t="s">
        <v>293</v>
      </c>
      <c r="O178" t="s">
        <v>294</v>
      </c>
    </row>
    <row r="179" spans="1:15" x14ac:dyDescent="0.2">
      <c r="A179" s="42" t="s">
        <v>332</v>
      </c>
      <c r="B179" t="s">
        <v>387</v>
      </c>
      <c r="C179" t="s">
        <v>390</v>
      </c>
      <c r="D179" t="s">
        <v>393</v>
      </c>
      <c r="E179" t="s">
        <v>395</v>
      </c>
      <c r="F179" s="42" t="s">
        <v>332</v>
      </c>
      <c r="G179" s="49">
        <f>VLOOKUP($A179,Master_Rack!$H$2:$N$265,5,FALSE)</f>
        <v>60</v>
      </c>
      <c r="H179" t="s">
        <v>317</v>
      </c>
      <c r="I179" t="s">
        <v>319</v>
      </c>
      <c r="J179" t="s">
        <v>305</v>
      </c>
      <c r="K179" t="s">
        <v>306</v>
      </c>
      <c r="L179" t="s">
        <v>313</v>
      </c>
      <c r="M179" t="s">
        <v>314</v>
      </c>
      <c r="N179" t="s">
        <v>293</v>
      </c>
      <c r="O179" t="s">
        <v>294</v>
      </c>
    </row>
    <row r="180" spans="1:15" x14ac:dyDescent="0.2">
      <c r="A180" s="42" t="s">
        <v>333</v>
      </c>
      <c r="B180" t="s">
        <v>387</v>
      </c>
      <c r="C180" t="s">
        <v>390</v>
      </c>
      <c r="D180" t="s">
        <v>393</v>
      </c>
      <c r="E180" t="s">
        <v>395</v>
      </c>
      <c r="F180" s="42" t="s">
        <v>333</v>
      </c>
      <c r="G180" s="49">
        <f>VLOOKUP($A180,Master_Rack!$H$2:$N$265,5,FALSE)</f>
        <v>60</v>
      </c>
      <c r="H180" t="s">
        <v>317</v>
      </c>
      <c r="I180" t="s">
        <v>319</v>
      </c>
      <c r="J180" t="s">
        <v>305</v>
      </c>
      <c r="K180" t="s">
        <v>306</v>
      </c>
      <c r="L180" t="s">
        <v>313</v>
      </c>
      <c r="M180" t="s">
        <v>314</v>
      </c>
      <c r="N180" t="s">
        <v>293</v>
      </c>
      <c r="O180" t="s">
        <v>294</v>
      </c>
    </row>
    <row r="181" spans="1:15" x14ac:dyDescent="0.2">
      <c r="A181" s="42" t="s">
        <v>334</v>
      </c>
      <c r="B181" t="s">
        <v>387</v>
      </c>
      <c r="C181" t="s">
        <v>390</v>
      </c>
      <c r="D181" t="s">
        <v>393</v>
      </c>
      <c r="E181" t="s">
        <v>395</v>
      </c>
      <c r="F181" s="42" t="s">
        <v>334</v>
      </c>
      <c r="G181" s="49">
        <f>VLOOKUP($A181,Master_Rack!$H$2:$N$265,5,FALSE)</f>
        <v>60</v>
      </c>
      <c r="H181" t="s">
        <v>317</v>
      </c>
      <c r="I181" t="s">
        <v>319</v>
      </c>
      <c r="J181" t="s">
        <v>305</v>
      </c>
      <c r="K181" t="s">
        <v>306</v>
      </c>
      <c r="L181" t="s">
        <v>313</v>
      </c>
      <c r="M181" t="s">
        <v>314</v>
      </c>
      <c r="N181" t="s">
        <v>293</v>
      </c>
      <c r="O181" t="s">
        <v>294</v>
      </c>
    </row>
    <row r="182" spans="1:15" x14ac:dyDescent="0.2">
      <c r="A182" s="42" t="s">
        <v>335</v>
      </c>
      <c r="B182" t="s">
        <v>387</v>
      </c>
      <c r="C182" t="s">
        <v>390</v>
      </c>
      <c r="D182" t="s">
        <v>393</v>
      </c>
      <c r="E182" t="s">
        <v>395</v>
      </c>
      <c r="F182" s="42" t="s">
        <v>335</v>
      </c>
      <c r="G182" s="49">
        <f>VLOOKUP($A182,Master_Rack!$H$2:$N$265,5,FALSE)</f>
        <v>60</v>
      </c>
      <c r="H182" t="s">
        <v>317</v>
      </c>
      <c r="I182" t="s">
        <v>319</v>
      </c>
      <c r="J182" t="s">
        <v>307</v>
      </c>
      <c r="K182" t="s">
        <v>308</v>
      </c>
      <c r="L182" t="s">
        <v>313</v>
      </c>
      <c r="M182" t="s">
        <v>314</v>
      </c>
      <c r="N182" t="s">
        <v>293</v>
      </c>
      <c r="O182" t="s">
        <v>294</v>
      </c>
    </row>
    <row r="183" spans="1:15" x14ac:dyDescent="0.2">
      <c r="A183" s="42" t="s">
        <v>336</v>
      </c>
      <c r="B183" t="s">
        <v>387</v>
      </c>
      <c r="C183" t="s">
        <v>390</v>
      </c>
      <c r="D183" t="s">
        <v>393</v>
      </c>
      <c r="E183" t="s">
        <v>395</v>
      </c>
      <c r="F183" s="42" t="s">
        <v>336</v>
      </c>
      <c r="G183" s="49">
        <f>VLOOKUP($A183,Master_Rack!$H$2:$N$265,5,FALSE)</f>
        <v>60</v>
      </c>
      <c r="H183" t="s">
        <v>317</v>
      </c>
      <c r="I183" t="s">
        <v>319</v>
      </c>
      <c r="J183" t="s">
        <v>307</v>
      </c>
      <c r="K183" t="s">
        <v>308</v>
      </c>
      <c r="L183" t="s">
        <v>313</v>
      </c>
      <c r="M183" t="s">
        <v>314</v>
      </c>
      <c r="N183" t="s">
        <v>293</v>
      </c>
      <c r="O183" t="s">
        <v>294</v>
      </c>
    </row>
    <row r="184" spans="1:15" x14ac:dyDescent="0.2">
      <c r="A184" s="42" t="s">
        <v>337</v>
      </c>
      <c r="B184" t="s">
        <v>387</v>
      </c>
      <c r="C184" t="s">
        <v>390</v>
      </c>
      <c r="D184" t="s">
        <v>393</v>
      </c>
      <c r="E184" t="s">
        <v>395</v>
      </c>
      <c r="F184" s="42" t="s">
        <v>337</v>
      </c>
      <c r="G184" s="49">
        <f>VLOOKUP($A184,Master_Rack!$H$2:$N$265,5,FALSE)</f>
        <v>60</v>
      </c>
      <c r="H184" t="s">
        <v>317</v>
      </c>
      <c r="I184" t="s">
        <v>319</v>
      </c>
      <c r="J184" t="s">
        <v>307</v>
      </c>
      <c r="K184" t="s">
        <v>308</v>
      </c>
      <c r="L184" t="s">
        <v>313</v>
      </c>
      <c r="M184" t="s">
        <v>314</v>
      </c>
      <c r="N184" t="s">
        <v>293</v>
      </c>
      <c r="O184" t="s">
        <v>294</v>
      </c>
    </row>
    <row r="185" spans="1:15" x14ac:dyDescent="0.2">
      <c r="A185" s="42" t="s">
        <v>338</v>
      </c>
      <c r="B185" t="s">
        <v>387</v>
      </c>
      <c r="C185" t="s">
        <v>390</v>
      </c>
      <c r="D185" t="s">
        <v>393</v>
      </c>
      <c r="E185" t="s">
        <v>395</v>
      </c>
      <c r="F185" s="42" t="s">
        <v>338</v>
      </c>
      <c r="G185" s="49">
        <f>VLOOKUP($A185,Master_Rack!$H$2:$N$265,5,FALSE)</f>
        <v>60</v>
      </c>
      <c r="H185" t="s">
        <v>317</v>
      </c>
      <c r="I185" t="s">
        <v>319</v>
      </c>
      <c r="J185" t="s">
        <v>307</v>
      </c>
      <c r="K185" t="s">
        <v>308</v>
      </c>
      <c r="L185" t="s">
        <v>313</v>
      </c>
      <c r="M185" t="s">
        <v>314</v>
      </c>
      <c r="N185" t="s">
        <v>293</v>
      </c>
      <c r="O185" t="s">
        <v>294</v>
      </c>
    </row>
    <row r="186" spans="1:15" x14ac:dyDescent="0.2">
      <c r="A186" s="42" t="s">
        <v>339</v>
      </c>
      <c r="B186" t="s">
        <v>387</v>
      </c>
      <c r="C186" t="s">
        <v>390</v>
      </c>
      <c r="D186" t="s">
        <v>393</v>
      </c>
      <c r="E186" t="s">
        <v>395</v>
      </c>
      <c r="F186" s="42" t="s">
        <v>339</v>
      </c>
      <c r="G186" s="49">
        <f>VLOOKUP($A186,Master_Rack!$H$2:$N$265,5,FALSE)</f>
        <v>60</v>
      </c>
      <c r="H186" t="s">
        <v>317</v>
      </c>
      <c r="I186" t="s">
        <v>319</v>
      </c>
      <c r="J186" t="s">
        <v>307</v>
      </c>
      <c r="K186" t="s">
        <v>308</v>
      </c>
      <c r="L186" t="s">
        <v>313</v>
      </c>
      <c r="M186" t="s">
        <v>314</v>
      </c>
      <c r="N186" t="s">
        <v>293</v>
      </c>
      <c r="O186" t="s">
        <v>294</v>
      </c>
    </row>
    <row r="187" spans="1:15" x14ac:dyDescent="0.2">
      <c r="A187" s="42" t="s">
        <v>340</v>
      </c>
      <c r="B187" t="s">
        <v>387</v>
      </c>
      <c r="C187" t="s">
        <v>390</v>
      </c>
      <c r="D187" t="s">
        <v>393</v>
      </c>
      <c r="E187" t="s">
        <v>395</v>
      </c>
      <c r="F187" s="42" t="s">
        <v>340</v>
      </c>
      <c r="G187" s="49">
        <f>VLOOKUP($A187,Master_Rack!$H$2:$N$265,5,FALSE)</f>
        <v>60</v>
      </c>
      <c r="H187" t="s">
        <v>317</v>
      </c>
      <c r="I187" t="s">
        <v>319</v>
      </c>
      <c r="J187" t="s">
        <v>307</v>
      </c>
      <c r="K187" t="s">
        <v>308</v>
      </c>
      <c r="L187" t="s">
        <v>313</v>
      </c>
      <c r="M187" t="s">
        <v>314</v>
      </c>
      <c r="N187" t="s">
        <v>293</v>
      </c>
      <c r="O187" t="s">
        <v>294</v>
      </c>
    </row>
    <row r="188" spans="1:15" x14ac:dyDescent="0.2">
      <c r="A188" s="42" t="s">
        <v>341</v>
      </c>
      <c r="B188" t="s">
        <v>387</v>
      </c>
      <c r="C188" t="s">
        <v>390</v>
      </c>
      <c r="D188" t="s">
        <v>393</v>
      </c>
      <c r="E188" t="s">
        <v>395</v>
      </c>
      <c r="F188" s="42" t="s">
        <v>341</v>
      </c>
      <c r="G188" s="49">
        <f>VLOOKUP($A188,Master_Rack!$H$2:$N$265,5,FALSE)</f>
        <v>60</v>
      </c>
      <c r="H188" t="s">
        <v>317</v>
      </c>
      <c r="I188" t="s">
        <v>319</v>
      </c>
      <c r="J188" t="s">
        <v>307</v>
      </c>
      <c r="K188" t="s">
        <v>308</v>
      </c>
      <c r="L188" t="s">
        <v>313</v>
      </c>
      <c r="M188" t="s">
        <v>314</v>
      </c>
      <c r="N188" t="s">
        <v>293</v>
      </c>
      <c r="O188" t="s">
        <v>294</v>
      </c>
    </row>
    <row r="189" spans="1:15" x14ac:dyDescent="0.2">
      <c r="A189" s="42" t="s">
        <v>342</v>
      </c>
      <c r="B189" t="s">
        <v>387</v>
      </c>
      <c r="C189" t="s">
        <v>390</v>
      </c>
      <c r="D189" t="s">
        <v>393</v>
      </c>
      <c r="E189" t="s">
        <v>395</v>
      </c>
      <c r="F189" s="42" t="s">
        <v>342</v>
      </c>
      <c r="G189" s="49">
        <f>VLOOKUP($A189,Master_Rack!$H$2:$N$265,5,FALSE)</f>
        <v>60</v>
      </c>
      <c r="H189" t="s">
        <v>317</v>
      </c>
      <c r="I189" t="s">
        <v>319</v>
      </c>
      <c r="J189" t="s">
        <v>307</v>
      </c>
      <c r="K189" t="s">
        <v>308</v>
      </c>
      <c r="L189" t="s">
        <v>313</v>
      </c>
      <c r="M189" t="s">
        <v>314</v>
      </c>
      <c r="N189" t="s">
        <v>293</v>
      </c>
      <c r="O189" t="s">
        <v>294</v>
      </c>
    </row>
    <row r="190" spans="1:15" x14ac:dyDescent="0.2">
      <c r="A190" s="42" t="s">
        <v>343</v>
      </c>
      <c r="B190" t="s">
        <v>387</v>
      </c>
      <c r="C190" t="s">
        <v>390</v>
      </c>
      <c r="D190" t="s">
        <v>393</v>
      </c>
      <c r="E190" t="s">
        <v>395</v>
      </c>
      <c r="F190" s="42" t="s">
        <v>343</v>
      </c>
      <c r="G190" s="49">
        <f>VLOOKUP($A190,Master_Rack!$H$2:$N$265,5,FALSE)</f>
        <v>60</v>
      </c>
      <c r="H190" t="s">
        <v>317</v>
      </c>
      <c r="I190" t="s">
        <v>319</v>
      </c>
      <c r="J190" t="s">
        <v>307</v>
      </c>
      <c r="K190" t="s">
        <v>308</v>
      </c>
      <c r="L190" t="s">
        <v>313</v>
      </c>
      <c r="M190" t="s">
        <v>314</v>
      </c>
      <c r="N190" t="s">
        <v>293</v>
      </c>
      <c r="O190" t="s">
        <v>294</v>
      </c>
    </row>
    <row r="191" spans="1:15" x14ac:dyDescent="0.2">
      <c r="A191" s="42" t="s">
        <v>344</v>
      </c>
      <c r="B191" t="s">
        <v>387</v>
      </c>
      <c r="C191" t="s">
        <v>390</v>
      </c>
      <c r="D191" t="s">
        <v>393</v>
      </c>
      <c r="E191" t="s">
        <v>395</v>
      </c>
      <c r="F191" s="42" t="s">
        <v>344</v>
      </c>
      <c r="G191" s="49">
        <f>VLOOKUP($A191,Master_Rack!$H$2:$N$265,5,FALSE)</f>
        <v>60</v>
      </c>
      <c r="H191" t="s">
        <v>317</v>
      </c>
      <c r="I191" t="s">
        <v>319</v>
      </c>
      <c r="J191" t="s">
        <v>307</v>
      </c>
      <c r="K191" t="s">
        <v>308</v>
      </c>
      <c r="L191" t="s">
        <v>313</v>
      </c>
      <c r="M191" t="s">
        <v>314</v>
      </c>
      <c r="N191" t="s">
        <v>293</v>
      </c>
      <c r="O191" t="s">
        <v>294</v>
      </c>
    </row>
    <row r="192" spans="1:15" x14ac:dyDescent="0.2">
      <c r="A192" s="42" t="s">
        <v>345</v>
      </c>
      <c r="B192" t="s">
        <v>387</v>
      </c>
      <c r="C192" t="s">
        <v>390</v>
      </c>
      <c r="D192" t="s">
        <v>393</v>
      </c>
      <c r="E192" t="s">
        <v>395</v>
      </c>
      <c r="F192" s="42" t="s">
        <v>345</v>
      </c>
      <c r="G192" s="49">
        <f>VLOOKUP($A192,Master_Rack!$H$2:$N$265,5,FALSE)</f>
        <v>60</v>
      </c>
      <c r="H192" t="s">
        <v>317</v>
      </c>
      <c r="I192" t="s">
        <v>319</v>
      </c>
      <c r="J192" t="s">
        <v>307</v>
      </c>
      <c r="K192" t="s">
        <v>308</v>
      </c>
      <c r="L192" t="s">
        <v>313</v>
      </c>
      <c r="M192" t="s">
        <v>314</v>
      </c>
      <c r="N192" t="s">
        <v>293</v>
      </c>
      <c r="O192" t="s">
        <v>294</v>
      </c>
    </row>
    <row r="193" spans="1:15" x14ac:dyDescent="0.2">
      <c r="A193" s="42" t="s">
        <v>346</v>
      </c>
      <c r="B193" t="s">
        <v>387</v>
      </c>
      <c r="C193" t="s">
        <v>390</v>
      </c>
      <c r="D193" t="s">
        <v>393</v>
      </c>
      <c r="E193" t="s">
        <v>395</v>
      </c>
      <c r="F193" s="42" t="s">
        <v>346</v>
      </c>
      <c r="G193" s="49">
        <f>VLOOKUP($A193,Master_Rack!$H$2:$N$265,5,FALSE)</f>
        <v>60</v>
      </c>
      <c r="H193" t="s">
        <v>317</v>
      </c>
      <c r="I193" t="s">
        <v>319</v>
      </c>
      <c r="J193" t="s">
        <v>307</v>
      </c>
      <c r="K193" t="s">
        <v>308</v>
      </c>
      <c r="L193" t="s">
        <v>313</v>
      </c>
      <c r="M193" t="s">
        <v>314</v>
      </c>
      <c r="N193" t="s">
        <v>293</v>
      </c>
      <c r="O193" t="s">
        <v>294</v>
      </c>
    </row>
    <row r="194" spans="1:15" x14ac:dyDescent="0.2">
      <c r="A194" s="42" t="s">
        <v>347</v>
      </c>
      <c r="B194" t="s">
        <v>388</v>
      </c>
      <c r="C194" t="s">
        <v>390</v>
      </c>
      <c r="D194" t="s">
        <v>393</v>
      </c>
      <c r="E194" t="s">
        <v>395</v>
      </c>
      <c r="F194" s="42" t="s">
        <v>347</v>
      </c>
      <c r="G194" s="49">
        <f>VLOOKUP($A194,Master_Rack!$H$2:$N$265,5,FALSE)</f>
        <v>60</v>
      </c>
      <c r="H194" t="s">
        <v>318</v>
      </c>
      <c r="I194" t="s">
        <v>320</v>
      </c>
      <c r="J194" t="s">
        <v>309</v>
      </c>
      <c r="K194" t="s">
        <v>310</v>
      </c>
      <c r="L194" t="s">
        <v>313</v>
      </c>
      <c r="M194" t="s">
        <v>314</v>
      </c>
      <c r="N194" t="s">
        <v>293</v>
      </c>
      <c r="O194" t="s">
        <v>294</v>
      </c>
    </row>
    <row r="195" spans="1:15" x14ac:dyDescent="0.2">
      <c r="A195" s="42" t="s">
        <v>348</v>
      </c>
      <c r="B195" t="s">
        <v>388</v>
      </c>
      <c r="C195" t="s">
        <v>390</v>
      </c>
      <c r="D195" t="s">
        <v>393</v>
      </c>
      <c r="E195" t="s">
        <v>395</v>
      </c>
      <c r="F195" s="42" t="s">
        <v>348</v>
      </c>
      <c r="G195" s="49">
        <f>VLOOKUP($A195,Master_Rack!$H$2:$N$265,5,FALSE)</f>
        <v>60</v>
      </c>
      <c r="H195" t="s">
        <v>318</v>
      </c>
      <c r="I195" t="s">
        <v>320</v>
      </c>
      <c r="J195" t="s">
        <v>309</v>
      </c>
      <c r="K195" t="s">
        <v>310</v>
      </c>
      <c r="L195" t="s">
        <v>313</v>
      </c>
      <c r="M195" t="s">
        <v>314</v>
      </c>
      <c r="N195" t="s">
        <v>293</v>
      </c>
      <c r="O195" t="s">
        <v>294</v>
      </c>
    </row>
    <row r="196" spans="1:15" x14ac:dyDescent="0.2">
      <c r="A196" s="42" t="s">
        <v>349</v>
      </c>
      <c r="B196" t="s">
        <v>388</v>
      </c>
      <c r="C196" t="s">
        <v>390</v>
      </c>
      <c r="D196" t="s">
        <v>393</v>
      </c>
      <c r="E196" t="s">
        <v>395</v>
      </c>
      <c r="F196" s="42" t="s">
        <v>349</v>
      </c>
      <c r="G196" s="49">
        <f>VLOOKUP($A196,Master_Rack!$H$2:$N$265,5,FALSE)</f>
        <v>60</v>
      </c>
      <c r="H196" t="s">
        <v>318</v>
      </c>
      <c r="I196" t="s">
        <v>320</v>
      </c>
      <c r="J196" t="s">
        <v>309</v>
      </c>
      <c r="K196" t="s">
        <v>310</v>
      </c>
      <c r="L196" t="s">
        <v>313</v>
      </c>
      <c r="M196" t="s">
        <v>314</v>
      </c>
      <c r="N196" t="s">
        <v>293</v>
      </c>
      <c r="O196" t="s">
        <v>294</v>
      </c>
    </row>
    <row r="197" spans="1:15" x14ac:dyDescent="0.2">
      <c r="A197" s="42" t="s">
        <v>350</v>
      </c>
      <c r="B197" t="s">
        <v>388</v>
      </c>
      <c r="C197" t="s">
        <v>390</v>
      </c>
      <c r="D197" t="s">
        <v>393</v>
      </c>
      <c r="E197" t="s">
        <v>395</v>
      </c>
      <c r="F197" s="42" t="s">
        <v>350</v>
      </c>
      <c r="G197" s="49">
        <f>VLOOKUP($A197,Master_Rack!$H$2:$N$265,5,FALSE)</f>
        <v>60</v>
      </c>
      <c r="H197" t="s">
        <v>318</v>
      </c>
      <c r="I197" t="s">
        <v>320</v>
      </c>
      <c r="J197" t="s">
        <v>309</v>
      </c>
      <c r="K197" t="s">
        <v>310</v>
      </c>
      <c r="L197" t="s">
        <v>313</v>
      </c>
      <c r="M197" t="s">
        <v>314</v>
      </c>
      <c r="N197" t="s">
        <v>293</v>
      </c>
      <c r="O197" t="s">
        <v>294</v>
      </c>
    </row>
    <row r="198" spans="1:15" x14ac:dyDescent="0.2">
      <c r="A198" s="42" t="s">
        <v>351</v>
      </c>
      <c r="B198" t="s">
        <v>388</v>
      </c>
      <c r="C198" t="s">
        <v>390</v>
      </c>
      <c r="D198" t="s">
        <v>393</v>
      </c>
      <c r="E198" t="s">
        <v>395</v>
      </c>
      <c r="F198" s="42" t="s">
        <v>351</v>
      </c>
      <c r="G198" s="49">
        <f>VLOOKUP($A198,Master_Rack!$H$2:$N$265,5,FALSE)</f>
        <v>60</v>
      </c>
      <c r="H198" t="s">
        <v>318</v>
      </c>
      <c r="I198" t="s">
        <v>320</v>
      </c>
      <c r="J198" t="s">
        <v>309</v>
      </c>
      <c r="K198" t="s">
        <v>310</v>
      </c>
      <c r="L198" t="s">
        <v>313</v>
      </c>
      <c r="M198" t="s">
        <v>314</v>
      </c>
      <c r="N198" t="s">
        <v>293</v>
      </c>
      <c r="O198" t="s">
        <v>294</v>
      </c>
    </row>
    <row r="199" spans="1:15" x14ac:dyDescent="0.2">
      <c r="A199" s="42" t="s">
        <v>352</v>
      </c>
      <c r="B199" t="s">
        <v>388</v>
      </c>
      <c r="C199" t="s">
        <v>390</v>
      </c>
      <c r="D199" t="s">
        <v>393</v>
      </c>
      <c r="E199" t="s">
        <v>395</v>
      </c>
      <c r="F199" s="42" t="s">
        <v>352</v>
      </c>
      <c r="G199" s="49">
        <f>VLOOKUP($A199,Master_Rack!$H$2:$N$265,5,FALSE)</f>
        <v>60</v>
      </c>
      <c r="H199" t="s">
        <v>318</v>
      </c>
      <c r="I199" t="s">
        <v>320</v>
      </c>
      <c r="J199" t="s">
        <v>309</v>
      </c>
      <c r="K199" t="s">
        <v>310</v>
      </c>
      <c r="L199" t="s">
        <v>313</v>
      </c>
      <c r="M199" t="s">
        <v>314</v>
      </c>
      <c r="N199" t="s">
        <v>293</v>
      </c>
      <c r="O199" t="s">
        <v>294</v>
      </c>
    </row>
    <row r="200" spans="1:15" x14ac:dyDescent="0.2">
      <c r="A200" s="42" t="s">
        <v>353</v>
      </c>
      <c r="B200" t="s">
        <v>388</v>
      </c>
      <c r="C200" t="s">
        <v>390</v>
      </c>
      <c r="D200" t="s">
        <v>393</v>
      </c>
      <c r="E200" t="s">
        <v>395</v>
      </c>
      <c r="F200" s="42" t="s">
        <v>353</v>
      </c>
      <c r="G200" s="49">
        <f>VLOOKUP($A200,Master_Rack!$H$2:$N$265,5,FALSE)</f>
        <v>60</v>
      </c>
      <c r="H200" t="s">
        <v>318</v>
      </c>
      <c r="I200" t="s">
        <v>320</v>
      </c>
      <c r="J200" t="s">
        <v>309</v>
      </c>
      <c r="K200" t="s">
        <v>310</v>
      </c>
      <c r="L200" t="s">
        <v>313</v>
      </c>
      <c r="M200" t="s">
        <v>314</v>
      </c>
      <c r="N200" t="s">
        <v>293</v>
      </c>
      <c r="O200" t="s">
        <v>294</v>
      </c>
    </row>
    <row r="201" spans="1:15" x14ac:dyDescent="0.2">
      <c r="A201" s="42" t="s">
        <v>354</v>
      </c>
      <c r="B201" t="s">
        <v>388</v>
      </c>
      <c r="C201" t="s">
        <v>390</v>
      </c>
      <c r="D201" t="s">
        <v>393</v>
      </c>
      <c r="E201" t="s">
        <v>395</v>
      </c>
      <c r="F201" s="42" t="s">
        <v>354</v>
      </c>
      <c r="G201" s="49">
        <f>VLOOKUP($A201,Master_Rack!$H$2:$N$265,5,FALSE)</f>
        <v>60</v>
      </c>
      <c r="H201" t="s">
        <v>318</v>
      </c>
      <c r="I201" t="s">
        <v>320</v>
      </c>
      <c r="J201" t="s">
        <v>309</v>
      </c>
      <c r="K201" t="s">
        <v>310</v>
      </c>
      <c r="L201" t="s">
        <v>313</v>
      </c>
      <c r="M201" t="s">
        <v>314</v>
      </c>
      <c r="N201" t="s">
        <v>293</v>
      </c>
      <c r="O201" t="s">
        <v>294</v>
      </c>
    </row>
    <row r="202" spans="1:15" x14ac:dyDescent="0.2">
      <c r="A202" s="42" t="s">
        <v>355</v>
      </c>
      <c r="B202" t="s">
        <v>388</v>
      </c>
      <c r="C202" t="s">
        <v>390</v>
      </c>
      <c r="D202" t="s">
        <v>393</v>
      </c>
      <c r="E202" t="s">
        <v>395</v>
      </c>
      <c r="F202" s="42" t="s">
        <v>355</v>
      </c>
      <c r="G202" s="49">
        <f>VLOOKUP($A202,Master_Rack!$H$2:$N$265,5,FALSE)</f>
        <v>60</v>
      </c>
      <c r="H202" t="s">
        <v>318</v>
      </c>
      <c r="I202" t="s">
        <v>320</v>
      </c>
      <c r="J202" t="s">
        <v>309</v>
      </c>
      <c r="K202" t="s">
        <v>310</v>
      </c>
      <c r="L202" t="s">
        <v>313</v>
      </c>
      <c r="M202" t="s">
        <v>314</v>
      </c>
      <c r="N202" t="s">
        <v>293</v>
      </c>
      <c r="O202" t="s">
        <v>294</v>
      </c>
    </row>
    <row r="203" spans="1:15" x14ac:dyDescent="0.2">
      <c r="A203" s="42" t="s">
        <v>356</v>
      </c>
      <c r="B203" t="s">
        <v>388</v>
      </c>
      <c r="C203" t="s">
        <v>390</v>
      </c>
      <c r="D203" t="s">
        <v>393</v>
      </c>
      <c r="E203" t="s">
        <v>395</v>
      </c>
      <c r="F203" s="42" t="s">
        <v>356</v>
      </c>
      <c r="G203" s="49">
        <f>VLOOKUP($A203,Master_Rack!$H$2:$N$265,5,FALSE)</f>
        <v>60</v>
      </c>
      <c r="H203" t="s">
        <v>318</v>
      </c>
      <c r="I203" t="s">
        <v>320</v>
      </c>
      <c r="J203" t="s">
        <v>309</v>
      </c>
      <c r="K203" t="s">
        <v>310</v>
      </c>
      <c r="L203" t="s">
        <v>313</v>
      </c>
      <c r="M203" t="s">
        <v>314</v>
      </c>
      <c r="N203" t="s">
        <v>293</v>
      </c>
      <c r="O203" t="s">
        <v>294</v>
      </c>
    </row>
    <row r="204" spans="1:15" x14ac:dyDescent="0.2">
      <c r="A204" s="42" t="s">
        <v>357</v>
      </c>
      <c r="B204" t="s">
        <v>388</v>
      </c>
      <c r="C204" t="s">
        <v>390</v>
      </c>
      <c r="D204" t="s">
        <v>393</v>
      </c>
      <c r="E204" t="s">
        <v>395</v>
      </c>
      <c r="F204" s="42" t="s">
        <v>357</v>
      </c>
      <c r="G204" s="49">
        <f>VLOOKUP($A204,Master_Rack!$H$2:$N$265,5,FALSE)</f>
        <v>60</v>
      </c>
      <c r="H204" t="s">
        <v>318</v>
      </c>
      <c r="I204" t="s">
        <v>320</v>
      </c>
      <c r="J204" t="s">
        <v>309</v>
      </c>
      <c r="K204" t="s">
        <v>310</v>
      </c>
      <c r="L204" t="s">
        <v>313</v>
      </c>
      <c r="M204" t="s">
        <v>314</v>
      </c>
      <c r="N204" t="s">
        <v>293</v>
      </c>
      <c r="O204" t="s">
        <v>294</v>
      </c>
    </row>
    <row r="205" spans="1:15" x14ac:dyDescent="0.2">
      <c r="A205" s="42" t="s">
        <v>358</v>
      </c>
      <c r="B205" t="s">
        <v>388</v>
      </c>
      <c r="C205" t="s">
        <v>390</v>
      </c>
      <c r="D205" t="s">
        <v>393</v>
      </c>
      <c r="E205" t="s">
        <v>395</v>
      </c>
      <c r="F205" s="42" t="s">
        <v>358</v>
      </c>
      <c r="G205" s="49">
        <f>VLOOKUP($A205,Master_Rack!$H$2:$N$265,5,FALSE)</f>
        <v>60</v>
      </c>
      <c r="H205" t="s">
        <v>318</v>
      </c>
      <c r="I205" t="s">
        <v>320</v>
      </c>
      <c r="J205" t="s">
        <v>309</v>
      </c>
      <c r="K205" t="s">
        <v>310</v>
      </c>
      <c r="L205" t="s">
        <v>313</v>
      </c>
      <c r="M205" t="s">
        <v>314</v>
      </c>
      <c r="N205" t="s">
        <v>293</v>
      </c>
      <c r="O205" t="s">
        <v>294</v>
      </c>
    </row>
    <row r="206" spans="1:15" x14ac:dyDescent="0.2">
      <c r="A206" s="42" t="s">
        <v>359</v>
      </c>
      <c r="B206" t="s">
        <v>388</v>
      </c>
      <c r="C206" t="s">
        <v>390</v>
      </c>
      <c r="D206" t="s">
        <v>393</v>
      </c>
      <c r="E206" t="s">
        <v>395</v>
      </c>
      <c r="F206" s="42" t="s">
        <v>359</v>
      </c>
      <c r="G206" s="49">
        <f>VLOOKUP($A206,Master_Rack!$H$2:$N$265,5,FALSE)</f>
        <v>60</v>
      </c>
      <c r="H206" t="s">
        <v>318</v>
      </c>
      <c r="I206" t="s">
        <v>320</v>
      </c>
      <c r="J206" t="s">
        <v>311</v>
      </c>
      <c r="K206" t="s">
        <v>312</v>
      </c>
      <c r="L206" t="s">
        <v>313</v>
      </c>
      <c r="M206" t="s">
        <v>314</v>
      </c>
      <c r="N206" t="s">
        <v>293</v>
      </c>
      <c r="O206" t="s">
        <v>294</v>
      </c>
    </row>
    <row r="207" spans="1:15" x14ac:dyDescent="0.2">
      <c r="A207" s="42" t="s">
        <v>360</v>
      </c>
      <c r="B207" t="s">
        <v>388</v>
      </c>
      <c r="C207" t="s">
        <v>390</v>
      </c>
      <c r="D207" t="s">
        <v>393</v>
      </c>
      <c r="E207" t="s">
        <v>395</v>
      </c>
      <c r="F207" s="42" t="s">
        <v>360</v>
      </c>
      <c r="G207" s="49">
        <f>VLOOKUP($A207,Master_Rack!$H$2:$N$265,5,FALSE)</f>
        <v>60</v>
      </c>
      <c r="H207" t="s">
        <v>318</v>
      </c>
      <c r="I207" t="s">
        <v>320</v>
      </c>
      <c r="J207" t="s">
        <v>311</v>
      </c>
      <c r="K207" t="s">
        <v>312</v>
      </c>
      <c r="L207" t="s">
        <v>313</v>
      </c>
      <c r="M207" t="s">
        <v>314</v>
      </c>
      <c r="N207" t="s">
        <v>293</v>
      </c>
      <c r="O207" t="s">
        <v>294</v>
      </c>
    </row>
    <row r="208" spans="1:15" x14ac:dyDescent="0.2">
      <c r="A208" s="42" t="s">
        <v>361</v>
      </c>
      <c r="B208" t="s">
        <v>388</v>
      </c>
      <c r="C208" t="s">
        <v>390</v>
      </c>
      <c r="D208" t="s">
        <v>393</v>
      </c>
      <c r="E208" t="s">
        <v>395</v>
      </c>
      <c r="F208" s="42" t="s">
        <v>361</v>
      </c>
      <c r="G208" s="49">
        <f>VLOOKUP($A208,Master_Rack!$H$2:$N$265,5,FALSE)</f>
        <v>60</v>
      </c>
      <c r="H208" t="s">
        <v>318</v>
      </c>
      <c r="I208" t="s">
        <v>320</v>
      </c>
      <c r="J208" t="s">
        <v>311</v>
      </c>
      <c r="K208" t="s">
        <v>312</v>
      </c>
      <c r="L208" t="s">
        <v>313</v>
      </c>
      <c r="M208" t="s">
        <v>314</v>
      </c>
      <c r="N208" t="s">
        <v>293</v>
      </c>
      <c r="O208" t="s">
        <v>294</v>
      </c>
    </row>
    <row r="209" spans="1:15" x14ac:dyDescent="0.2">
      <c r="A209" s="42" t="s">
        <v>362</v>
      </c>
      <c r="B209" t="s">
        <v>388</v>
      </c>
      <c r="C209" t="s">
        <v>390</v>
      </c>
      <c r="D209" t="s">
        <v>393</v>
      </c>
      <c r="E209" t="s">
        <v>395</v>
      </c>
      <c r="F209" s="42" t="s">
        <v>362</v>
      </c>
      <c r="G209" s="49">
        <f>VLOOKUP($A209,Master_Rack!$H$2:$N$265,5,FALSE)</f>
        <v>60</v>
      </c>
      <c r="H209" t="s">
        <v>318</v>
      </c>
      <c r="I209" t="s">
        <v>320</v>
      </c>
      <c r="J209" t="s">
        <v>311</v>
      </c>
      <c r="K209" t="s">
        <v>312</v>
      </c>
      <c r="L209" t="s">
        <v>313</v>
      </c>
      <c r="M209" t="s">
        <v>314</v>
      </c>
      <c r="N209" t="s">
        <v>293</v>
      </c>
      <c r="O209" t="s">
        <v>294</v>
      </c>
    </row>
    <row r="210" spans="1:15" x14ac:dyDescent="0.2">
      <c r="A210" s="42" t="s">
        <v>363</v>
      </c>
      <c r="B210" t="s">
        <v>388</v>
      </c>
      <c r="C210" t="s">
        <v>390</v>
      </c>
      <c r="D210" t="s">
        <v>393</v>
      </c>
      <c r="E210" t="s">
        <v>395</v>
      </c>
      <c r="F210" s="42" t="s">
        <v>363</v>
      </c>
      <c r="G210" s="49">
        <f>VLOOKUP($A210,Master_Rack!$H$2:$N$265,5,FALSE)</f>
        <v>60</v>
      </c>
      <c r="H210" t="s">
        <v>318</v>
      </c>
      <c r="I210" t="s">
        <v>320</v>
      </c>
      <c r="J210" t="s">
        <v>311</v>
      </c>
      <c r="K210" t="s">
        <v>312</v>
      </c>
      <c r="L210" t="s">
        <v>313</v>
      </c>
      <c r="M210" t="s">
        <v>314</v>
      </c>
      <c r="N210" t="s">
        <v>293</v>
      </c>
      <c r="O210" t="s">
        <v>294</v>
      </c>
    </row>
    <row r="211" spans="1:15" x14ac:dyDescent="0.2">
      <c r="A211" s="42" t="s">
        <v>364</v>
      </c>
      <c r="B211" t="s">
        <v>388</v>
      </c>
      <c r="C211" t="s">
        <v>390</v>
      </c>
      <c r="D211" t="s">
        <v>393</v>
      </c>
      <c r="E211" t="s">
        <v>395</v>
      </c>
      <c r="F211" s="42" t="s">
        <v>364</v>
      </c>
      <c r="G211" s="49">
        <f>VLOOKUP($A211,Master_Rack!$H$2:$N$265,5,FALSE)</f>
        <v>60</v>
      </c>
      <c r="H211" t="s">
        <v>318</v>
      </c>
      <c r="I211" t="s">
        <v>320</v>
      </c>
      <c r="J211" t="s">
        <v>311</v>
      </c>
      <c r="K211" t="s">
        <v>312</v>
      </c>
      <c r="L211" t="s">
        <v>313</v>
      </c>
      <c r="M211" t="s">
        <v>314</v>
      </c>
      <c r="N211" t="s">
        <v>293</v>
      </c>
      <c r="O211" t="s">
        <v>294</v>
      </c>
    </row>
    <row r="212" spans="1:15" x14ac:dyDescent="0.2">
      <c r="A212" s="42" t="s">
        <v>365</v>
      </c>
      <c r="B212" t="s">
        <v>388</v>
      </c>
      <c r="C212" t="s">
        <v>390</v>
      </c>
      <c r="D212" t="s">
        <v>393</v>
      </c>
      <c r="E212" t="s">
        <v>395</v>
      </c>
      <c r="F212" s="42" t="s">
        <v>365</v>
      </c>
      <c r="G212" s="49">
        <f>VLOOKUP($A212,Master_Rack!$H$2:$N$265,5,FALSE)</f>
        <v>60</v>
      </c>
      <c r="H212" t="s">
        <v>318</v>
      </c>
      <c r="I212" t="s">
        <v>320</v>
      </c>
      <c r="J212" t="s">
        <v>311</v>
      </c>
      <c r="K212" t="s">
        <v>312</v>
      </c>
      <c r="L212" t="s">
        <v>313</v>
      </c>
      <c r="M212" t="s">
        <v>314</v>
      </c>
      <c r="N212" t="s">
        <v>293</v>
      </c>
      <c r="O212" t="s">
        <v>294</v>
      </c>
    </row>
    <row r="213" spans="1:15" x14ac:dyDescent="0.2">
      <c r="A213" s="42" t="s">
        <v>366</v>
      </c>
      <c r="B213" t="s">
        <v>388</v>
      </c>
      <c r="C213" t="s">
        <v>390</v>
      </c>
      <c r="D213" t="s">
        <v>393</v>
      </c>
      <c r="E213" t="s">
        <v>395</v>
      </c>
      <c r="F213" s="42" t="s">
        <v>366</v>
      </c>
      <c r="G213" s="49">
        <f>VLOOKUP($A213,Master_Rack!$H$2:$N$265,5,FALSE)</f>
        <v>60</v>
      </c>
      <c r="H213" t="s">
        <v>318</v>
      </c>
      <c r="I213" t="s">
        <v>320</v>
      </c>
      <c r="J213" t="s">
        <v>311</v>
      </c>
      <c r="K213" t="s">
        <v>312</v>
      </c>
      <c r="L213" t="s">
        <v>313</v>
      </c>
      <c r="M213" t="s">
        <v>314</v>
      </c>
      <c r="N213" t="s">
        <v>293</v>
      </c>
      <c r="O213" t="s">
        <v>294</v>
      </c>
    </row>
    <row r="214" spans="1:15" x14ac:dyDescent="0.2">
      <c r="A214" s="42" t="s">
        <v>367</v>
      </c>
      <c r="B214" t="s">
        <v>388</v>
      </c>
      <c r="C214" t="s">
        <v>390</v>
      </c>
      <c r="D214" t="s">
        <v>393</v>
      </c>
      <c r="E214" t="s">
        <v>395</v>
      </c>
      <c r="F214" s="42" t="s">
        <v>367</v>
      </c>
      <c r="G214" s="49">
        <f>VLOOKUP($A214,Master_Rack!$H$2:$N$265,5,FALSE)</f>
        <v>60</v>
      </c>
      <c r="H214" t="s">
        <v>318</v>
      </c>
      <c r="I214" t="s">
        <v>320</v>
      </c>
      <c r="J214" t="s">
        <v>311</v>
      </c>
      <c r="K214" t="s">
        <v>312</v>
      </c>
      <c r="L214" t="s">
        <v>313</v>
      </c>
      <c r="M214" t="s">
        <v>314</v>
      </c>
      <c r="N214" t="s">
        <v>293</v>
      </c>
      <c r="O214" t="s">
        <v>294</v>
      </c>
    </row>
    <row r="215" spans="1:15" x14ac:dyDescent="0.2">
      <c r="A215" s="42" t="s">
        <v>368</v>
      </c>
      <c r="B215" t="s">
        <v>388</v>
      </c>
      <c r="C215" t="s">
        <v>390</v>
      </c>
      <c r="D215" t="s">
        <v>393</v>
      </c>
      <c r="E215" t="s">
        <v>395</v>
      </c>
      <c r="F215" s="42" t="s">
        <v>368</v>
      </c>
      <c r="G215" s="49">
        <f>VLOOKUP($A215,Master_Rack!$H$2:$N$265,5,FALSE)</f>
        <v>60</v>
      </c>
      <c r="H215" t="s">
        <v>318</v>
      </c>
      <c r="I215" t="s">
        <v>320</v>
      </c>
      <c r="J215" t="s">
        <v>311</v>
      </c>
      <c r="K215" t="s">
        <v>312</v>
      </c>
      <c r="L215" t="s">
        <v>313</v>
      </c>
      <c r="M215" t="s">
        <v>314</v>
      </c>
      <c r="N215" t="s">
        <v>293</v>
      </c>
      <c r="O215" t="s">
        <v>294</v>
      </c>
    </row>
    <row r="216" spans="1:15" x14ac:dyDescent="0.2">
      <c r="A216" s="42" t="s">
        <v>369</v>
      </c>
      <c r="B216" t="s">
        <v>388</v>
      </c>
      <c r="C216" t="s">
        <v>390</v>
      </c>
      <c r="D216" t="s">
        <v>393</v>
      </c>
      <c r="E216" t="s">
        <v>395</v>
      </c>
      <c r="F216" s="42" t="s">
        <v>369</v>
      </c>
      <c r="G216" s="49">
        <f>VLOOKUP($A216,Master_Rack!$H$2:$N$265,5,FALSE)</f>
        <v>60</v>
      </c>
      <c r="H216" t="s">
        <v>318</v>
      </c>
      <c r="I216" t="s">
        <v>320</v>
      </c>
      <c r="J216" t="s">
        <v>311</v>
      </c>
      <c r="K216" t="s">
        <v>312</v>
      </c>
      <c r="L216" t="s">
        <v>313</v>
      </c>
      <c r="M216" t="s">
        <v>314</v>
      </c>
      <c r="N216" t="s">
        <v>293</v>
      </c>
      <c r="O216" t="s">
        <v>294</v>
      </c>
    </row>
    <row r="217" spans="1:15" x14ac:dyDescent="0.2">
      <c r="A217" s="42" t="s">
        <v>370</v>
      </c>
      <c r="B217" t="s">
        <v>388</v>
      </c>
      <c r="C217" t="s">
        <v>390</v>
      </c>
      <c r="D217" t="s">
        <v>393</v>
      </c>
      <c r="E217" t="s">
        <v>395</v>
      </c>
      <c r="F217" s="42" t="s">
        <v>370</v>
      </c>
      <c r="G217" s="49">
        <f>VLOOKUP($A217,Master_Rack!$H$2:$N$265,5,FALSE)</f>
        <v>60</v>
      </c>
      <c r="H217" t="s">
        <v>318</v>
      </c>
      <c r="I217" t="s">
        <v>320</v>
      </c>
      <c r="J217" t="s">
        <v>311</v>
      </c>
      <c r="K217" t="s">
        <v>312</v>
      </c>
      <c r="L217" t="s">
        <v>313</v>
      </c>
      <c r="M217" t="s">
        <v>314</v>
      </c>
      <c r="N217" t="s">
        <v>293</v>
      </c>
      <c r="O217" t="s">
        <v>294</v>
      </c>
    </row>
    <row r="218" spans="1:15" x14ac:dyDescent="0.2">
      <c r="A218" t="s">
        <v>396</v>
      </c>
      <c r="B218" t="s">
        <v>455</v>
      </c>
      <c r="C218" t="s">
        <v>456</v>
      </c>
      <c r="D218" t="s">
        <v>457</v>
      </c>
      <c r="E218" t="s">
        <v>458</v>
      </c>
      <c r="F218" t="s">
        <v>396</v>
      </c>
      <c r="G218" s="49">
        <f>VLOOKUP($A218,Master_Rack!$H$2:$N$265,5,FALSE)</f>
        <v>15</v>
      </c>
      <c r="H218" t="s">
        <v>397</v>
      </c>
      <c r="I218" t="s">
        <v>446</v>
      </c>
      <c r="J218" s="45" t="s">
        <v>448</v>
      </c>
      <c r="L218" t="s">
        <v>452</v>
      </c>
      <c r="N218" t="s">
        <v>454</v>
      </c>
    </row>
    <row r="219" spans="1:15" x14ac:dyDescent="0.2">
      <c r="A219" t="s">
        <v>398</v>
      </c>
      <c r="B219" t="s">
        <v>455</v>
      </c>
      <c r="C219" t="s">
        <v>456</v>
      </c>
      <c r="D219" t="s">
        <v>457</v>
      </c>
      <c r="E219" t="s">
        <v>458</v>
      </c>
      <c r="F219" t="s">
        <v>398</v>
      </c>
      <c r="G219" s="49">
        <f>VLOOKUP($A219,Master_Rack!$H$2:$N$265,5,FALSE)</f>
        <v>15</v>
      </c>
      <c r="H219" t="s">
        <v>397</v>
      </c>
      <c r="I219" t="s">
        <v>446</v>
      </c>
      <c r="J219" s="45" t="s">
        <v>449</v>
      </c>
      <c r="L219" t="s">
        <v>452</v>
      </c>
      <c r="N219" t="s">
        <v>454</v>
      </c>
    </row>
    <row r="220" spans="1:15" x14ac:dyDescent="0.2">
      <c r="A220" t="s">
        <v>399</v>
      </c>
      <c r="B220" t="s">
        <v>455</v>
      </c>
      <c r="C220" t="s">
        <v>456</v>
      </c>
      <c r="D220" t="s">
        <v>457</v>
      </c>
      <c r="E220" t="s">
        <v>458</v>
      </c>
      <c r="F220" t="s">
        <v>399</v>
      </c>
      <c r="G220" s="49">
        <f>VLOOKUP($A220,Master_Rack!$H$2:$N$265,5,FALSE)</f>
        <v>15</v>
      </c>
      <c r="H220" t="s">
        <v>397</v>
      </c>
      <c r="I220" t="s">
        <v>446</v>
      </c>
      <c r="J220" s="45" t="s">
        <v>450</v>
      </c>
      <c r="L220" t="s">
        <v>453</v>
      </c>
      <c r="N220" t="s">
        <v>454</v>
      </c>
    </row>
    <row r="221" spans="1:15" x14ac:dyDescent="0.2">
      <c r="A221" t="s">
        <v>400</v>
      </c>
      <c r="B221" t="s">
        <v>455</v>
      </c>
      <c r="C221" t="s">
        <v>456</v>
      </c>
      <c r="D221" t="s">
        <v>457</v>
      </c>
      <c r="E221" t="s">
        <v>458</v>
      </c>
      <c r="F221" t="s">
        <v>400</v>
      </c>
      <c r="G221" s="49">
        <f>VLOOKUP($A221,Master_Rack!$H$2:$N$265,5,FALSE)</f>
        <v>15</v>
      </c>
      <c r="H221" t="s">
        <v>397</v>
      </c>
      <c r="I221" t="s">
        <v>446</v>
      </c>
      <c r="J221" s="45" t="s">
        <v>451</v>
      </c>
      <c r="L221" t="s">
        <v>453</v>
      </c>
      <c r="N221" t="s">
        <v>454</v>
      </c>
    </row>
    <row r="222" spans="1:15" x14ac:dyDescent="0.2">
      <c r="A222" t="s">
        <v>401</v>
      </c>
      <c r="B222" t="s">
        <v>455</v>
      </c>
      <c r="C222" t="s">
        <v>456</v>
      </c>
      <c r="D222" t="s">
        <v>457</v>
      </c>
      <c r="E222" t="s">
        <v>458</v>
      </c>
      <c r="F222" t="s">
        <v>401</v>
      </c>
      <c r="G222" s="49">
        <f>VLOOKUP($A222,Master_Rack!$H$2:$N$265,5,FALSE)</f>
        <v>15</v>
      </c>
      <c r="H222" t="s">
        <v>397</v>
      </c>
      <c r="I222" t="s">
        <v>446</v>
      </c>
      <c r="J222" s="45" t="s">
        <v>448</v>
      </c>
      <c r="L222" t="s">
        <v>452</v>
      </c>
      <c r="N222" t="s">
        <v>454</v>
      </c>
    </row>
    <row r="223" spans="1:15" x14ac:dyDescent="0.2">
      <c r="A223" t="s">
        <v>402</v>
      </c>
      <c r="B223" t="s">
        <v>455</v>
      </c>
      <c r="C223" t="s">
        <v>456</v>
      </c>
      <c r="D223" t="s">
        <v>457</v>
      </c>
      <c r="E223" t="s">
        <v>458</v>
      </c>
      <c r="F223" t="s">
        <v>402</v>
      </c>
      <c r="G223" s="49">
        <f>VLOOKUP($A223,Master_Rack!$H$2:$N$265,5,FALSE)</f>
        <v>15</v>
      </c>
      <c r="H223" t="s">
        <v>397</v>
      </c>
      <c r="I223" t="s">
        <v>446</v>
      </c>
      <c r="J223" s="45" t="s">
        <v>449</v>
      </c>
      <c r="L223" t="s">
        <v>452</v>
      </c>
      <c r="N223" t="s">
        <v>454</v>
      </c>
    </row>
    <row r="224" spans="1:15" x14ac:dyDescent="0.2">
      <c r="A224" t="s">
        <v>403</v>
      </c>
      <c r="B224" t="s">
        <v>455</v>
      </c>
      <c r="C224" t="s">
        <v>456</v>
      </c>
      <c r="D224" t="s">
        <v>457</v>
      </c>
      <c r="E224" t="s">
        <v>458</v>
      </c>
      <c r="F224" t="s">
        <v>403</v>
      </c>
      <c r="G224" s="49">
        <f>VLOOKUP($A224,Master_Rack!$H$2:$N$265,5,FALSE)</f>
        <v>15</v>
      </c>
      <c r="H224" t="s">
        <v>397</v>
      </c>
      <c r="I224" t="s">
        <v>446</v>
      </c>
      <c r="J224" s="45" t="s">
        <v>450</v>
      </c>
      <c r="L224" t="s">
        <v>453</v>
      </c>
      <c r="N224" t="s">
        <v>454</v>
      </c>
    </row>
    <row r="225" spans="1:14" x14ac:dyDescent="0.2">
      <c r="A225" t="s">
        <v>404</v>
      </c>
      <c r="B225" t="s">
        <v>455</v>
      </c>
      <c r="C225" t="s">
        <v>456</v>
      </c>
      <c r="D225" t="s">
        <v>457</v>
      </c>
      <c r="E225" t="s">
        <v>458</v>
      </c>
      <c r="F225" t="s">
        <v>404</v>
      </c>
      <c r="G225" s="49">
        <f>VLOOKUP($A225,Master_Rack!$H$2:$N$265,5,FALSE)</f>
        <v>15</v>
      </c>
      <c r="H225" t="s">
        <v>397</v>
      </c>
      <c r="I225" t="s">
        <v>446</v>
      </c>
      <c r="J225" s="45" t="s">
        <v>451</v>
      </c>
      <c r="L225" t="s">
        <v>453</v>
      </c>
      <c r="N225" t="s">
        <v>454</v>
      </c>
    </row>
    <row r="226" spans="1:14" x14ac:dyDescent="0.2">
      <c r="A226" t="s">
        <v>405</v>
      </c>
      <c r="B226" t="s">
        <v>455</v>
      </c>
      <c r="C226" t="s">
        <v>456</v>
      </c>
      <c r="D226" t="s">
        <v>457</v>
      </c>
      <c r="E226" t="s">
        <v>458</v>
      </c>
      <c r="F226" t="s">
        <v>405</v>
      </c>
      <c r="G226" s="49">
        <f>VLOOKUP($A226,Master_Rack!$H$2:$N$265,5,FALSE)</f>
        <v>15</v>
      </c>
      <c r="H226" t="s">
        <v>397</v>
      </c>
      <c r="I226" t="s">
        <v>446</v>
      </c>
      <c r="J226" s="45" t="s">
        <v>448</v>
      </c>
      <c r="L226" t="s">
        <v>452</v>
      </c>
      <c r="N226" t="s">
        <v>454</v>
      </c>
    </row>
    <row r="227" spans="1:14" x14ac:dyDescent="0.2">
      <c r="A227" t="s">
        <v>406</v>
      </c>
      <c r="B227" t="s">
        <v>455</v>
      </c>
      <c r="C227" t="s">
        <v>456</v>
      </c>
      <c r="D227" t="s">
        <v>457</v>
      </c>
      <c r="E227" t="s">
        <v>458</v>
      </c>
      <c r="F227" t="s">
        <v>406</v>
      </c>
      <c r="G227" s="49">
        <f>VLOOKUP($A227,Master_Rack!$H$2:$N$265,5,FALSE)</f>
        <v>15</v>
      </c>
      <c r="H227" t="s">
        <v>397</v>
      </c>
      <c r="I227" t="s">
        <v>446</v>
      </c>
      <c r="J227" s="45" t="s">
        <v>449</v>
      </c>
      <c r="L227" t="s">
        <v>452</v>
      </c>
      <c r="N227" t="s">
        <v>454</v>
      </c>
    </row>
    <row r="228" spans="1:14" x14ac:dyDescent="0.2">
      <c r="A228" t="s">
        <v>407</v>
      </c>
      <c r="B228" t="s">
        <v>455</v>
      </c>
      <c r="C228" t="s">
        <v>456</v>
      </c>
      <c r="D228" t="s">
        <v>457</v>
      </c>
      <c r="E228" t="s">
        <v>458</v>
      </c>
      <c r="F228" t="s">
        <v>407</v>
      </c>
      <c r="G228" s="49">
        <f>VLOOKUP($A228,Master_Rack!$H$2:$N$265,5,FALSE)</f>
        <v>15</v>
      </c>
      <c r="H228" t="s">
        <v>397</v>
      </c>
      <c r="I228" t="s">
        <v>446</v>
      </c>
      <c r="J228" s="45" t="s">
        <v>450</v>
      </c>
      <c r="L228" t="s">
        <v>453</v>
      </c>
      <c r="N228" t="s">
        <v>454</v>
      </c>
    </row>
    <row r="229" spans="1:14" x14ac:dyDescent="0.2">
      <c r="A229" t="s">
        <v>408</v>
      </c>
      <c r="B229" t="s">
        <v>455</v>
      </c>
      <c r="C229" t="s">
        <v>456</v>
      </c>
      <c r="D229" t="s">
        <v>457</v>
      </c>
      <c r="E229" t="s">
        <v>458</v>
      </c>
      <c r="F229" t="s">
        <v>408</v>
      </c>
      <c r="G229" s="49">
        <f>VLOOKUP($A229,Master_Rack!$H$2:$N$265,5,FALSE)</f>
        <v>15</v>
      </c>
      <c r="H229" t="s">
        <v>397</v>
      </c>
      <c r="I229" t="s">
        <v>446</v>
      </c>
      <c r="J229" s="45" t="s">
        <v>451</v>
      </c>
      <c r="L229" t="s">
        <v>453</v>
      </c>
      <c r="N229" t="s">
        <v>454</v>
      </c>
    </row>
    <row r="230" spans="1:14" x14ac:dyDescent="0.2">
      <c r="A230" t="s">
        <v>409</v>
      </c>
      <c r="B230" t="s">
        <v>455</v>
      </c>
      <c r="C230" t="s">
        <v>456</v>
      </c>
      <c r="D230" t="s">
        <v>457</v>
      </c>
      <c r="E230" t="s">
        <v>458</v>
      </c>
      <c r="F230" t="s">
        <v>409</v>
      </c>
      <c r="G230" s="49">
        <f>VLOOKUP($A230,Master_Rack!$H$2:$N$265,5,FALSE)</f>
        <v>15</v>
      </c>
      <c r="H230" t="s">
        <v>397</v>
      </c>
      <c r="I230" t="s">
        <v>446</v>
      </c>
      <c r="J230" s="45" t="s">
        <v>448</v>
      </c>
      <c r="L230" t="s">
        <v>452</v>
      </c>
      <c r="N230" t="s">
        <v>454</v>
      </c>
    </row>
    <row r="231" spans="1:14" x14ac:dyDescent="0.2">
      <c r="A231" t="s">
        <v>410</v>
      </c>
      <c r="B231" t="s">
        <v>455</v>
      </c>
      <c r="C231" t="s">
        <v>456</v>
      </c>
      <c r="D231" t="s">
        <v>457</v>
      </c>
      <c r="E231" t="s">
        <v>458</v>
      </c>
      <c r="F231" t="s">
        <v>410</v>
      </c>
      <c r="G231" s="49">
        <f>VLOOKUP($A231,Master_Rack!$H$2:$N$265,5,FALSE)</f>
        <v>15</v>
      </c>
      <c r="H231" t="s">
        <v>397</v>
      </c>
      <c r="I231" t="s">
        <v>446</v>
      </c>
      <c r="J231" s="45" t="s">
        <v>449</v>
      </c>
      <c r="L231" t="s">
        <v>452</v>
      </c>
      <c r="N231" t="s">
        <v>454</v>
      </c>
    </row>
    <row r="232" spans="1:14" x14ac:dyDescent="0.2">
      <c r="A232" t="s">
        <v>411</v>
      </c>
      <c r="B232" t="s">
        <v>455</v>
      </c>
      <c r="C232" t="s">
        <v>456</v>
      </c>
      <c r="D232" t="s">
        <v>457</v>
      </c>
      <c r="E232" t="s">
        <v>458</v>
      </c>
      <c r="F232" t="s">
        <v>411</v>
      </c>
      <c r="G232" s="49">
        <f>VLOOKUP($A232,Master_Rack!$H$2:$N$265,5,FALSE)</f>
        <v>15</v>
      </c>
      <c r="H232" t="s">
        <v>397</v>
      </c>
      <c r="I232" t="s">
        <v>446</v>
      </c>
      <c r="J232" s="45" t="s">
        <v>450</v>
      </c>
      <c r="L232" t="s">
        <v>453</v>
      </c>
      <c r="N232" t="s">
        <v>454</v>
      </c>
    </row>
    <row r="233" spans="1:14" x14ac:dyDescent="0.2">
      <c r="A233" t="s">
        <v>412</v>
      </c>
      <c r="B233" t="s">
        <v>455</v>
      </c>
      <c r="C233" t="s">
        <v>456</v>
      </c>
      <c r="D233" t="s">
        <v>457</v>
      </c>
      <c r="E233" t="s">
        <v>458</v>
      </c>
      <c r="F233" t="s">
        <v>412</v>
      </c>
      <c r="G233" s="49">
        <f>VLOOKUP($A233,Master_Rack!$H$2:$N$265,5,FALSE)</f>
        <v>15</v>
      </c>
      <c r="H233" t="s">
        <v>397</v>
      </c>
      <c r="I233" t="s">
        <v>446</v>
      </c>
      <c r="J233" s="45" t="s">
        <v>451</v>
      </c>
      <c r="L233" t="s">
        <v>453</v>
      </c>
      <c r="N233" t="s">
        <v>454</v>
      </c>
    </row>
    <row r="234" spans="1:14" x14ac:dyDescent="0.2">
      <c r="A234" t="s">
        <v>413</v>
      </c>
      <c r="B234" t="s">
        <v>455</v>
      </c>
      <c r="C234" t="s">
        <v>456</v>
      </c>
      <c r="D234" t="s">
        <v>457</v>
      </c>
      <c r="E234" t="s">
        <v>458</v>
      </c>
      <c r="F234" t="s">
        <v>413</v>
      </c>
      <c r="G234" s="49">
        <f>VLOOKUP($A234,Master_Rack!$H$2:$N$265,5,FALSE)</f>
        <v>15</v>
      </c>
      <c r="H234" t="s">
        <v>397</v>
      </c>
      <c r="I234" t="s">
        <v>446</v>
      </c>
      <c r="J234" s="45" t="s">
        <v>448</v>
      </c>
      <c r="L234" t="s">
        <v>452</v>
      </c>
      <c r="N234" t="s">
        <v>454</v>
      </c>
    </row>
    <row r="235" spans="1:14" x14ac:dyDescent="0.2">
      <c r="A235" t="s">
        <v>414</v>
      </c>
      <c r="B235" t="s">
        <v>455</v>
      </c>
      <c r="C235" t="s">
        <v>456</v>
      </c>
      <c r="D235" t="s">
        <v>457</v>
      </c>
      <c r="E235" t="s">
        <v>458</v>
      </c>
      <c r="F235" t="s">
        <v>414</v>
      </c>
      <c r="G235" s="49">
        <f>VLOOKUP($A235,Master_Rack!$H$2:$N$265,5,FALSE)</f>
        <v>15</v>
      </c>
      <c r="H235" t="s">
        <v>397</v>
      </c>
      <c r="I235" t="s">
        <v>446</v>
      </c>
      <c r="J235" s="45" t="s">
        <v>449</v>
      </c>
      <c r="L235" t="s">
        <v>452</v>
      </c>
      <c r="N235" t="s">
        <v>454</v>
      </c>
    </row>
    <row r="236" spans="1:14" x14ac:dyDescent="0.2">
      <c r="A236" t="s">
        <v>415</v>
      </c>
      <c r="B236" t="s">
        <v>455</v>
      </c>
      <c r="C236" t="s">
        <v>456</v>
      </c>
      <c r="D236" t="s">
        <v>457</v>
      </c>
      <c r="E236" t="s">
        <v>458</v>
      </c>
      <c r="F236" t="s">
        <v>415</v>
      </c>
      <c r="G236" s="49">
        <f>VLOOKUP($A236,Master_Rack!$H$2:$N$265,5,FALSE)</f>
        <v>15</v>
      </c>
      <c r="H236" t="s">
        <v>397</v>
      </c>
      <c r="I236" t="s">
        <v>446</v>
      </c>
      <c r="J236" s="45" t="s">
        <v>450</v>
      </c>
      <c r="L236" t="s">
        <v>453</v>
      </c>
      <c r="N236" t="s">
        <v>454</v>
      </c>
    </row>
    <row r="237" spans="1:14" x14ac:dyDescent="0.2">
      <c r="A237" t="s">
        <v>416</v>
      </c>
      <c r="B237" t="s">
        <v>455</v>
      </c>
      <c r="C237" t="s">
        <v>456</v>
      </c>
      <c r="D237" t="s">
        <v>457</v>
      </c>
      <c r="E237" t="s">
        <v>458</v>
      </c>
      <c r="F237" t="s">
        <v>416</v>
      </c>
      <c r="G237" s="49">
        <f>VLOOKUP($A237,Master_Rack!$H$2:$N$265,5,FALSE)</f>
        <v>15</v>
      </c>
      <c r="H237" t="s">
        <v>397</v>
      </c>
      <c r="I237" t="s">
        <v>446</v>
      </c>
      <c r="J237" s="45" t="s">
        <v>451</v>
      </c>
      <c r="L237" t="s">
        <v>453</v>
      </c>
      <c r="N237" t="s">
        <v>454</v>
      </c>
    </row>
    <row r="238" spans="1:14" x14ac:dyDescent="0.2">
      <c r="A238" t="s">
        <v>417</v>
      </c>
      <c r="B238" t="s">
        <v>455</v>
      </c>
      <c r="C238" t="s">
        <v>456</v>
      </c>
      <c r="D238" t="s">
        <v>457</v>
      </c>
      <c r="E238" t="s">
        <v>458</v>
      </c>
      <c r="F238" t="s">
        <v>417</v>
      </c>
      <c r="G238" s="49">
        <f>VLOOKUP($A238,Master_Rack!$H$2:$N$265,5,FALSE)</f>
        <v>15</v>
      </c>
      <c r="H238" t="s">
        <v>397</v>
      </c>
      <c r="I238" t="s">
        <v>446</v>
      </c>
      <c r="J238" s="45" t="s">
        <v>448</v>
      </c>
      <c r="L238" t="s">
        <v>452</v>
      </c>
      <c r="N238" t="s">
        <v>454</v>
      </c>
    </row>
    <row r="239" spans="1:14" x14ac:dyDescent="0.2">
      <c r="A239" t="s">
        <v>418</v>
      </c>
      <c r="B239" t="s">
        <v>455</v>
      </c>
      <c r="C239" t="s">
        <v>456</v>
      </c>
      <c r="D239" t="s">
        <v>457</v>
      </c>
      <c r="E239" t="s">
        <v>458</v>
      </c>
      <c r="F239" t="s">
        <v>418</v>
      </c>
      <c r="G239" s="49">
        <f>VLOOKUP($A239,Master_Rack!$H$2:$N$265,5,FALSE)</f>
        <v>15</v>
      </c>
      <c r="H239" t="s">
        <v>397</v>
      </c>
      <c r="I239" t="s">
        <v>446</v>
      </c>
      <c r="J239" s="45" t="s">
        <v>449</v>
      </c>
      <c r="L239" t="s">
        <v>452</v>
      </c>
      <c r="N239" t="s">
        <v>454</v>
      </c>
    </row>
    <row r="240" spans="1:14" x14ac:dyDescent="0.2">
      <c r="A240" t="s">
        <v>419</v>
      </c>
      <c r="B240" t="s">
        <v>455</v>
      </c>
      <c r="C240" t="s">
        <v>456</v>
      </c>
      <c r="D240" t="s">
        <v>457</v>
      </c>
      <c r="E240" t="s">
        <v>458</v>
      </c>
      <c r="F240" t="s">
        <v>419</v>
      </c>
      <c r="G240" s="49">
        <f>VLOOKUP($A240,Master_Rack!$H$2:$N$265,5,FALSE)</f>
        <v>15</v>
      </c>
      <c r="H240" t="s">
        <v>397</v>
      </c>
      <c r="I240" t="s">
        <v>446</v>
      </c>
      <c r="J240" s="45" t="s">
        <v>450</v>
      </c>
      <c r="L240" t="s">
        <v>453</v>
      </c>
      <c r="N240" t="s">
        <v>454</v>
      </c>
    </row>
    <row r="241" spans="1:14" x14ac:dyDescent="0.2">
      <c r="A241" t="s">
        <v>420</v>
      </c>
      <c r="B241" t="s">
        <v>455</v>
      </c>
      <c r="C241" t="s">
        <v>456</v>
      </c>
      <c r="D241" t="s">
        <v>457</v>
      </c>
      <c r="E241" t="s">
        <v>458</v>
      </c>
      <c r="F241" t="s">
        <v>420</v>
      </c>
      <c r="G241" s="49">
        <f>VLOOKUP($A241,Master_Rack!$H$2:$N$265,5,FALSE)</f>
        <v>15</v>
      </c>
      <c r="H241" t="s">
        <v>397</v>
      </c>
      <c r="I241" t="s">
        <v>446</v>
      </c>
      <c r="J241" s="45" t="s">
        <v>451</v>
      </c>
      <c r="L241" t="s">
        <v>453</v>
      </c>
      <c r="N241" t="s">
        <v>454</v>
      </c>
    </row>
    <row r="242" spans="1:14" x14ac:dyDescent="0.2">
      <c r="A242" t="s">
        <v>421</v>
      </c>
      <c r="B242" t="s">
        <v>455</v>
      </c>
      <c r="C242" t="s">
        <v>456</v>
      </c>
      <c r="D242" t="s">
        <v>457</v>
      </c>
      <c r="E242" t="s">
        <v>458</v>
      </c>
      <c r="F242" t="s">
        <v>421</v>
      </c>
      <c r="G242" s="49">
        <f>VLOOKUP($A242,Master_Rack!$H$2:$N$265,5,FALSE)</f>
        <v>15</v>
      </c>
      <c r="H242" t="s">
        <v>422</v>
      </c>
      <c r="I242" t="s">
        <v>447</v>
      </c>
      <c r="J242" s="45" t="s">
        <v>448</v>
      </c>
      <c r="L242" t="s">
        <v>452</v>
      </c>
      <c r="N242" t="s">
        <v>454</v>
      </c>
    </row>
    <row r="243" spans="1:14" x14ac:dyDescent="0.2">
      <c r="A243" t="s">
        <v>423</v>
      </c>
      <c r="B243" t="s">
        <v>455</v>
      </c>
      <c r="C243" t="s">
        <v>456</v>
      </c>
      <c r="D243" t="s">
        <v>457</v>
      </c>
      <c r="E243" t="s">
        <v>458</v>
      </c>
      <c r="F243" t="s">
        <v>423</v>
      </c>
      <c r="G243" s="49">
        <f>VLOOKUP($A243,Master_Rack!$H$2:$N$265,5,FALSE)</f>
        <v>15</v>
      </c>
      <c r="H243" t="s">
        <v>422</v>
      </c>
      <c r="I243" t="s">
        <v>447</v>
      </c>
      <c r="J243" s="45" t="s">
        <v>449</v>
      </c>
      <c r="L243" t="s">
        <v>452</v>
      </c>
      <c r="N243" t="s">
        <v>454</v>
      </c>
    </row>
    <row r="244" spans="1:14" x14ac:dyDescent="0.2">
      <c r="A244" t="s">
        <v>424</v>
      </c>
      <c r="B244" t="s">
        <v>455</v>
      </c>
      <c r="C244" t="s">
        <v>456</v>
      </c>
      <c r="D244" t="s">
        <v>457</v>
      </c>
      <c r="E244" t="s">
        <v>458</v>
      </c>
      <c r="F244" t="s">
        <v>424</v>
      </c>
      <c r="G244" s="49">
        <f>VLOOKUP($A244,Master_Rack!$H$2:$N$265,5,FALSE)</f>
        <v>15</v>
      </c>
      <c r="H244" t="s">
        <v>422</v>
      </c>
      <c r="I244" t="s">
        <v>447</v>
      </c>
      <c r="J244" s="45" t="s">
        <v>450</v>
      </c>
      <c r="L244" t="s">
        <v>453</v>
      </c>
      <c r="N244" t="s">
        <v>454</v>
      </c>
    </row>
    <row r="245" spans="1:14" x14ac:dyDescent="0.2">
      <c r="A245" t="s">
        <v>425</v>
      </c>
      <c r="B245" t="s">
        <v>455</v>
      </c>
      <c r="C245" t="s">
        <v>456</v>
      </c>
      <c r="D245" t="s">
        <v>457</v>
      </c>
      <c r="E245" t="s">
        <v>458</v>
      </c>
      <c r="F245" t="s">
        <v>425</v>
      </c>
      <c r="G245" s="49">
        <f>VLOOKUP($A245,Master_Rack!$H$2:$N$265,5,FALSE)</f>
        <v>15</v>
      </c>
      <c r="H245" t="s">
        <v>422</v>
      </c>
      <c r="I245" t="s">
        <v>447</v>
      </c>
      <c r="J245" s="45" t="s">
        <v>451</v>
      </c>
      <c r="L245" t="s">
        <v>453</v>
      </c>
      <c r="N245" t="s">
        <v>454</v>
      </c>
    </row>
    <row r="246" spans="1:14" x14ac:dyDescent="0.2">
      <c r="A246" t="s">
        <v>426</v>
      </c>
      <c r="B246" t="s">
        <v>455</v>
      </c>
      <c r="C246" t="s">
        <v>456</v>
      </c>
      <c r="D246" t="s">
        <v>457</v>
      </c>
      <c r="E246" t="s">
        <v>458</v>
      </c>
      <c r="F246" t="s">
        <v>426</v>
      </c>
      <c r="G246" s="49">
        <f>VLOOKUP($A246,Master_Rack!$H$2:$N$265,5,FALSE)</f>
        <v>15</v>
      </c>
      <c r="H246" t="s">
        <v>422</v>
      </c>
      <c r="I246" t="s">
        <v>447</v>
      </c>
      <c r="J246" s="45" t="s">
        <v>448</v>
      </c>
      <c r="L246" t="s">
        <v>452</v>
      </c>
      <c r="N246" t="s">
        <v>454</v>
      </c>
    </row>
    <row r="247" spans="1:14" x14ac:dyDescent="0.2">
      <c r="A247" t="s">
        <v>427</v>
      </c>
      <c r="B247" t="s">
        <v>455</v>
      </c>
      <c r="C247" t="s">
        <v>456</v>
      </c>
      <c r="D247" t="s">
        <v>457</v>
      </c>
      <c r="E247" t="s">
        <v>458</v>
      </c>
      <c r="F247" t="s">
        <v>427</v>
      </c>
      <c r="G247" s="49">
        <f>VLOOKUP($A247,Master_Rack!$H$2:$N$265,5,FALSE)</f>
        <v>15</v>
      </c>
      <c r="H247" t="s">
        <v>422</v>
      </c>
      <c r="I247" t="s">
        <v>447</v>
      </c>
      <c r="J247" s="45" t="s">
        <v>449</v>
      </c>
      <c r="L247" t="s">
        <v>452</v>
      </c>
      <c r="N247" t="s">
        <v>454</v>
      </c>
    </row>
    <row r="248" spans="1:14" x14ac:dyDescent="0.2">
      <c r="A248" t="s">
        <v>428</v>
      </c>
      <c r="B248" t="s">
        <v>455</v>
      </c>
      <c r="C248" t="s">
        <v>456</v>
      </c>
      <c r="D248" t="s">
        <v>457</v>
      </c>
      <c r="E248" t="s">
        <v>458</v>
      </c>
      <c r="F248" t="s">
        <v>428</v>
      </c>
      <c r="G248" s="49">
        <f>VLOOKUP($A248,Master_Rack!$H$2:$N$265,5,FALSE)</f>
        <v>15</v>
      </c>
      <c r="H248" t="s">
        <v>422</v>
      </c>
      <c r="I248" t="s">
        <v>447</v>
      </c>
      <c r="J248" s="45" t="s">
        <v>450</v>
      </c>
      <c r="L248" t="s">
        <v>453</v>
      </c>
      <c r="N248" t="s">
        <v>454</v>
      </c>
    </row>
    <row r="249" spans="1:14" x14ac:dyDescent="0.2">
      <c r="A249" t="s">
        <v>429</v>
      </c>
      <c r="B249" t="s">
        <v>455</v>
      </c>
      <c r="C249" t="s">
        <v>456</v>
      </c>
      <c r="D249" t="s">
        <v>457</v>
      </c>
      <c r="E249" t="s">
        <v>458</v>
      </c>
      <c r="F249" t="s">
        <v>429</v>
      </c>
      <c r="G249" s="49">
        <f>VLOOKUP($A249,Master_Rack!$H$2:$N$265,5,FALSE)</f>
        <v>15</v>
      </c>
      <c r="H249" t="s">
        <v>422</v>
      </c>
      <c r="I249" t="s">
        <v>447</v>
      </c>
      <c r="J249" s="45" t="s">
        <v>451</v>
      </c>
      <c r="L249" t="s">
        <v>453</v>
      </c>
      <c r="N249" t="s">
        <v>454</v>
      </c>
    </row>
    <row r="250" spans="1:14" x14ac:dyDescent="0.2">
      <c r="A250" t="s">
        <v>430</v>
      </c>
      <c r="B250" t="s">
        <v>455</v>
      </c>
      <c r="C250" t="s">
        <v>456</v>
      </c>
      <c r="D250" t="s">
        <v>457</v>
      </c>
      <c r="E250" t="s">
        <v>458</v>
      </c>
      <c r="F250" t="s">
        <v>430</v>
      </c>
      <c r="G250" s="49">
        <f>VLOOKUP($A250,Master_Rack!$H$2:$N$265,5,FALSE)</f>
        <v>15</v>
      </c>
      <c r="H250" t="s">
        <v>422</v>
      </c>
      <c r="I250" t="s">
        <v>447</v>
      </c>
      <c r="J250" s="45" t="s">
        <v>448</v>
      </c>
      <c r="L250" t="s">
        <v>452</v>
      </c>
      <c r="N250" t="s">
        <v>454</v>
      </c>
    </row>
    <row r="251" spans="1:14" x14ac:dyDescent="0.2">
      <c r="A251" t="s">
        <v>431</v>
      </c>
      <c r="B251" t="s">
        <v>455</v>
      </c>
      <c r="C251" t="s">
        <v>456</v>
      </c>
      <c r="D251" t="s">
        <v>457</v>
      </c>
      <c r="E251" t="s">
        <v>458</v>
      </c>
      <c r="F251" t="s">
        <v>431</v>
      </c>
      <c r="G251" s="49">
        <f>VLOOKUP($A251,Master_Rack!$H$2:$N$265,5,FALSE)</f>
        <v>15</v>
      </c>
      <c r="H251" t="s">
        <v>422</v>
      </c>
      <c r="I251" t="s">
        <v>447</v>
      </c>
      <c r="J251" s="45" t="s">
        <v>449</v>
      </c>
      <c r="L251" t="s">
        <v>452</v>
      </c>
      <c r="N251" t="s">
        <v>454</v>
      </c>
    </row>
    <row r="252" spans="1:14" x14ac:dyDescent="0.2">
      <c r="A252" t="s">
        <v>432</v>
      </c>
      <c r="B252" t="s">
        <v>455</v>
      </c>
      <c r="C252" t="s">
        <v>456</v>
      </c>
      <c r="D252" t="s">
        <v>457</v>
      </c>
      <c r="E252" t="s">
        <v>458</v>
      </c>
      <c r="F252" t="s">
        <v>432</v>
      </c>
      <c r="G252" s="49">
        <f>VLOOKUP($A252,Master_Rack!$H$2:$N$265,5,FALSE)</f>
        <v>15</v>
      </c>
      <c r="H252" t="s">
        <v>422</v>
      </c>
      <c r="I252" t="s">
        <v>447</v>
      </c>
      <c r="J252" s="45" t="s">
        <v>450</v>
      </c>
      <c r="L252" t="s">
        <v>453</v>
      </c>
      <c r="N252" t="s">
        <v>454</v>
      </c>
    </row>
    <row r="253" spans="1:14" x14ac:dyDescent="0.2">
      <c r="A253" t="s">
        <v>433</v>
      </c>
      <c r="B253" t="s">
        <v>455</v>
      </c>
      <c r="C253" t="s">
        <v>456</v>
      </c>
      <c r="D253" t="s">
        <v>457</v>
      </c>
      <c r="E253" t="s">
        <v>458</v>
      </c>
      <c r="F253" t="s">
        <v>433</v>
      </c>
      <c r="G253" s="49">
        <f>VLOOKUP($A253,Master_Rack!$H$2:$N$265,5,FALSE)</f>
        <v>15</v>
      </c>
      <c r="H253" t="s">
        <v>422</v>
      </c>
      <c r="I253" t="s">
        <v>447</v>
      </c>
      <c r="J253" s="45" t="s">
        <v>451</v>
      </c>
      <c r="L253" t="s">
        <v>453</v>
      </c>
      <c r="N253" t="s">
        <v>454</v>
      </c>
    </row>
    <row r="254" spans="1:14" x14ac:dyDescent="0.2">
      <c r="A254" t="s">
        <v>434</v>
      </c>
      <c r="B254" t="s">
        <v>455</v>
      </c>
      <c r="C254" t="s">
        <v>456</v>
      </c>
      <c r="D254" t="s">
        <v>457</v>
      </c>
      <c r="E254" t="s">
        <v>458</v>
      </c>
      <c r="F254" t="s">
        <v>434</v>
      </c>
      <c r="G254" s="49">
        <f>VLOOKUP($A254,Master_Rack!$H$2:$N$265,5,FALSE)</f>
        <v>15</v>
      </c>
      <c r="H254" t="s">
        <v>422</v>
      </c>
      <c r="I254" t="s">
        <v>447</v>
      </c>
      <c r="J254" s="45" t="s">
        <v>448</v>
      </c>
      <c r="L254" t="s">
        <v>452</v>
      </c>
      <c r="N254" t="s">
        <v>454</v>
      </c>
    </row>
    <row r="255" spans="1:14" x14ac:dyDescent="0.2">
      <c r="A255" t="s">
        <v>435</v>
      </c>
      <c r="B255" t="s">
        <v>455</v>
      </c>
      <c r="C255" t="s">
        <v>456</v>
      </c>
      <c r="D255" t="s">
        <v>457</v>
      </c>
      <c r="E255" t="s">
        <v>458</v>
      </c>
      <c r="F255" t="s">
        <v>435</v>
      </c>
      <c r="G255" s="49">
        <f>VLOOKUP($A255,Master_Rack!$H$2:$N$265,5,FALSE)</f>
        <v>15</v>
      </c>
      <c r="H255" t="s">
        <v>422</v>
      </c>
      <c r="I255" t="s">
        <v>447</v>
      </c>
      <c r="J255" s="45" t="s">
        <v>449</v>
      </c>
      <c r="L255" t="s">
        <v>452</v>
      </c>
      <c r="N255" t="s">
        <v>454</v>
      </c>
    </row>
    <row r="256" spans="1:14" x14ac:dyDescent="0.2">
      <c r="A256" t="s">
        <v>436</v>
      </c>
      <c r="B256" t="s">
        <v>455</v>
      </c>
      <c r="C256" t="s">
        <v>456</v>
      </c>
      <c r="D256" t="s">
        <v>457</v>
      </c>
      <c r="E256" t="s">
        <v>458</v>
      </c>
      <c r="F256" t="s">
        <v>436</v>
      </c>
      <c r="G256" s="49">
        <f>VLOOKUP($A256,Master_Rack!$H$2:$N$265,5,FALSE)</f>
        <v>15</v>
      </c>
      <c r="H256" t="s">
        <v>422</v>
      </c>
      <c r="I256" t="s">
        <v>447</v>
      </c>
      <c r="J256" s="45" t="s">
        <v>450</v>
      </c>
      <c r="L256" t="s">
        <v>453</v>
      </c>
      <c r="N256" t="s">
        <v>454</v>
      </c>
    </row>
    <row r="257" spans="1:14" x14ac:dyDescent="0.2">
      <c r="A257" t="s">
        <v>437</v>
      </c>
      <c r="B257" t="s">
        <v>455</v>
      </c>
      <c r="C257" t="s">
        <v>456</v>
      </c>
      <c r="D257" t="s">
        <v>457</v>
      </c>
      <c r="E257" t="s">
        <v>458</v>
      </c>
      <c r="F257" t="s">
        <v>437</v>
      </c>
      <c r="G257" s="49">
        <f>VLOOKUP($A257,Master_Rack!$H$2:$N$265,5,FALSE)</f>
        <v>15</v>
      </c>
      <c r="H257" t="s">
        <v>422</v>
      </c>
      <c r="I257" t="s">
        <v>447</v>
      </c>
      <c r="J257" s="45" t="s">
        <v>451</v>
      </c>
      <c r="L257" t="s">
        <v>453</v>
      </c>
      <c r="N257" t="s">
        <v>454</v>
      </c>
    </row>
    <row r="258" spans="1:14" x14ac:dyDescent="0.2">
      <c r="A258" t="s">
        <v>438</v>
      </c>
      <c r="B258" t="s">
        <v>455</v>
      </c>
      <c r="C258" t="s">
        <v>456</v>
      </c>
      <c r="D258" t="s">
        <v>457</v>
      </c>
      <c r="E258" t="s">
        <v>458</v>
      </c>
      <c r="F258" t="s">
        <v>438</v>
      </c>
      <c r="G258" s="49">
        <f>VLOOKUP($A258,Master_Rack!$H$2:$N$265,5,FALSE)</f>
        <v>15</v>
      </c>
      <c r="H258" t="s">
        <v>422</v>
      </c>
      <c r="I258" t="s">
        <v>447</v>
      </c>
      <c r="J258" s="45" t="s">
        <v>448</v>
      </c>
      <c r="L258" t="s">
        <v>452</v>
      </c>
      <c r="N258" t="s">
        <v>454</v>
      </c>
    </row>
    <row r="259" spans="1:14" x14ac:dyDescent="0.2">
      <c r="A259" t="s">
        <v>439</v>
      </c>
      <c r="B259" t="s">
        <v>455</v>
      </c>
      <c r="C259" t="s">
        <v>456</v>
      </c>
      <c r="D259" t="s">
        <v>457</v>
      </c>
      <c r="E259" t="s">
        <v>458</v>
      </c>
      <c r="F259" t="s">
        <v>439</v>
      </c>
      <c r="G259" s="49">
        <f>VLOOKUP($A259,Master_Rack!$H$2:$N$265,5,FALSE)</f>
        <v>15</v>
      </c>
      <c r="H259" t="s">
        <v>422</v>
      </c>
      <c r="I259" t="s">
        <v>447</v>
      </c>
      <c r="J259" s="45" t="s">
        <v>449</v>
      </c>
      <c r="L259" t="s">
        <v>452</v>
      </c>
      <c r="N259" t="s">
        <v>454</v>
      </c>
    </row>
    <row r="260" spans="1:14" x14ac:dyDescent="0.2">
      <c r="A260" t="s">
        <v>440</v>
      </c>
      <c r="B260" t="s">
        <v>455</v>
      </c>
      <c r="C260" t="s">
        <v>456</v>
      </c>
      <c r="D260" t="s">
        <v>457</v>
      </c>
      <c r="E260" t="s">
        <v>458</v>
      </c>
      <c r="F260" t="s">
        <v>440</v>
      </c>
      <c r="G260" s="49">
        <f>VLOOKUP($A260,Master_Rack!$H$2:$N$265,5,FALSE)</f>
        <v>15</v>
      </c>
      <c r="H260" t="s">
        <v>422</v>
      </c>
      <c r="I260" t="s">
        <v>447</v>
      </c>
      <c r="J260" s="45" t="s">
        <v>450</v>
      </c>
      <c r="L260" t="s">
        <v>453</v>
      </c>
      <c r="N260" t="s">
        <v>454</v>
      </c>
    </row>
    <row r="261" spans="1:14" x14ac:dyDescent="0.2">
      <c r="A261" t="s">
        <v>441</v>
      </c>
      <c r="B261" t="s">
        <v>455</v>
      </c>
      <c r="C261" t="s">
        <v>456</v>
      </c>
      <c r="D261" t="s">
        <v>457</v>
      </c>
      <c r="E261" t="s">
        <v>458</v>
      </c>
      <c r="F261" t="s">
        <v>441</v>
      </c>
      <c r="G261" s="49">
        <f>VLOOKUP($A261,Master_Rack!$H$2:$N$265,5,FALSE)</f>
        <v>15</v>
      </c>
      <c r="H261" t="s">
        <v>422</v>
      </c>
      <c r="I261" t="s">
        <v>447</v>
      </c>
      <c r="J261" s="45" t="s">
        <v>451</v>
      </c>
      <c r="L261" t="s">
        <v>453</v>
      </c>
      <c r="N261" t="s">
        <v>454</v>
      </c>
    </row>
    <row r="262" spans="1:14" x14ac:dyDescent="0.2">
      <c r="A262" t="s">
        <v>442</v>
      </c>
      <c r="B262" t="s">
        <v>455</v>
      </c>
      <c r="C262" t="s">
        <v>456</v>
      </c>
      <c r="D262" t="s">
        <v>457</v>
      </c>
      <c r="E262" t="s">
        <v>458</v>
      </c>
      <c r="F262" t="s">
        <v>442</v>
      </c>
      <c r="G262" s="49">
        <f>VLOOKUP($A262,Master_Rack!$H$2:$N$265,5,FALSE)</f>
        <v>15</v>
      </c>
      <c r="H262" t="s">
        <v>422</v>
      </c>
      <c r="I262" t="s">
        <v>447</v>
      </c>
      <c r="J262" s="45" t="s">
        <v>448</v>
      </c>
      <c r="L262" t="s">
        <v>452</v>
      </c>
      <c r="N262" t="s">
        <v>454</v>
      </c>
    </row>
    <row r="263" spans="1:14" x14ac:dyDescent="0.2">
      <c r="A263" t="s">
        <v>443</v>
      </c>
      <c r="B263" t="s">
        <v>455</v>
      </c>
      <c r="C263" t="s">
        <v>456</v>
      </c>
      <c r="D263" t="s">
        <v>457</v>
      </c>
      <c r="E263" t="s">
        <v>458</v>
      </c>
      <c r="F263" t="s">
        <v>443</v>
      </c>
      <c r="G263" s="49">
        <f>VLOOKUP($A263,Master_Rack!$H$2:$N$265,5,FALSE)</f>
        <v>15</v>
      </c>
      <c r="H263" t="s">
        <v>422</v>
      </c>
      <c r="I263" t="s">
        <v>447</v>
      </c>
      <c r="J263" s="45" t="s">
        <v>449</v>
      </c>
      <c r="L263" t="s">
        <v>452</v>
      </c>
      <c r="N263" t="s">
        <v>454</v>
      </c>
    </row>
    <row r="264" spans="1:14" x14ac:dyDescent="0.2">
      <c r="A264" t="s">
        <v>444</v>
      </c>
      <c r="B264" t="s">
        <v>455</v>
      </c>
      <c r="C264" t="s">
        <v>456</v>
      </c>
      <c r="D264" t="s">
        <v>457</v>
      </c>
      <c r="E264" t="s">
        <v>458</v>
      </c>
      <c r="F264" t="s">
        <v>444</v>
      </c>
      <c r="G264" s="49">
        <f>VLOOKUP($A264,Master_Rack!$H$2:$N$265,5,FALSE)</f>
        <v>15</v>
      </c>
      <c r="H264" t="s">
        <v>422</v>
      </c>
      <c r="I264" t="s">
        <v>447</v>
      </c>
      <c r="J264" s="45" t="s">
        <v>450</v>
      </c>
      <c r="L264" t="s">
        <v>453</v>
      </c>
      <c r="N264" t="s">
        <v>454</v>
      </c>
    </row>
    <row r="265" spans="1:14" x14ac:dyDescent="0.2">
      <c r="A265" t="s">
        <v>445</v>
      </c>
      <c r="B265" t="s">
        <v>455</v>
      </c>
      <c r="C265" t="s">
        <v>456</v>
      </c>
      <c r="D265" t="s">
        <v>457</v>
      </c>
      <c r="E265" t="s">
        <v>458</v>
      </c>
      <c r="F265" t="s">
        <v>445</v>
      </c>
      <c r="G265" s="49">
        <f>VLOOKUP($A265,Master_Rack!$H$2:$N$265,5,FALSE)</f>
        <v>15</v>
      </c>
      <c r="H265" t="s">
        <v>422</v>
      </c>
      <c r="I265" t="s">
        <v>447</v>
      </c>
      <c r="J265" s="45" t="s">
        <v>451</v>
      </c>
      <c r="L265" t="s">
        <v>453</v>
      </c>
      <c r="N265" t="s">
        <v>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A0D5-7D42-E148-908E-2DB266A2FE39}">
  <dimension ref="A1:I265"/>
  <sheetViews>
    <sheetView zoomScale="120" zoomScaleNormal="120" workbookViewId="0">
      <pane ySplit="1" topLeftCell="A43" activePane="bottomLeft" state="frozen"/>
      <selection pane="bottomLeft" activeCell="E64" sqref="E64"/>
    </sheetView>
  </sheetViews>
  <sheetFormatPr baseColWidth="10" defaultRowHeight="16" x14ac:dyDescent="0.2"/>
  <cols>
    <col min="1" max="2" width="18" customWidth="1"/>
    <col min="3" max="3" width="15.6640625" customWidth="1"/>
    <col min="4" max="5" width="9.6640625" customWidth="1"/>
    <col min="6" max="7" width="14.33203125" customWidth="1"/>
    <col min="8" max="8" width="20.1640625" customWidth="1"/>
    <col min="9" max="9" width="17.6640625" bestFit="1" customWidth="1"/>
  </cols>
  <sheetData>
    <row r="1" spans="1:9" ht="68" x14ac:dyDescent="0.2">
      <c r="A1" s="17" t="s">
        <v>2</v>
      </c>
      <c r="B1" s="17" t="s">
        <v>696</v>
      </c>
      <c r="C1" s="17" t="s">
        <v>1</v>
      </c>
      <c r="D1" s="52" t="s">
        <v>694</v>
      </c>
      <c r="E1" s="17" t="s">
        <v>282</v>
      </c>
      <c r="F1" s="17" t="s">
        <v>0</v>
      </c>
      <c r="G1" s="17" t="s">
        <v>257</v>
      </c>
      <c r="H1" s="17" t="s">
        <v>245</v>
      </c>
      <c r="I1" s="17"/>
    </row>
    <row r="2" spans="1:9" x14ac:dyDescent="0.2">
      <c r="A2" s="3" t="s">
        <v>85</v>
      </c>
      <c r="B2" s="3">
        <f>VLOOKUP($A2,Master_Rack!$H$2:$L$265,5,FALSE)</f>
        <v>30</v>
      </c>
      <c r="C2" t="s">
        <v>246</v>
      </c>
      <c r="D2" s="26">
        <v>0.75</v>
      </c>
      <c r="E2" s="27">
        <f>B2*D2</f>
        <v>22.5</v>
      </c>
      <c r="F2" s="26" t="s">
        <v>254</v>
      </c>
      <c r="G2" s="27">
        <f>B2*(1-D2)</f>
        <v>7.5</v>
      </c>
      <c r="H2" t="s">
        <v>248</v>
      </c>
    </row>
    <row r="3" spans="1:9" x14ac:dyDescent="0.2">
      <c r="A3" s="3" t="s">
        <v>86</v>
      </c>
      <c r="B3" s="3">
        <f>VLOOKUP($A3,Master_Rack!$H$2:$L$265,5,FALSE)</f>
        <v>30</v>
      </c>
      <c r="C3" t="s">
        <v>246</v>
      </c>
      <c r="D3" s="26">
        <v>0.75</v>
      </c>
      <c r="E3" s="27">
        <f t="shared" ref="E3:E66" si="0">B3*D3</f>
        <v>22.5</v>
      </c>
      <c r="F3" s="26" t="s">
        <v>254</v>
      </c>
      <c r="G3" s="27">
        <f t="shared" ref="G3:G66" si="1">B3*(1-D3)</f>
        <v>7.5</v>
      </c>
      <c r="H3" t="s">
        <v>248</v>
      </c>
    </row>
    <row r="4" spans="1:9" x14ac:dyDescent="0.2">
      <c r="A4" s="3" t="s">
        <v>87</v>
      </c>
      <c r="B4" s="3">
        <f>VLOOKUP($A4,Master_Rack!$H$2:$L$265,5,FALSE)</f>
        <v>30</v>
      </c>
      <c r="C4" t="s">
        <v>246</v>
      </c>
      <c r="D4" s="26">
        <v>0.75</v>
      </c>
      <c r="E4" s="27">
        <f t="shared" si="0"/>
        <v>22.5</v>
      </c>
      <c r="F4" s="26" t="s">
        <v>254</v>
      </c>
      <c r="G4" s="27">
        <f t="shared" si="1"/>
        <v>7.5</v>
      </c>
      <c r="H4" t="s">
        <v>248</v>
      </c>
    </row>
    <row r="5" spans="1:9" x14ac:dyDescent="0.2">
      <c r="A5" s="3" t="s">
        <v>88</v>
      </c>
      <c r="B5" s="3">
        <f>VLOOKUP($A5,Master_Rack!$H$2:$L$265,5,FALSE)</f>
        <v>30</v>
      </c>
      <c r="C5" t="s">
        <v>246</v>
      </c>
      <c r="D5" s="26">
        <v>0.75</v>
      </c>
      <c r="E5" s="27">
        <f t="shared" si="0"/>
        <v>22.5</v>
      </c>
      <c r="F5" s="26" t="s">
        <v>254</v>
      </c>
      <c r="G5" s="27">
        <f t="shared" si="1"/>
        <v>7.5</v>
      </c>
      <c r="H5" t="s">
        <v>248</v>
      </c>
    </row>
    <row r="6" spans="1:9" x14ac:dyDescent="0.2">
      <c r="A6" s="3" t="s">
        <v>89</v>
      </c>
      <c r="B6" s="3">
        <f>VLOOKUP($A6,Master_Rack!$H$2:$L$265,5,FALSE)</f>
        <v>30</v>
      </c>
      <c r="C6" t="s">
        <v>246</v>
      </c>
      <c r="D6" s="26">
        <v>0.75</v>
      </c>
      <c r="E6" s="27">
        <f t="shared" si="0"/>
        <v>22.5</v>
      </c>
      <c r="F6" s="26" t="s">
        <v>254</v>
      </c>
      <c r="G6" s="27">
        <f t="shared" si="1"/>
        <v>7.5</v>
      </c>
      <c r="H6" t="s">
        <v>248</v>
      </c>
    </row>
    <row r="7" spans="1:9" x14ac:dyDescent="0.2">
      <c r="A7" s="3" t="s">
        <v>90</v>
      </c>
      <c r="B7" s="3">
        <f>VLOOKUP($A7,Master_Rack!$H$2:$L$265,5,FALSE)</f>
        <v>30</v>
      </c>
      <c r="C7" t="s">
        <v>246</v>
      </c>
      <c r="D7" s="26">
        <v>0.75</v>
      </c>
      <c r="E7" s="27">
        <f t="shared" si="0"/>
        <v>22.5</v>
      </c>
      <c r="F7" s="26" t="s">
        <v>254</v>
      </c>
      <c r="G7" s="27">
        <f t="shared" si="1"/>
        <v>7.5</v>
      </c>
      <c r="H7" t="s">
        <v>248</v>
      </c>
    </row>
    <row r="8" spans="1:9" x14ac:dyDescent="0.2">
      <c r="A8" s="3" t="s">
        <v>91</v>
      </c>
      <c r="B8" s="3">
        <f>VLOOKUP($A8,Master_Rack!$H$2:$L$265,5,FALSE)</f>
        <v>30</v>
      </c>
      <c r="C8" t="s">
        <v>246</v>
      </c>
      <c r="D8" s="26">
        <v>0.75</v>
      </c>
      <c r="E8" s="27">
        <f t="shared" si="0"/>
        <v>22.5</v>
      </c>
      <c r="F8" s="26" t="s">
        <v>254</v>
      </c>
      <c r="G8" s="27">
        <f t="shared" si="1"/>
        <v>7.5</v>
      </c>
      <c r="H8" t="s">
        <v>248</v>
      </c>
    </row>
    <row r="9" spans="1:9" x14ac:dyDescent="0.2">
      <c r="A9" s="3" t="s">
        <v>92</v>
      </c>
      <c r="B9" s="3">
        <f>VLOOKUP($A9,Master_Rack!$H$2:$L$265,5,FALSE)</f>
        <v>30</v>
      </c>
      <c r="C9" t="s">
        <v>246</v>
      </c>
      <c r="D9" s="26">
        <v>0.75</v>
      </c>
      <c r="E9" s="27">
        <f t="shared" si="0"/>
        <v>22.5</v>
      </c>
      <c r="F9" s="26" t="s">
        <v>254</v>
      </c>
      <c r="G9" s="27">
        <f t="shared" si="1"/>
        <v>7.5</v>
      </c>
      <c r="H9" t="s">
        <v>248</v>
      </c>
    </row>
    <row r="10" spans="1:9" x14ac:dyDescent="0.2">
      <c r="A10" s="3" t="s">
        <v>93</v>
      </c>
      <c r="B10" s="3">
        <f>VLOOKUP($A10,Master_Rack!$H$2:$L$265,5,FALSE)</f>
        <v>30</v>
      </c>
      <c r="C10" t="s">
        <v>246</v>
      </c>
      <c r="D10" s="26">
        <v>0.75</v>
      </c>
      <c r="E10" s="27">
        <f t="shared" si="0"/>
        <v>22.5</v>
      </c>
      <c r="F10" s="26" t="s">
        <v>254</v>
      </c>
      <c r="G10" s="27">
        <f t="shared" si="1"/>
        <v>7.5</v>
      </c>
      <c r="H10" t="s">
        <v>248</v>
      </c>
    </row>
    <row r="11" spans="1:9" x14ac:dyDescent="0.2">
      <c r="A11" s="3" t="s">
        <v>94</v>
      </c>
      <c r="B11" s="3">
        <f>VLOOKUP($A11,Master_Rack!$H$2:$L$265,5,FALSE)</f>
        <v>30</v>
      </c>
      <c r="C11" t="s">
        <v>246</v>
      </c>
      <c r="D11" s="26">
        <v>0.75</v>
      </c>
      <c r="E11" s="27">
        <f t="shared" si="0"/>
        <v>22.5</v>
      </c>
      <c r="F11" s="26" t="s">
        <v>254</v>
      </c>
      <c r="G11" s="27">
        <f t="shared" si="1"/>
        <v>7.5</v>
      </c>
      <c r="H11" t="s">
        <v>248</v>
      </c>
    </row>
    <row r="12" spans="1:9" x14ac:dyDescent="0.2">
      <c r="A12" s="3" t="s">
        <v>95</v>
      </c>
      <c r="B12" s="3">
        <f>VLOOKUP($A12,Master_Rack!$H$2:$L$265,5,FALSE)</f>
        <v>30</v>
      </c>
      <c r="C12" t="s">
        <v>246</v>
      </c>
      <c r="D12" s="26">
        <v>0.75</v>
      </c>
      <c r="E12" s="27">
        <f t="shared" si="0"/>
        <v>22.5</v>
      </c>
      <c r="F12" s="26" t="s">
        <v>254</v>
      </c>
      <c r="G12" s="27">
        <f t="shared" si="1"/>
        <v>7.5</v>
      </c>
      <c r="H12" t="s">
        <v>248</v>
      </c>
    </row>
    <row r="13" spans="1:9" x14ac:dyDescent="0.2">
      <c r="A13" s="3" t="s">
        <v>96</v>
      </c>
      <c r="B13" s="3">
        <f>VLOOKUP($A13,Master_Rack!$H$2:$L$265,5,FALSE)</f>
        <v>30</v>
      </c>
      <c r="C13" t="s">
        <v>246</v>
      </c>
      <c r="D13" s="26">
        <v>0.75</v>
      </c>
      <c r="E13" s="27">
        <f t="shared" si="0"/>
        <v>22.5</v>
      </c>
      <c r="F13" s="26" t="s">
        <v>254</v>
      </c>
      <c r="G13" s="27">
        <f t="shared" si="1"/>
        <v>7.5</v>
      </c>
      <c r="H13" t="s">
        <v>248</v>
      </c>
    </row>
    <row r="14" spans="1:9" x14ac:dyDescent="0.2">
      <c r="A14" s="5" t="s">
        <v>98</v>
      </c>
      <c r="B14" s="3">
        <f>VLOOKUP($A14,Master_Rack!$H$2:$L$265,5,FALSE)</f>
        <v>30</v>
      </c>
      <c r="C14" t="s">
        <v>246</v>
      </c>
      <c r="D14" s="26">
        <v>0.75</v>
      </c>
      <c r="E14" s="27">
        <f t="shared" si="0"/>
        <v>22.5</v>
      </c>
      <c r="F14" s="26" t="s">
        <v>254</v>
      </c>
      <c r="G14" s="27">
        <f t="shared" si="1"/>
        <v>7.5</v>
      </c>
      <c r="H14" t="s">
        <v>248</v>
      </c>
    </row>
    <row r="15" spans="1:9" x14ac:dyDescent="0.2">
      <c r="A15" s="5" t="s">
        <v>99</v>
      </c>
      <c r="B15" s="3">
        <f>VLOOKUP($A15,Master_Rack!$H$2:$L$265,5,FALSE)</f>
        <v>30</v>
      </c>
      <c r="C15" t="s">
        <v>246</v>
      </c>
      <c r="D15" s="26">
        <v>0.75</v>
      </c>
      <c r="E15" s="27">
        <f t="shared" si="0"/>
        <v>22.5</v>
      </c>
      <c r="F15" s="26" t="s">
        <v>254</v>
      </c>
      <c r="G15" s="27">
        <f t="shared" si="1"/>
        <v>7.5</v>
      </c>
      <c r="H15" t="s">
        <v>248</v>
      </c>
    </row>
    <row r="16" spans="1:9" x14ac:dyDescent="0.2">
      <c r="A16" s="5" t="s">
        <v>100</v>
      </c>
      <c r="B16" s="3">
        <f>VLOOKUP($A16,Master_Rack!$H$2:$L$265,5,FALSE)</f>
        <v>30</v>
      </c>
      <c r="C16" t="s">
        <v>246</v>
      </c>
      <c r="D16" s="26">
        <v>0.75</v>
      </c>
      <c r="E16" s="27">
        <f t="shared" si="0"/>
        <v>22.5</v>
      </c>
      <c r="F16" s="26" t="s">
        <v>254</v>
      </c>
      <c r="G16" s="27">
        <f t="shared" si="1"/>
        <v>7.5</v>
      </c>
      <c r="H16" t="s">
        <v>248</v>
      </c>
    </row>
    <row r="17" spans="1:8" x14ac:dyDescent="0.2">
      <c r="A17" s="5" t="s">
        <v>101</v>
      </c>
      <c r="B17" s="3">
        <f>VLOOKUP($A17,Master_Rack!$H$2:$L$265,5,FALSE)</f>
        <v>30</v>
      </c>
      <c r="C17" t="s">
        <v>246</v>
      </c>
      <c r="D17" s="26">
        <v>0.75</v>
      </c>
      <c r="E17" s="27">
        <f t="shared" si="0"/>
        <v>22.5</v>
      </c>
      <c r="F17" s="26" t="s">
        <v>254</v>
      </c>
      <c r="G17" s="27">
        <f t="shared" si="1"/>
        <v>7.5</v>
      </c>
      <c r="H17" t="s">
        <v>248</v>
      </c>
    </row>
    <row r="18" spans="1:8" x14ac:dyDescent="0.2">
      <c r="A18" s="5" t="s">
        <v>102</v>
      </c>
      <c r="B18" s="3">
        <f>VLOOKUP($A18,Master_Rack!$H$2:$L$265,5,FALSE)</f>
        <v>30</v>
      </c>
      <c r="C18" t="s">
        <v>246</v>
      </c>
      <c r="D18" s="26">
        <v>0.75</v>
      </c>
      <c r="E18" s="27">
        <f t="shared" si="0"/>
        <v>22.5</v>
      </c>
      <c r="F18" s="26" t="s">
        <v>254</v>
      </c>
      <c r="G18" s="27">
        <f t="shared" si="1"/>
        <v>7.5</v>
      </c>
      <c r="H18" t="s">
        <v>248</v>
      </c>
    </row>
    <row r="19" spans="1:8" x14ac:dyDescent="0.2">
      <c r="A19" s="5" t="s">
        <v>103</v>
      </c>
      <c r="B19" s="3">
        <f>VLOOKUP($A19,Master_Rack!$H$2:$L$265,5,FALSE)</f>
        <v>30</v>
      </c>
      <c r="C19" t="s">
        <v>246</v>
      </c>
      <c r="D19" s="26">
        <v>0.75</v>
      </c>
      <c r="E19" s="27">
        <f t="shared" si="0"/>
        <v>22.5</v>
      </c>
      <c r="F19" s="26" t="s">
        <v>254</v>
      </c>
      <c r="G19" s="27">
        <f t="shared" si="1"/>
        <v>7.5</v>
      </c>
      <c r="H19" t="s">
        <v>248</v>
      </c>
    </row>
    <row r="20" spans="1:8" x14ac:dyDescent="0.2">
      <c r="A20" s="5" t="s">
        <v>104</v>
      </c>
      <c r="B20" s="3">
        <f>VLOOKUP($A20,Master_Rack!$H$2:$L$265,5,FALSE)</f>
        <v>30</v>
      </c>
      <c r="C20" t="s">
        <v>246</v>
      </c>
      <c r="D20" s="26">
        <v>0.75</v>
      </c>
      <c r="E20" s="27">
        <f t="shared" si="0"/>
        <v>22.5</v>
      </c>
      <c r="F20" s="26" t="s">
        <v>254</v>
      </c>
      <c r="G20" s="27">
        <f t="shared" si="1"/>
        <v>7.5</v>
      </c>
      <c r="H20" t="s">
        <v>248</v>
      </c>
    </row>
    <row r="21" spans="1:8" x14ac:dyDescent="0.2">
      <c r="A21" s="5" t="s">
        <v>105</v>
      </c>
      <c r="B21" s="3">
        <f>VLOOKUP($A21,Master_Rack!$H$2:$L$265,5,FALSE)</f>
        <v>30</v>
      </c>
      <c r="C21" t="s">
        <v>246</v>
      </c>
      <c r="D21" s="26">
        <v>0.75</v>
      </c>
      <c r="E21" s="27">
        <f t="shared" si="0"/>
        <v>22.5</v>
      </c>
      <c r="F21" s="26" t="s">
        <v>254</v>
      </c>
      <c r="G21" s="27">
        <f t="shared" si="1"/>
        <v>7.5</v>
      </c>
      <c r="H21" t="s">
        <v>248</v>
      </c>
    </row>
    <row r="22" spans="1:8" x14ac:dyDescent="0.2">
      <c r="A22" s="5" t="s">
        <v>106</v>
      </c>
      <c r="B22" s="3">
        <f>VLOOKUP($A22,Master_Rack!$H$2:$L$265,5,FALSE)</f>
        <v>30</v>
      </c>
      <c r="C22" t="s">
        <v>246</v>
      </c>
      <c r="D22" s="26">
        <v>0.75</v>
      </c>
      <c r="E22" s="27">
        <f t="shared" si="0"/>
        <v>22.5</v>
      </c>
      <c r="F22" s="26" t="s">
        <v>254</v>
      </c>
      <c r="G22" s="27">
        <f t="shared" si="1"/>
        <v>7.5</v>
      </c>
      <c r="H22" t="s">
        <v>248</v>
      </c>
    </row>
    <row r="23" spans="1:8" x14ac:dyDescent="0.2">
      <c r="A23" s="5" t="s">
        <v>107</v>
      </c>
      <c r="B23" s="3">
        <f>VLOOKUP($A23,Master_Rack!$H$2:$L$265,5,FALSE)</f>
        <v>30</v>
      </c>
      <c r="C23" t="s">
        <v>246</v>
      </c>
      <c r="D23" s="26">
        <v>0.75</v>
      </c>
      <c r="E23" s="27">
        <f t="shared" si="0"/>
        <v>22.5</v>
      </c>
      <c r="F23" s="26" t="s">
        <v>254</v>
      </c>
      <c r="G23" s="27">
        <f t="shared" si="1"/>
        <v>7.5</v>
      </c>
      <c r="H23" t="s">
        <v>248</v>
      </c>
    </row>
    <row r="24" spans="1:8" x14ac:dyDescent="0.2">
      <c r="A24" s="5" t="s">
        <v>108</v>
      </c>
      <c r="B24" s="3">
        <f>VLOOKUP($A24,Master_Rack!$H$2:$L$265,5,FALSE)</f>
        <v>30</v>
      </c>
      <c r="C24" t="s">
        <v>246</v>
      </c>
      <c r="D24" s="26">
        <v>0.75</v>
      </c>
      <c r="E24" s="27">
        <f t="shared" si="0"/>
        <v>22.5</v>
      </c>
      <c r="F24" s="26" t="s">
        <v>254</v>
      </c>
      <c r="G24" s="27">
        <f t="shared" si="1"/>
        <v>7.5</v>
      </c>
      <c r="H24" t="s">
        <v>248</v>
      </c>
    </row>
    <row r="25" spans="1:8" x14ac:dyDescent="0.2">
      <c r="A25" s="5" t="s">
        <v>109</v>
      </c>
      <c r="B25" s="3">
        <f>VLOOKUP($A25,Master_Rack!$H$2:$L$265,5,FALSE)</f>
        <v>30</v>
      </c>
      <c r="C25" t="s">
        <v>246</v>
      </c>
      <c r="D25" s="26">
        <v>0.75</v>
      </c>
      <c r="E25" s="27">
        <f t="shared" si="0"/>
        <v>22.5</v>
      </c>
      <c r="F25" s="26" t="s">
        <v>254</v>
      </c>
      <c r="G25" s="27">
        <f t="shared" si="1"/>
        <v>7.5</v>
      </c>
      <c r="H25" t="s">
        <v>248</v>
      </c>
    </row>
    <row r="26" spans="1:8" x14ac:dyDescent="0.2">
      <c r="A26" s="3" t="s">
        <v>112</v>
      </c>
      <c r="B26" s="3">
        <f>VLOOKUP($A26,Master_Rack!$H$2:$L$265,5,FALSE)</f>
        <v>30</v>
      </c>
      <c r="C26" t="s">
        <v>246</v>
      </c>
      <c r="D26" s="26">
        <v>0.75</v>
      </c>
      <c r="E26" s="27">
        <f t="shared" si="0"/>
        <v>22.5</v>
      </c>
      <c r="F26" s="26" t="s">
        <v>254</v>
      </c>
      <c r="G26" s="27">
        <f t="shared" si="1"/>
        <v>7.5</v>
      </c>
      <c r="H26" t="s">
        <v>248</v>
      </c>
    </row>
    <row r="27" spans="1:8" x14ac:dyDescent="0.2">
      <c r="A27" s="3" t="s">
        <v>113</v>
      </c>
      <c r="B27" s="3">
        <f>VLOOKUP($A27,Master_Rack!$H$2:$L$265,5,FALSE)</f>
        <v>30</v>
      </c>
      <c r="C27" t="s">
        <v>246</v>
      </c>
      <c r="D27" s="26">
        <v>0.75</v>
      </c>
      <c r="E27" s="27">
        <f t="shared" si="0"/>
        <v>22.5</v>
      </c>
      <c r="F27" s="26" t="s">
        <v>254</v>
      </c>
      <c r="G27" s="27">
        <f t="shared" si="1"/>
        <v>7.5</v>
      </c>
      <c r="H27" t="s">
        <v>248</v>
      </c>
    </row>
    <row r="28" spans="1:8" x14ac:dyDescent="0.2">
      <c r="A28" s="3" t="s">
        <v>114</v>
      </c>
      <c r="B28" s="3">
        <f>VLOOKUP($A28,Master_Rack!$H$2:$L$265,5,FALSE)</f>
        <v>30</v>
      </c>
      <c r="C28" t="s">
        <v>246</v>
      </c>
      <c r="D28" s="26">
        <v>0.75</v>
      </c>
      <c r="E28" s="27">
        <f t="shared" si="0"/>
        <v>22.5</v>
      </c>
      <c r="F28" s="26" t="s">
        <v>254</v>
      </c>
      <c r="G28" s="27">
        <f t="shared" si="1"/>
        <v>7.5</v>
      </c>
      <c r="H28" t="s">
        <v>248</v>
      </c>
    </row>
    <row r="29" spans="1:8" x14ac:dyDescent="0.2">
      <c r="A29" s="3" t="s">
        <v>115</v>
      </c>
      <c r="B29" s="3">
        <f>VLOOKUP($A29,Master_Rack!$H$2:$L$265,5,FALSE)</f>
        <v>30</v>
      </c>
      <c r="C29" t="s">
        <v>246</v>
      </c>
      <c r="D29" s="26">
        <v>0.75</v>
      </c>
      <c r="E29" s="27">
        <f t="shared" si="0"/>
        <v>22.5</v>
      </c>
      <c r="F29" s="26" t="s">
        <v>254</v>
      </c>
      <c r="G29" s="27">
        <f t="shared" si="1"/>
        <v>7.5</v>
      </c>
      <c r="H29" t="s">
        <v>248</v>
      </c>
    </row>
    <row r="30" spans="1:8" x14ac:dyDescent="0.2">
      <c r="A30" s="3" t="s">
        <v>116</v>
      </c>
      <c r="B30" s="3">
        <f>VLOOKUP($A30,Master_Rack!$H$2:$L$265,5,FALSE)</f>
        <v>30</v>
      </c>
      <c r="C30" t="s">
        <v>246</v>
      </c>
      <c r="D30" s="26">
        <v>0.75</v>
      </c>
      <c r="E30" s="27">
        <f t="shared" si="0"/>
        <v>22.5</v>
      </c>
      <c r="F30" s="26" t="s">
        <v>254</v>
      </c>
      <c r="G30" s="27">
        <f t="shared" si="1"/>
        <v>7.5</v>
      </c>
      <c r="H30" t="s">
        <v>248</v>
      </c>
    </row>
    <row r="31" spans="1:8" x14ac:dyDescent="0.2">
      <c r="A31" s="3" t="s">
        <v>117</v>
      </c>
      <c r="B31" s="3">
        <f>VLOOKUP($A31,Master_Rack!$H$2:$L$265,5,FALSE)</f>
        <v>30</v>
      </c>
      <c r="C31" t="s">
        <v>246</v>
      </c>
      <c r="D31" s="26">
        <v>0.75</v>
      </c>
      <c r="E31" s="27">
        <f t="shared" si="0"/>
        <v>22.5</v>
      </c>
      <c r="F31" s="26" t="s">
        <v>254</v>
      </c>
      <c r="G31" s="27">
        <f t="shared" si="1"/>
        <v>7.5</v>
      </c>
      <c r="H31" t="s">
        <v>248</v>
      </c>
    </row>
    <row r="32" spans="1:8" x14ac:dyDescent="0.2">
      <c r="A32" s="3" t="s">
        <v>118</v>
      </c>
      <c r="B32" s="3">
        <f>VLOOKUP($A32,Master_Rack!$H$2:$L$265,5,FALSE)</f>
        <v>30</v>
      </c>
      <c r="C32" t="s">
        <v>246</v>
      </c>
      <c r="D32" s="26">
        <v>0.75</v>
      </c>
      <c r="E32" s="27">
        <f t="shared" si="0"/>
        <v>22.5</v>
      </c>
      <c r="F32" s="26" t="s">
        <v>254</v>
      </c>
      <c r="G32" s="27">
        <f t="shared" si="1"/>
        <v>7.5</v>
      </c>
      <c r="H32" t="s">
        <v>248</v>
      </c>
    </row>
    <row r="33" spans="1:8" x14ac:dyDescent="0.2">
      <c r="A33" s="3" t="s">
        <v>119</v>
      </c>
      <c r="B33" s="3">
        <f>VLOOKUP($A33,Master_Rack!$H$2:$L$265,5,FALSE)</f>
        <v>30</v>
      </c>
      <c r="C33" t="s">
        <v>246</v>
      </c>
      <c r="D33" s="26">
        <v>0.75</v>
      </c>
      <c r="E33" s="27">
        <f t="shared" si="0"/>
        <v>22.5</v>
      </c>
      <c r="F33" s="26" t="s">
        <v>254</v>
      </c>
      <c r="G33" s="27">
        <f t="shared" si="1"/>
        <v>7.5</v>
      </c>
      <c r="H33" t="s">
        <v>248</v>
      </c>
    </row>
    <row r="34" spans="1:8" x14ac:dyDescent="0.2">
      <c r="A34" s="3" t="s">
        <v>120</v>
      </c>
      <c r="B34" s="3">
        <f>VLOOKUP($A34,Master_Rack!$H$2:$L$265,5,FALSE)</f>
        <v>30</v>
      </c>
      <c r="C34" t="s">
        <v>246</v>
      </c>
      <c r="D34" s="26">
        <v>0.75</v>
      </c>
      <c r="E34" s="27">
        <f t="shared" si="0"/>
        <v>22.5</v>
      </c>
      <c r="F34" s="26" t="s">
        <v>254</v>
      </c>
      <c r="G34" s="27">
        <f t="shared" si="1"/>
        <v>7.5</v>
      </c>
      <c r="H34" t="s">
        <v>248</v>
      </c>
    </row>
    <row r="35" spans="1:8" x14ac:dyDescent="0.2">
      <c r="A35" s="3" t="s">
        <v>121</v>
      </c>
      <c r="B35" s="3">
        <f>VLOOKUP($A35,Master_Rack!$H$2:$L$265,5,FALSE)</f>
        <v>30</v>
      </c>
      <c r="C35" t="s">
        <v>246</v>
      </c>
      <c r="D35" s="26">
        <v>0.75</v>
      </c>
      <c r="E35" s="27">
        <f t="shared" si="0"/>
        <v>22.5</v>
      </c>
      <c r="F35" s="26" t="s">
        <v>254</v>
      </c>
      <c r="G35" s="27">
        <f t="shared" si="1"/>
        <v>7.5</v>
      </c>
      <c r="H35" t="s">
        <v>248</v>
      </c>
    </row>
    <row r="36" spans="1:8" x14ac:dyDescent="0.2">
      <c r="A36" s="3" t="s">
        <v>122</v>
      </c>
      <c r="B36" s="3">
        <f>VLOOKUP($A36,Master_Rack!$H$2:$L$265,5,FALSE)</f>
        <v>30</v>
      </c>
      <c r="C36" t="s">
        <v>246</v>
      </c>
      <c r="D36" s="26">
        <v>0.75</v>
      </c>
      <c r="E36" s="27">
        <f t="shared" si="0"/>
        <v>22.5</v>
      </c>
      <c r="F36" s="26" t="s">
        <v>254</v>
      </c>
      <c r="G36" s="27">
        <f t="shared" si="1"/>
        <v>7.5</v>
      </c>
      <c r="H36" t="s">
        <v>248</v>
      </c>
    </row>
    <row r="37" spans="1:8" x14ac:dyDescent="0.2">
      <c r="A37" s="3" t="s">
        <v>123</v>
      </c>
      <c r="B37" s="3">
        <f>VLOOKUP($A37,Master_Rack!$H$2:$L$265,5,FALSE)</f>
        <v>30</v>
      </c>
      <c r="C37" t="s">
        <v>246</v>
      </c>
      <c r="D37" s="26">
        <v>0.75</v>
      </c>
      <c r="E37" s="27">
        <f t="shared" si="0"/>
        <v>22.5</v>
      </c>
      <c r="F37" s="26" t="s">
        <v>254</v>
      </c>
      <c r="G37" s="27">
        <f t="shared" si="1"/>
        <v>7.5</v>
      </c>
      <c r="H37" t="s">
        <v>248</v>
      </c>
    </row>
    <row r="38" spans="1:8" x14ac:dyDescent="0.2">
      <c r="A38" s="5" t="s">
        <v>125</v>
      </c>
      <c r="B38" s="3">
        <f>VLOOKUP($A38,Master_Rack!$H$2:$L$265,5,FALSE)</f>
        <v>30</v>
      </c>
      <c r="C38" t="s">
        <v>246</v>
      </c>
      <c r="D38" s="26">
        <v>0.75</v>
      </c>
      <c r="E38" s="27">
        <f t="shared" si="0"/>
        <v>22.5</v>
      </c>
      <c r="F38" s="26" t="s">
        <v>254</v>
      </c>
      <c r="G38" s="27">
        <f t="shared" si="1"/>
        <v>7.5</v>
      </c>
      <c r="H38" t="s">
        <v>248</v>
      </c>
    </row>
    <row r="39" spans="1:8" x14ac:dyDescent="0.2">
      <c r="A39" s="5" t="s">
        <v>126</v>
      </c>
      <c r="B39" s="3">
        <f>VLOOKUP($A39,Master_Rack!$H$2:$L$265,5,FALSE)</f>
        <v>30</v>
      </c>
      <c r="C39" t="s">
        <v>246</v>
      </c>
      <c r="D39" s="26">
        <v>0.75</v>
      </c>
      <c r="E39" s="27">
        <f t="shared" si="0"/>
        <v>22.5</v>
      </c>
      <c r="F39" s="26" t="s">
        <v>254</v>
      </c>
      <c r="G39" s="27">
        <f t="shared" si="1"/>
        <v>7.5</v>
      </c>
      <c r="H39" t="s">
        <v>248</v>
      </c>
    </row>
    <row r="40" spans="1:8" x14ac:dyDescent="0.2">
      <c r="A40" s="5" t="s">
        <v>127</v>
      </c>
      <c r="B40" s="3">
        <f>VLOOKUP($A40,Master_Rack!$H$2:$L$265,5,FALSE)</f>
        <v>30</v>
      </c>
      <c r="C40" t="s">
        <v>246</v>
      </c>
      <c r="D40" s="26">
        <v>0.75</v>
      </c>
      <c r="E40" s="27">
        <f t="shared" si="0"/>
        <v>22.5</v>
      </c>
      <c r="F40" s="26" t="s">
        <v>254</v>
      </c>
      <c r="G40" s="27">
        <f t="shared" si="1"/>
        <v>7.5</v>
      </c>
      <c r="H40" t="s">
        <v>248</v>
      </c>
    </row>
    <row r="41" spans="1:8" x14ac:dyDescent="0.2">
      <c r="A41" s="5" t="s">
        <v>128</v>
      </c>
      <c r="B41" s="3">
        <f>VLOOKUP($A41,Master_Rack!$H$2:$L$265,5,FALSE)</f>
        <v>30</v>
      </c>
      <c r="C41" t="s">
        <v>246</v>
      </c>
      <c r="D41" s="26">
        <v>0.75</v>
      </c>
      <c r="E41" s="27">
        <f t="shared" si="0"/>
        <v>22.5</v>
      </c>
      <c r="F41" s="26" t="s">
        <v>254</v>
      </c>
      <c r="G41" s="27">
        <f t="shared" si="1"/>
        <v>7.5</v>
      </c>
      <c r="H41" t="s">
        <v>248</v>
      </c>
    </row>
    <row r="42" spans="1:8" x14ac:dyDescent="0.2">
      <c r="A42" s="5" t="s">
        <v>129</v>
      </c>
      <c r="B42" s="3">
        <f>VLOOKUP($A42,Master_Rack!$H$2:$L$265,5,FALSE)</f>
        <v>30</v>
      </c>
      <c r="C42" t="s">
        <v>246</v>
      </c>
      <c r="D42" s="26">
        <v>0.75</v>
      </c>
      <c r="E42" s="27">
        <f t="shared" si="0"/>
        <v>22.5</v>
      </c>
      <c r="F42" s="26" t="s">
        <v>254</v>
      </c>
      <c r="G42" s="27">
        <f t="shared" si="1"/>
        <v>7.5</v>
      </c>
      <c r="H42" t="s">
        <v>248</v>
      </c>
    </row>
    <row r="43" spans="1:8" x14ac:dyDescent="0.2">
      <c r="A43" s="5" t="s">
        <v>130</v>
      </c>
      <c r="B43" s="3">
        <f>VLOOKUP($A43,Master_Rack!$H$2:$L$265,5,FALSE)</f>
        <v>30</v>
      </c>
      <c r="C43" t="s">
        <v>246</v>
      </c>
      <c r="D43" s="26">
        <v>0.75</v>
      </c>
      <c r="E43" s="27">
        <f t="shared" si="0"/>
        <v>22.5</v>
      </c>
      <c r="F43" s="26" t="s">
        <v>254</v>
      </c>
      <c r="G43" s="27">
        <f t="shared" si="1"/>
        <v>7.5</v>
      </c>
      <c r="H43" t="s">
        <v>248</v>
      </c>
    </row>
    <row r="44" spans="1:8" x14ac:dyDescent="0.2">
      <c r="A44" s="5" t="s">
        <v>131</v>
      </c>
      <c r="B44" s="3">
        <f>VLOOKUP($A44,Master_Rack!$H$2:$L$265,5,FALSE)</f>
        <v>30</v>
      </c>
      <c r="C44" t="s">
        <v>246</v>
      </c>
      <c r="D44" s="26">
        <v>0.75</v>
      </c>
      <c r="E44" s="27">
        <f t="shared" si="0"/>
        <v>22.5</v>
      </c>
      <c r="F44" s="26" t="s">
        <v>254</v>
      </c>
      <c r="G44" s="27">
        <f t="shared" si="1"/>
        <v>7.5</v>
      </c>
      <c r="H44" t="s">
        <v>248</v>
      </c>
    </row>
    <row r="45" spans="1:8" x14ac:dyDescent="0.2">
      <c r="A45" s="5" t="s">
        <v>132</v>
      </c>
      <c r="B45" s="3">
        <f>VLOOKUP($A45,Master_Rack!$H$2:$L$265,5,FALSE)</f>
        <v>30</v>
      </c>
      <c r="C45" t="s">
        <v>246</v>
      </c>
      <c r="D45" s="26">
        <v>0.75</v>
      </c>
      <c r="E45" s="27">
        <f t="shared" si="0"/>
        <v>22.5</v>
      </c>
      <c r="F45" s="26" t="s">
        <v>254</v>
      </c>
      <c r="G45" s="27">
        <f t="shared" si="1"/>
        <v>7.5</v>
      </c>
      <c r="H45" t="s">
        <v>248</v>
      </c>
    </row>
    <row r="46" spans="1:8" x14ac:dyDescent="0.2">
      <c r="A46" s="5" t="s">
        <v>133</v>
      </c>
      <c r="B46" s="3">
        <f>VLOOKUP($A46,Master_Rack!$H$2:$L$265,5,FALSE)</f>
        <v>30</v>
      </c>
      <c r="C46" t="s">
        <v>246</v>
      </c>
      <c r="D46" s="26">
        <v>0.75</v>
      </c>
      <c r="E46" s="27">
        <f t="shared" si="0"/>
        <v>22.5</v>
      </c>
      <c r="F46" s="26" t="s">
        <v>254</v>
      </c>
      <c r="G46" s="27">
        <f t="shared" si="1"/>
        <v>7.5</v>
      </c>
      <c r="H46" t="s">
        <v>248</v>
      </c>
    </row>
    <row r="47" spans="1:8" x14ac:dyDescent="0.2">
      <c r="A47" s="5" t="s">
        <v>134</v>
      </c>
      <c r="B47" s="3">
        <f>VLOOKUP($A47,Master_Rack!$H$2:$L$265,5,FALSE)</f>
        <v>30</v>
      </c>
      <c r="C47" t="s">
        <v>246</v>
      </c>
      <c r="D47" s="26">
        <v>0.75</v>
      </c>
      <c r="E47" s="27">
        <f t="shared" si="0"/>
        <v>22.5</v>
      </c>
      <c r="F47" s="26" t="s">
        <v>254</v>
      </c>
      <c r="G47" s="27">
        <f t="shared" si="1"/>
        <v>7.5</v>
      </c>
      <c r="H47" t="s">
        <v>248</v>
      </c>
    </row>
    <row r="48" spans="1:8" x14ac:dyDescent="0.2">
      <c r="A48" s="5" t="s">
        <v>135</v>
      </c>
      <c r="B48" s="3">
        <f>VLOOKUP($A48,Master_Rack!$H$2:$L$265,5,FALSE)</f>
        <v>30</v>
      </c>
      <c r="C48" t="s">
        <v>246</v>
      </c>
      <c r="D48" s="26">
        <v>0.75</v>
      </c>
      <c r="E48" s="27">
        <f t="shared" si="0"/>
        <v>22.5</v>
      </c>
      <c r="F48" s="26" t="s">
        <v>254</v>
      </c>
      <c r="G48" s="27">
        <f t="shared" si="1"/>
        <v>7.5</v>
      </c>
      <c r="H48" t="s">
        <v>248</v>
      </c>
    </row>
    <row r="49" spans="1:8" x14ac:dyDescent="0.2">
      <c r="A49" s="5" t="s">
        <v>136</v>
      </c>
      <c r="B49" s="3">
        <f>VLOOKUP($A49,Master_Rack!$H$2:$L$265,5,FALSE)</f>
        <v>30</v>
      </c>
      <c r="C49" t="s">
        <v>246</v>
      </c>
      <c r="D49" s="26">
        <v>0.75</v>
      </c>
      <c r="E49" s="27">
        <f t="shared" si="0"/>
        <v>22.5</v>
      </c>
      <c r="F49" s="26" t="s">
        <v>254</v>
      </c>
      <c r="G49" s="27">
        <f t="shared" si="1"/>
        <v>7.5</v>
      </c>
      <c r="H49" t="s">
        <v>248</v>
      </c>
    </row>
    <row r="50" spans="1:8" x14ac:dyDescent="0.2">
      <c r="A50" s="3" t="s">
        <v>139</v>
      </c>
      <c r="B50" s="3">
        <f>VLOOKUP($A50,Master_Rack!$H$2:$L$265,5,FALSE)</f>
        <v>30</v>
      </c>
      <c r="C50" t="s">
        <v>246</v>
      </c>
      <c r="D50" s="26">
        <v>0.75</v>
      </c>
      <c r="E50" s="27">
        <f t="shared" si="0"/>
        <v>22.5</v>
      </c>
      <c r="F50" s="26" t="s">
        <v>254</v>
      </c>
      <c r="G50" s="27">
        <f t="shared" si="1"/>
        <v>7.5</v>
      </c>
      <c r="H50" t="s">
        <v>249</v>
      </c>
    </row>
    <row r="51" spans="1:8" x14ac:dyDescent="0.2">
      <c r="A51" s="3" t="s">
        <v>140</v>
      </c>
      <c r="B51" s="3">
        <f>VLOOKUP($A51,Master_Rack!$H$2:$L$265,5,FALSE)</f>
        <v>30</v>
      </c>
      <c r="C51" t="s">
        <v>246</v>
      </c>
      <c r="D51" s="26">
        <v>0.75</v>
      </c>
      <c r="E51" s="27">
        <f t="shared" si="0"/>
        <v>22.5</v>
      </c>
      <c r="F51" s="26" t="s">
        <v>254</v>
      </c>
      <c r="G51" s="27">
        <f t="shared" si="1"/>
        <v>7.5</v>
      </c>
      <c r="H51" t="s">
        <v>249</v>
      </c>
    </row>
    <row r="52" spans="1:8" x14ac:dyDescent="0.2">
      <c r="A52" s="3" t="s">
        <v>141</v>
      </c>
      <c r="B52" s="3">
        <f>VLOOKUP($A52,Master_Rack!$H$2:$L$265,5,FALSE)</f>
        <v>30</v>
      </c>
      <c r="C52" t="s">
        <v>246</v>
      </c>
      <c r="D52" s="26">
        <v>0.75</v>
      </c>
      <c r="E52" s="27">
        <f t="shared" si="0"/>
        <v>22.5</v>
      </c>
      <c r="F52" s="26" t="s">
        <v>254</v>
      </c>
      <c r="G52" s="27">
        <f t="shared" si="1"/>
        <v>7.5</v>
      </c>
      <c r="H52" t="s">
        <v>249</v>
      </c>
    </row>
    <row r="53" spans="1:8" x14ac:dyDescent="0.2">
      <c r="A53" s="3" t="s">
        <v>142</v>
      </c>
      <c r="B53" s="3">
        <f>VLOOKUP($A53,Master_Rack!$H$2:$L$265,5,FALSE)</f>
        <v>30</v>
      </c>
      <c r="C53" t="s">
        <v>246</v>
      </c>
      <c r="D53" s="26">
        <v>0.75</v>
      </c>
      <c r="E53" s="27">
        <f t="shared" si="0"/>
        <v>22.5</v>
      </c>
      <c r="F53" s="26" t="s">
        <v>254</v>
      </c>
      <c r="G53" s="27">
        <f t="shared" si="1"/>
        <v>7.5</v>
      </c>
      <c r="H53" t="s">
        <v>249</v>
      </c>
    </row>
    <row r="54" spans="1:8" x14ac:dyDescent="0.2">
      <c r="A54" s="3" t="s">
        <v>143</v>
      </c>
      <c r="B54" s="3">
        <f>VLOOKUP($A54,Master_Rack!$H$2:$L$265,5,FALSE)</f>
        <v>30</v>
      </c>
      <c r="C54" t="s">
        <v>246</v>
      </c>
      <c r="D54" s="26">
        <v>0.75</v>
      </c>
      <c r="E54" s="27">
        <f t="shared" si="0"/>
        <v>22.5</v>
      </c>
      <c r="F54" s="26" t="s">
        <v>254</v>
      </c>
      <c r="G54" s="27">
        <f t="shared" si="1"/>
        <v>7.5</v>
      </c>
      <c r="H54" t="s">
        <v>249</v>
      </c>
    </row>
    <row r="55" spans="1:8" x14ac:dyDescent="0.2">
      <c r="A55" s="3" t="s">
        <v>144</v>
      </c>
      <c r="B55" s="3">
        <f>VLOOKUP($A55,Master_Rack!$H$2:$L$265,5,FALSE)</f>
        <v>30</v>
      </c>
      <c r="C55" t="s">
        <v>246</v>
      </c>
      <c r="D55" s="26">
        <v>0.75</v>
      </c>
      <c r="E55" s="27">
        <f t="shared" si="0"/>
        <v>22.5</v>
      </c>
      <c r="F55" s="26" t="s">
        <v>254</v>
      </c>
      <c r="G55" s="27">
        <f t="shared" si="1"/>
        <v>7.5</v>
      </c>
      <c r="H55" t="s">
        <v>249</v>
      </c>
    </row>
    <row r="56" spans="1:8" x14ac:dyDescent="0.2">
      <c r="A56" s="3" t="s">
        <v>145</v>
      </c>
      <c r="B56" s="3">
        <f>VLOOKUP($A56,Master_Rack!$H$2:$L$265,5,FALSE)</f>
        <v>30</v>
      </c>
      <c r="C56" t="s">
        <v>246</v>
      </c>
      <c r="D56" s="26">
        <v>0.75</v>
      </c>
      <c r="E56" s="27">
        <f t="shared" si="0"/>
        <v>22.5</v>
      </c>
      <c r="F56" s="26" t="s">
        <v>254</v>
      </c>
      <c r="G56" s="27">
        <f t="shared" si="1"/>
        <v>7.5</v>
      </c>
      <c r="H56" t="s">
        <v>249</v>
      </c>
    </row>
    <row r="57" spans="1:8" x14ac:dyDescent="0.2">
      <c r="A57" s="3" t="s">
        <v>146</v>
      </c>
      <c r="B57" s="3">
        <f>VLOOKUP($A57,Master_Rack!$H$2:$L$265,5,FALSE)</f>
        <v>30</v>
      </c>
      <c r="C57" t="s">
        <v>246</v>
      </c>
      <c r="D57" s="26">
        <v>0.75</v>
      </c>
      <c r="E57" s="27">
        <f t="shared" si="0"/>
        <v>22.5</v>
      </c>
      <c r="F57" s="26" t="s">
        <v>254</v>
      </c>
      <c r="G57" s="27">
        <f t="shared" si="1"/>
        <v>7.5</v>
      </c>
      <c r="H57" t="s">
        <v>249</v>
      </c>
    </row>
    <row r="58" spans="1:8" x14ac:dyDescent="0.2">
      <c r="A58" s="3" t="s">
        <v>147</v>
      </c>
      <c r="B58" s="3">
        <f>VLOOKUP($A58,Master_Rack!$H$2:$L$265,5,FALSE)</f>
        <v>30</v>
      </c>
      <c r="C58" t="s">
        <v>246</v>
      </c>
      <c r="D58" s="26">
        <v>0.75</v>
      </c>
      <c r="E58" s="27">
        <f t="shared" si="0"/>
        <v>22.5</v>
      </c>
      <c r="F58" s="26" t="s">
        <v>254</v>
      </c>
      <c r="G58" s="27">
        <f t="shared" si="1"/>
        <v>7.5</v>
      </c>
      <c r="H58" t="s">
        <v>249</v>
      </c>
    </row>
    <row r="59" spans="1:8" x14ac:dyDescent="0.2">
      <c r="A59" s="3" t="s">
        <v>148</v>
      </c>
      <c r="B59" s="3">
        <f>VLOOKUP($A59,Master_Rack!$H$2:$L$265,5,FALSE)</f>
        <v>30</v>
      </c>
      <c r="C59" t="s">
        <v>246</v>
      </c>
      <c r="D59" s="26">
        <v>0.75</v>
      </c>
      <c r="E59" s="27">
        <f t="shared" si="0"/>
        <v>22.5</v>
      </c>
      <c r="F59" s="26" t="s">
        <v>254</v>
      </c>
      <c r="G59" s="27">
        <f t="shared" si="1"/>
        <v>7.5</v>
      </c>
      <c r="H59" t="s">
        <v>249</v>
      </c>
    </row>
    <row r="60" spans="1:8" x14ac:dyDescent="0.2">
      <c r="A60" s="3" t="s">
        <v>149</v>
      </c>
      <c r="B60" s="3">
        <f>VLOOKUP($A60,Master_Rack!$H$2:$L$265,5,FALSE)</f>
        <v>30</v>
      </c>
      <c r="C60" t="s">
        <v>246</v>
      </c>
      <c r="D60" s="26">
        <v>0.75</v>
      </c>
      <c r="E60" s="27">
        <f t="shared" si="0"/>
        <v>22.5</v>
      </c>
      <c r="F60" s="26" t="s">
        <v>254</v>
      </c>
      <c r="G60" s="27">
        <f t="shared" si="1"/>
        <v>7.5</v>
      </c>
      <c r="H60" t="s">
        <v>249</v>
      </c>
    </row>
    <row r="61" spans="1:8" x14ac:dyDescent="0.2">
      <c r="A61" s="3" t="s">
        <v>150</v>
      </c>
      <c r="B61" s="3">
        <f>VLOOKUP($A61,Master_Rack!$H$2:$L$265,5,FALSE)</f>
        <v>30</v>
      </c>
      <c r="C61" t="s">
        <v>246</v>
      </c>
      <c r="D61" s="26">
        <v>0.75</v>
      </c>
      <c r="E61" s="27">
        <f t="shared" si="0"/>
        <v>22.5</v>
      </c>
      <c r="F61" s="26" t="s">
        <v>254</v>
      </c>
      <c r="G61" s="27">
        <f t="shared" si="1"/>
        <v>7.5</v>
      </c>
      <c r="H61" t="s">
        <v>249</v>
      </c>
    </row>
    <row r="62" spans="1:8" x14ac:dyDescent="0.2">
      <c r="A62" s="5" t="s">
        <v>152</v>
      </c>
      <c r="B62" s="3">
        <f>VLOOKUP($A62,Master_Rack!$H$2:$L$265,5,FALSE)</f>
        <v>30</v>
      </c>
      <c r="C62" t="s">
        <v>246</v>
      </c>
      <c r="D62" s="26">
        <v>0.75</v>
      </c>
      <c r="E62" s="27">
        <f t="shared" si="0"/>
        <v>22.5</v>
      </c>
      <c r="F62" s="26" t="s">
        <v>254</v>
      </c>
      <c r="G62" s="27">
        <f t="shared" si="1"/>
        <v>7.5</v>
      </c>
      <c r="H62" t="s">
        <v>249</v>
      </c>
    </row>
    <row r="63" spans="1:8" x14ac:dyDescent="0.2">
      <c r="A63" s="5" t="s">
        <v>153</v>
      </c>
      <c r="B63" s="3">
        <f>VLOOKUP($A63,Master_Rack!$H$2:$L$265,5,FALSE)</f>
        <v>30</v>
      </c>
      <c r="C63" t="s">
        <v>246</v>
      </c>
      <c r="D63" s="26">
        <v>0.75</v>
      </c>
      <c r="E63" s="27">
        <f t="shared" si="0"/>
        <v>22.5</v>
      </c>
      <c r="F63" s="26" t="s">
        <v>254</v>
      </c>
      <c r="G63" s="27">
        <f t="shared" si="1"/>
        <v>7.5</v>
      </c>
      <c r="H63" t="s">
        <v>249</v>
      </c>
    </row>
    <row r="64" spans="1:8" x14ac:dyDescent="0.2">
      <c r="A64" s="5" t="s">
        <v>154</v>
      </c>
      <c r="B64" s="3">
        <f>VLOOKUP($A64,Master_Rack!$H$2:$L$265,5,FALSE)</f>
        <v>30</v>
      </c>
      <c r="C64" t="s">
        <v>246</v>
      </c>
      <c r="D64" s="26">
        <v>0.75</v>
      </c>
      <c r="E64" s="27">
        <f t="shared" si="0"/>
        <v>22.5</v>
      </c>
      <c r="F64" s="26" t="s">
        <v>254</v>
      </c>
      <c r="G64" s="27">
        <f t="shared" si="1"/>
        <v>7.5</v>
      </c>
      <c r="H64" t="s">
        <v>249</v>
      </c>
    </row>
    <row r="65" spans="1:8" x14ac:dyDescent="0.2">
      <c r="A65" s="5" t="s">
        <v>155</v>
      </c>
      <c r="B65" s="3">
        <f>VLOOKUP($A65,Master_Rack!$H$2:$L$265,5,FALSE)</f>
        <v>30</v>
      </c>
      <c r="C65" t="s">
        <v>246</v>
      </c>
      <c r="D65" s="26">
        <v>0.75</v>
      </c>
      <c r="E65" s="27">
        <f t="shared" si="0"/>
        <v>22.5</v>
      </c>
      <c r="F65" s="26" t="s">
        <v>254</v>
      </c>
      <c r="G65" s="27">
        <f t="shared" si="1"/>
        <v>7.5</v>
      </c>
      <c r="H65" t="s">
        <v>249</v>
      </c>
    </row>
    <row r="66" spans="1:8" x14ac:dyDescent="0.2">
      <c r="A66" s="5" t="s">
        <v>156</v>
      </c>
      <c r="B66" s="3">
        <f>VLOOKUP($A66,Master_Rack!$H$2:$L$265,5,FALSE)</f>
        <v>30</v>
      </c>
      <c r="C66" t="s">
        <v>246</v>
      </c>
      <c r="D66" s="26">
        <v>0.75</v>
      </c>
      <c r="E66" s="27">
        <f t="shared" si="0"/>
        <v>22.5</v>
      </c>
      <c r="F66" s="26" t="s">
        <v>254</v>
      </c>
      <c r="G66" s="27">
        <f t="shared" si="1"/>
        <v>7.5</v>
      </c>
      <c r="H66" t="s">
        <v>249</v>
      </c>
    </row>
    <row r="67" spans="1:8" x14ac:dyDescent="0.2">
      <c r="A67" s="5" t="s">
        <v>157</v>
      </c>
      <c r="B67" s="3">
        <f>VLOOKUP($A67,Master_Rack!$H$2:$L$265,5,FALSE)</f>
        <v>30</v>
      </c>
      <c r="C67" t="s">
        <v>246</v>
      </c>
      <c r="D67" s="26">
        <v>0.75</v>
      </c>
      <c r="E67" s="27">
        <f t="shared" ref="E67:E130" si="2">B67*D67</f>
        <v>22.5</v>
      </c>
      <c r="F67" s="26" t="s">
        <v>254</v>
      </c>
      <c r="G67" s="27">
        <f t="shared" ref="G67:G130" si="3">B67*(1-D67)</f>
        <v>7.5</v>
      </c>
      <c r="H67" t="s">
        <v>249</v>
      </c>
    </row>
    <row r="68" spans="1:8" x14ac:dyDescent="0.2">
      <c r="A68" s="5" t="s">
        <v>158</v>
      </c>
      <c r="B68" s="3">
        <f>VLOOKUP($A68,Master_Rack!$H$2:$L$265,5,FALSE)</f>
        <v>30</v>
      </c>
      <c r="C68" t="s">
        <v>246</v>
      </c>
      <c r="D68" s="26">
        <v>0.75</v>
      </c>
      <c r="E68" s="27">
        <f t="shared" si="2"/>
        <v>22.5</v>
      </c>
      <c r="F68" s="26" t="s">
        <v>254</v>
      </c>
      <c r="G68" s="27">
        <f t="shared" si="3"/>
        <v>7.5</v>
      </c>
      <c r="H68" t="s">
        <v>249</v>
      </c>
    </row>
    <row r="69" spans="1:8" x14ac:dyDescent="0.2">
      <c r="A69" s="5" t="s">
        <v>159</v>
      </c>
      <c r="B69" s="3">
        <f>VLOOKUP($A69,Master_Rack!$H$2:$L$265,5,FALSE)</f>
        <v>30</v>
      </c>
      <c r="C69" t="s">
        <v>246</v>
      </c>
      <c r="D69" s="26">
        <v>0.75</v>
      </c>
      <c r="E69" s="27">
        <f t="shared" si="2"/>
        <v>22.5</v>
      </c>
      <c r="F69" s="26" t="s">
        <v>254</v>
      </c>
      <c r="G69" s="27">
        <f t="shared" si="3"/>
        <v>7.5</v>
      </c>
      <c r="H69" t="s">
        <v>249</v>
      </c>
    </row>
    <row r="70" spans="1:8" x14ac:dyDescent="0.2">
      <c r="A70" s="5" t="s">
        <v>160</v>
      </c>
      <c r="B70" s="3">
        <f>VLOOKUP($A70,Master_Rack!$H$2:$L$265,5,FALSE)</f>
        <v>30</v>
      </c>
      <c r="C70" t="s">
        <v>246</v>
      </c>
      <c r="D70" s="26">
        <v>0.75</v>
      </c>
      <c r="E70" s="27">
        <f t="shared" si="2"/>
        <v>22.5</v>
      </c>
      <c r="F70" s="26" t="s">
        <v>254</v>
      </c>
      <c r="G70" s="27">
        <f t="shared" si="3"/>
        <v>7.5</v>
      </c>
      <c r="H70" t="s">
        <v>249</v>
      </c>
    </row>
    <row r="71" spans="1:8" x14ac:dyDescent="0.2">
      <c r="A71" s="5" t="s">
        <v>161</v>
      </c>
      <c r="B71" s="3">
        <f>VLOOKUP($A71,Master_Rack!$H$2:$L$265,5,FALSE)</f>
        <v>30</v>
      </c>
      <c r="C71" t="s">
        <v>246</v>
      </c>
      <c r="D71" s="26">
        <v>0.75</v>
      </c>
      <c r="E71" s="27">
        <f t="shared" si="2"/>
        <v>22.5</v>
      </c>
      <c r="F71" s="26" t="s">
        <v>254</v>
      </c>
      <c r="G71" s="27">
        <f t="shared" si="3"/>
        <v>7.5</v>
      </c>
      <c r="H71" t="s">
        <v>249</v>
      </c>
    </row>
    <row r="72" spans="1:8" x14ac:dyDescent="0.2">
      <c r="A72" s="5" t="s">
        <v>162</v>
      </c>
      <c r="B72" s="3">
        <f>VLOOKUP($A72,Master_Rack!$H$2:$L$265,5,FALSE)</f>
        <v>30</v>
      </c>
      <c r="C72" t="s">
        <v>246</v>
      </c>
      <c r="D72" s="26">
        <v>0.75</v>
      </c>
      <c r="E72" s="27">
        <f t="shared" si="2"/>
        <v>22.5</v>
      </c>
      <c r="F72" s="26" t="s">
        <v>254</v>
      </c>
      <c r="G72" s="27">
        <f t="shared" si="3"/>
        <v>7.5</v>
      </c>
      <c r="H72" t="s">
        <v>249</v>
      </c>
    </row>
    <row r="73" spans="1:8" x14ac:dyDescent="0.2">
      <c r="A73" s="5" t="s">
        <v>163</v>
      </c>
      <c r="B73" s="3">
        <f>VLOOKUP($A73,Master_Rack!$H$2:$L$265,5,FALSE)</f>
        <v>30</v>
      </c>
      <c r="C73" t="s">
        <v>246</v>
      </c>
      <c r="D73" s="26">
        <v>0.75</v>
      </c>
      <c r="E73" s="27">
        <f t="shared" si="2"/>
        <v>22.5</v>
      </c>
      <c r="F73" s="26" t="s">
        <v>254</v>
      </c>
      <c r="G73" s="27">
        <f t="shared" si="3"/>
        <v>7.5</v>
      </c>
      <c r="H73" t="s">
        <v>249</v>
      </c>
    </row>
    <row r="74" spans="1:8" x14ac:dyDescent="0.2">
      <c r="A74" s="7" t="s">
        <v>166</v>
      </c>
      <c r="B74" s="3">
        <f>VLOOKUP($A74,Master_Rack!$H$2:$L$265,5,FALSE)</f>
        <v>45</v>
      </c>
      <c r="C74" t="s">
        <v>247</v>
      </c>
      <c r="D74" s="26">
        <v>0.85</v>
      </c>
      <c r="E74" s="27">
        <f t="shared" si="2"/>
        <v>38.25</v>
      </c>
      <c r="F74" s="26" t="s">
        <v>255</v>
      </c>
      <c r="G74" s="27">
        <f t="shared" si="3"/>
        <v>6.7500000000000009</v>
      </c>
      <c r="H74" t="s">
        <v>250</v>
      </c>
    </row>
    <row r="75" spans="1:8" x14ac:dyDescent="0.2">
      <c r="A75" s="7" t="s">
        <v>167</v>
      </c>
      <c r="B75" s="3">
        <f>VLOOKUP($A75,Master_Rack!$H$2:$L$265,5,FALSE)</f>
        <v>45</v>
      </c>
      <c r="C75" t="s">
        <v>247</v>
      </c>
      <c r="D75" s="26">
        <v>0.85</v>
      </c>
      <c r="E75" s="27">
        <f t="shared" si="2"/>
        <v>38.25</v>
      </c>
      <c r="F75" s="26" t="s">
        <v>255</v>
      </c>
      <c r="G75" s="27">
        <f t="shared" si="3"/>
        <v>6.7500000000000009</v>
      </c>
      <c r="H75" t="s">
        <v>250</v>
      </c>
    </row>
    <row r="76" spans="1:8" x14ac:dyDescent="0.2">
      <c r="A76" s="7" t="s">
        <v>168</v>
      </c>
      <c r="B76" s="3">
        <f>VLOOKUP($A76,Master_Rack!$H$2:$L$265,5,FALSE)</f>
        <v>45</v>
      </c>
      <c r="C76" t="s">
        <v>247</v>
      </c>
      <c r="D76" s="26">
        <v>0.85</v>
      </c>
      <c r="E76" s="27">
        <f t="shared" si="2"/>
        <v>38.25</v>
      </c>
      <c r="F76" s="26" t="s">
        <v>255</v>
      </c>
      <c r="G76" s="27">
        <f t="shared" si="3"/>
        <v>6.7500000000000009</v>
      </c>
      <c r="H76" t="s">
        <v>250</v>
      </c>
    </row>
    <row r="77" spans="1:8" x14ac:dyDescent="0.2">
      <c r="A77" s="7" t="s">
        <v>169</v>
      </c>
      <c r="B77" s="3">
        <f>VLOOKUP($A77,Master_Rack!$H$2:$L$265,5,FALSE)</f>
        <v>45</v>
      </c>
      <c r="C77" t="s">
        <v>247</v>
      </c>
      <c r="D77" s="26">
        <v>0.85</v>
      </c>
      <c r="E77" s="27">
        <f t="shared" si="2"/>
        <v>38.25</v>
      </c>
      <c r="F77" s="26" t="s">
        <v>255</v>
      </c>
      <c r="G77" s="27">
        <f t="shared" si="3"/>
        <v>6.7500000000000009</v>
      </c>
      <c r="H77" t="s">
        <v>250</v>
      </c>
    </row>
    <row r="78" spans="1:8" x14ac:dyDescent="0.2">
      <c r="A78" s="7" t="s">
        <v>170</v>
      </c>
      <c r="B78" s="3">
        <f>VLOOKUP($A78,Master_Rack!$H$2:$L$265,5,FALSE)</f>
        <v>45</v>
      </c>
      <c r="C78" t="s">
        <v>247</v>
      </c>
      <c r="D78" s="26">
        <v>0.85</v>
      </c>
      <c r="E78" s="27">
        <f t="shared" si="2"/>
        <v>38.25</v>
      </c>
      <c r="F78" s="26" t="s">
        <v>255</v>
      </c>
      <c r="G78" s="27">
        <f t="shared" si="3"/>
        <v>6.7500000000000009</v>
      </c>
      <c r="H78" t="s">
        <v>250</v>
      </c>
    </row>
    <row r="79" spans="1:8" x14ac:dyDescent="0.2">
      <c r="A79" s="7" t="s">
        <v>171</v>
      </c>
      <c r="B79" s="3">
        <f>VLOOKUP($A79,Master_Rack!$H$2:$L$265,5,FALSE)</f>
        <v>45</v>
      </c>
      <c r="C79" t="s">
        <v>247</v>
      </c>
      <c r="D79" s="26">
        <v>0.85</v>
      </c>
      <c r="E79" s="27">
        <f t="shared" si="2"/>
        <v>38.25</v>
      </c>
      <c r="F79" s="26" t="s">
        <v>255</v>
      </c>
      <c r="G79" s="27">
        <f t="shared" si="3"/>
        <v>6.7500000000000009</v>
      </c>
      <c r="H79" t="s">
        <v>250</v>
      </c>
    </row>
    <row r="80" spans="1:8" x14ac:dyDescent="0.2">
      <c r="A80" s="7" t="s">
        <v>172</v>
      </c>
      <c r="B80" s="3">
        <f>VLOOKUP($A80,Master_Rack!$H$2:$L$265,5,FALSE)</f>
        <v>45</v>
      </c>
      <c r="C80" t="s">
        <v>247</v>
      </c>
      <c r="D80" s="26">
        <v>0.85</v>
      </c>
      <c r="E80" s="27">
        <f t="shared" si="2"/>
        <v>38.25</v>
      </c>
      <c r="F80" s="26" t="s">
        <v>255</v>
      </c>
      <c r="G80" s="27">
        <f t="shared" si="3"/>
        <v>6.7500000000000009</v>
      </c>
      <c r="H80" t="s">
        <v>250</v>
      </c>
    </row>
    <row r="81" spans="1:8" x14ac:dyDescent="0.2">
      <c r="A81" s="7" t="s">
        <v>173</v>
      </c>
      <c r="B81" s="3">
        <f>VLOOKUP($A81,Master_Rack!$H$2:$L$265,5,FALSE)</f>
        <v>45</v>
      </c>
      <c r="C81" t="s">
        <v>247</v>
      </c>
      <c r="D81" s="26">
        <v>0.85</v>
      </c>
      <c r="E81" s="27">
        <f t="shared" si="2"/>
        <v>38.25</v>
      </c>
      <c r="F81" s="26" t="s">
        <v>255</v>
      </c>
      <c r="G81" s="27">
        <f t="shared" si="3"/>
        <v>6.7500000000000009</v>
      </c>
      <c r="H81" t="s">
        <v>250</v>
      </c>
    </row>
    <row r="82" spans="1:8" x14ac:dyDescent="0.2">
      <c r="A82" s="7" t="s">
        <v>174</v>
      </c>
      <c r="B82" s="3">
        <f>VLOOKUP($A82,Master_Rack!$H$2:$L$265,5,FALSE)</f>
        <v>45</v>
      </c>
      <c r="C82" t="s">
        <v>247</v>
      </c>
      <c r="D82" s="26">
        <v>0.85</v>
      </c>
      <c r="E82" s="27">
        <f t="shared" si="2"/>
        <v>38.25</v>
      </c>
      <c r="F82" s="26" t="s">
        <v>255</v>
      </c>
      <c r="G82" s="27">
        <f t="shared" si="3"/>
        <v>6.7500000000000009</v>
      </c>
      <c r="H82" t="s">
        <v>250</v>
      </c>
    </row>
    <row r="83" spans="1:8" x14ac:dyDescent="0.2">
      <c r="A83" s="7" t="s">
        <v>175</v>
      </c>
      <c r="B83" s="3">
        <f>VLOOKUP($A83,Master_Rack!$H$2:$L$265,5,FALSE)</f>
        <v>45</v>
      </c>
      <c r="C83" t="s">
        <v>247</v>
      </c>
      <c r="D83" s="26">
        <v>0.85</v>
      </c>
      <c r="E83" s="27">
        <f t="shared" si="2"/>
        <v>38.25</v>
      </c>
      <c r="F83" s="26" t="s">
        <v>255</v>
      </c>
      <c r="G83" s="27">
        <f t="shared" si="3"/>
        <v>6.7500000000000009</v>
      </c>
      <c r="H83" t="s">
        <v>250</v>
      </c>
    </row>
    <row r="84" spans="1:8" x14ac:dyDescent="0.2">
      <c r="A84" s="7" t="s">
        <v>176</v>
      </c>
      <c r="B84" s="3">
        <f>VLOOKUP($A84,Master_Rack!$H$2:$L$265,5,FALSE)</f>
        <v>45</v>
      </c>
      <c r="C84" t="s">
        <v>247</v>
      </c>
      <c r="D84" s="26">
        <v>0.85</v>
      </c>
      <c r="E84" s="27">
        <f t="shared" si="2"/>
        <v>38.25</v>
      </c>
      <c r="F84" s="26" t="s">
        <v>255</v>
      </c>
      <c r="G84" s="27">
        <f t="shared" si="3"/>
        <v>6.7500000000000009</v>
      </c>
      <c r="H84" t="s">
        <v>250</v>
      </c>
    </row>
    <row r="85" spans="1:8" x14ac:dyDescent="0.2">
      <c r="A85" s="7" t="s">
        <v>177</v>
      </c>
      <c r="B85" s="3">
        <f>VLOOKUP($A85,Master_Rack!$H$2:$L$265,5,FALSE)</f>
        <v>45</v>
      </c>
      <c r="C85" t="s">
        <v>247</v>
      </c>
      <c r="D85" s="26">
        <v>0.85</v>
      </c>
      <c r="E85" s="27">
        <f t="shared" si="2"/>
        <v>38.25</v>
      </c>
      <c r="F85" s="26" t="s">
        <v>255</v>
      </c>
      <c r="G85" s="27">
        <f t="shared" si="3"/>
        <v>6.7500000000000009</v>
      </c>
      <c r="H85" t="s">
        <v>250</v>
      </c>
    </row>
    <row r="86" spans="1:8" x14ac:dyDescent="0.2">
      <c r="A86" s="6" t="s">
        <v>179</v>
      </c>
      <c r="B86" s="3">
        <f>VLOOKUP($A86,Master_Rack!$H$2:$L$265,5,FALSE)</f>
        <v>45</v>
      </c>
      <c r="C86" t="s">
        <v>247</v>
      </c>
      <c r="D86" s="26">
        <v>0.85</v>
      </c>
      <c r="E86" s="27">
        <f t="shared" si="2"/>
        <v>38.25</v>
      </c>
      <c r="F86" s="26" t="s">
        <v>255</v>
      </c>
      <c r="G86" s="27">
        <f t="shared" si="3"/>
        <v>6.7500000000000009</v>
      </c>
      <c r="H86" t="s">
        <v>250</v>
      </c>
    </row>
    <row r="87" spans="1:8" x14ac:dyDescent="0.2">
      <c r="A87" s="6" t="s">
        <v>180</v>
      </c>
      <c r="B87" s="3">
        <f>VLOOKUP($A87,Master_Rack!$H$2:$L$265,5,FALSE)</f>
        <v>45</v>
      </c>
      <c r="C87" t="s">
        <v>247</v>
      </c>
      <c r="D87" s="26">
        <v>0.85</v>
      </c>
      <c r="E87" s="27">
        <f t="shared" si="2"/>
        <v>38.25</v>
      </c>
      <c r="F87" s="26" t="s">
        <v>255</v>
      </c>
      <c r="G87" s="27">
        <f t="shared" si="3"/>
        <v>6.7500000000000009</v>
      </c>
      <c r="H87" t="s">
        <v>250</v>
      </c>
    </row>
    <row r="88" spans="1:8" x14ac:dyDescent="0.2">
      <c r="A88" s="6" t="s">
        <v>181</v>
      </c>
      <c r="B88" s="3">
        <f>VLOOKUP($A88,Master_Rack!$H$2:$L$265,5,FALSE)</f>
        <v>45</v>
      </c>
      <c r="C88" t="s">
        <v>247</v>
      </c>
      <c r="D88" s="26">
        <v>0.85</v>
      </c>
      <c r="E88" s="27">
        <f t="shared" si="2"/>
        <v>38.25</v>
      </c>
      <c r="F88" s="26" t="s">
        <v>255</v>
      </c>
      <c r="G88" s="27">
        <f t="shared" si="3"/>
        <v>6.7500000000000009</v>
      </c>
      <c r="H88" t="s">
        <v>250</v>
      </c>
    </row>
    <row r="89" spans="1:8" x14ac:dyDescent="0.2">
      <c r="A89" s="6" t="s">
        <v>182</v>
      </c>
      <c r="B89" s="3">
        <f>VLOOKUP($A89,Master_Rack!$H$2:$L$265,5,FALSE)</f>
        <v>45</v>
      </c>
      <c r="C89" t="s">
        <v>247</v>
      </c>
      <c r="D89" s="26">
        <v>0.85</v>
      </c>
      <c r="E89" s="27">
        <f t="shared" si="2"/>
        <v>38.25</v>
      </c>
      <c r="F89" s="26" t="s">
        <v>255</v>
      </c>
      <c r="G89" s="27">
        <f t="shared" si="3"/>
        <v>6.7500000000000009</v>
      </c>
      <c r="H89" t="s">
        <v>250</v>
      </c>
    </row>
    <row r="90" spans="1:8" x14ac:dyDescent="0.2">
      <c r="A90" s="6" t="s">
        <v>183</v>
      </c>
      <c r="B90" s="3">
        <f>VLOOKUP($A90,Master_Rack!$H$2:$L$265,5,FALSE)</f>
        <v>45</v>
      </c>
      <c r="C90" t="s">
        <v>247</v>
      </c>
      <c r="D90" s="26">
        <v>0.85</v>
      </c>
      <c r="E90" s="27">
        <f t="shared" si="2"/>
        <v>38.25</v>
      </c>
      <c r="F90" s="26" t="s">
        <v>255</v>
      </c>
      <c r="G90" s="27">
        <f t="shared" si="3"/>
        <v>6.7500000000000009</v>
      </c>
      <c r="H90" t="s">
        <v>250</v>
      </c>
    </row>
    <row r="91" spans="1:8" x14ac:dyDescent="0.2">
      <c r="A91" s="6" t="s">
        <v>184</v>
      </c>
      <c r="B91" s="3">
        <f>VLOOKUP($A91,Master_Rack!$H$2:$L$265,5,FALSE)</f>
        <v>45</v>
      </c>
      <c r="C91" t="s">
        <v>247</v>
      </c>
      <c r="D91" s="26">
        <v>0.85</v>
      </c>
      <c r="E91" s="27">
        <f t="shared" si="2"/>
        <v>38.25</v>
      </c>
      <c r="F91" s="26" t="s">
        <v>255</v>
      </c>
      <c r="G91" s="27">
        <f t="shared" si="3"/>
        <v>6.7500000000000009</v>
      </c>
      <c r="H91" t="s">
        <v>250</v>
      </c>
    </row>
    <row r="92" spans="1:8" x14ac:dyDescent="0.2">
      <c r="A92" s="6" t="s">
        <v>185</v>
      </c>
      <c r="B92" s="3">
        <f>VLOOKUP($A92,Master_Rack!$H$2:$L$265,5,FALSE)</f>
        <v>45</v>
      </c>
      <c r="C92" t="s">
        <v>247</v>
      </c>
      <c r="D92" s="26">
        <v>0.85</v>
      </c>
      <c r="E92" s="27">
        <f t="shared" si="2"/>
        <v>38.25</v>
      </c>
      <c r="F92" s="26" t="s">
        <v>255</v>
      </c>
      <c r="G92" s="27">
        <f t="shared" si="3"/>
        <v>6.7500000000000009</v>
      </c>
      <c r="H92" t="s">
        <v>250</v>
      </c>
    </row>
    <row r="93" spans="1:8" x14ac:dyDescent="0.2">
      <c r="A93" s="6" t="s">
        <v>186</v>
      </c>
      <c r="B93" s="3">
        <f>VLOOKUP($A93,Master_Rack!$H$2:$L$265,5,FALSE)</f>
        <v>45</v>
      </c>
      <c r="C93" t="s">
        <v>247</v>
      </c>
      <c r="D93" s="26">
        <v>0.85</v>
      </c>
      <c r="E93" s="27">
        <f t="shared" si="2"/>
        <v>38.25</v>
      </c>
      <c r="F93" s="26" t="s">
        <v>255</v>
      </c>
      <c r="G93" s="27">
        <f t="shared" si="3"/>
        <v>6.7500000000000009</v>
      </c>
      <c r="H93" t="s">
        <v>250</v>
      </c>
    </row>
    <row r="94" spans="1:8" x14ac:dyDescent="0.2">
      <c r="A94" s="6" t="s">
        <v>187</v>
      </c>
      <c r="B94" s="3">
        <f>VLOOKUP($A94,Master_Rack!$H$2:$L$265,5,FALSE)</f>
        <v>45</v>
      </c>
      <c r="C94" t="s">
        <v>247</v>
      </c>
      <c r="D94" s="26">
        <v>0.85</v>
      </c>
      <c r="E94" s="27">
        <f t="shared" si="2"/>
        <v>38.25</v>
      </c>
      <c r="F94" s="26" t="s">
        <v>255</v>
      </c>
      <c r="G94" s="27">
        <f t="shared" si="3"/>
        <v>6.7500000000000009</v>
      </c>
      <c r="H94" t="s">
        <v>250</v>
      </c>
    </row>
    <row r="95" spans="1:8" x14ac:dyDescent="0.2">
      <c r="A95" s="6" t="s">
        <v>188</v>
      </c>
      <c r="B95" s="3">
        <f>VLOOKUP($A95,Master_Rack!$H$2:$L$265,5,FALSE)</f>
        <v>45</v>
      </c>
      <c r="C95" t="s">
        <v>247</v>
      </c>
      <c r="D95" s="26">
        <v>0.85</v>
      </c>
      <c r="E95" s="27">
        <f t="shared" si="2"/>
        <v>38.25</v>
      </c>
      <c r="F95" s="26" t="s">
        <v>255</v>
      </c>
      <c r="G95" s="27">
        <f t="shared" si="3"/>
        <v>6.7500000000000009</v>
      </c>
      <c r="H95" t="s">
        <v>250</v>
      </c>
    </row>
    <row r="96" spans="1:8" x14ac:dyDescent="0.2">
      <c r="A96" s="6" t="s">
        <v>189</v>
      </c>
      <c r="B96" s="3">
        <f>VLOOKUP($A96,Master_Rack!$H$2:$L$265,5,FALSE)</f>
        <v>45</v>
      </c>
      <c r="C96" t="s">
        <v>247</v>
      </c>
      <c r="D96" s="26">
        <v>0.85</v>
      </c>
      <c r="E96" s="27">
        <f t="shared" si="2"/>
        <v>38.25</v>
      </c>
      <c r="F96" s="26" t="s">
        <v>255</v>
      </c>
      <c r="G96" s="27">
        <f t="shared" si="3"/>
        <v>6.7500000000000009</v>
      </c>
      <c r="H96" t="s">
        <v>250</v>
      </c>
    </row>
    <row r="97" spans="1:8" x14ac:dyDescent="0.2">
      <c r="A97" s="6" t="s">
        <v>190</v>
      </c>
      <c r="B97" s="3">
        <f>VLOOKUP($A97,Master_Rack!$H$2:$L$265,5,FALSE)</f>
        <v>45</v>
      </c>
      <c r="C97" t="s">
        <v>247</v>
      </c>
      <c r="D97" s="26">
        <v>0.85</v>
      </c>
      <c r="E97" s="27">
        <f t="shared" si="2"/>
        <v>38.25</v>
      </c>
      <c r="F97" s="26" t="s">
        <v>255</v>
      </c>
      <c r="G97" s="27">
        <f t="shared" si="3"/>
        <v>6.7500000000000009</v>
      </c>
      <c r="H97" t="s">
        <v>250</v>
      </c>
    </row>
    <row r="98" spans="1:8" x14ac:dyDescent="0.2">
      <c r="A98" s="7" t="s">
        <v>193</v>
      </c>
      <c r="B98" s="3">
        <f>VLOOKUP($A98,Master_Rack!$H$2:$L$265,5,FALSE)</f>
        <v>45</v>
      </c>
      <c r="C98" t="s">
        <v>247</v>
      </c>
      <c r="D98" s="26">
        <v>0.85</v>
      </c>
      <c r="E98" s="27">
        <f t="shared" si="2"/>
        <v>38.25</v>
      </c>
      <c r="F98" s="26" t="s">
        <v>255</v>
      </c>
      <c r="G98" s="27">
        <f t="shared" si="3"/>
        <v>6.7500000000000009</v>
      </c>
      <c r="H98" t="s">
        <v>250</v>
      </c>
    </row>
    <row r="99" spans="1:8" x14ac:dyDescent="0.2">
      <c r="A99" s="7" t="s">
        <v>194</v>
      </c>
      <c r="B99" s="3">
        <f>VLOOKUP($A99,Master_Rack!$H$2:$L$265,5,FALSE)</f>
        <v>45</v>
      </c>
      <c r="C99" t="s">
        <v>247</v>
      </c>
      <c r="D99" s="26">
        <v>0.85</v>
      </c>
      <c r="E99" s="27">
        <f t="shared" si="2"/>
        <v>38.25</v>
      </c>
      <c r="F99" s="26" t="s">
        <v>255</v>
      </c>
      <c r="G99" s="27">
        <f t="shared" si="3"/>
        <v>6.7500000000000009</v>
      </c>
      <c r="H99" t="s">
        <v>250</v>
      </c>
    </row>
    <row r="100" spans="1:8" x14ac:dyDescent="0.2">
      <c r="A100" s="7" t="s">
        <v>195</v>
      </c>
      <c r="B100" s="3">
        <f>VLOOKUP($A100,Master_Rack!$H$2:$L$265,5,FALSE)</f>
        <v>45</v>
      </c>
      <c r="C100" t="s">
        <v>247</v>
      </c>
      <c r="D100" s="26">
        <v>0.85</v>
      </c>
      <c r="E100" s="27">
        <f t="shared" si="2"/>
        <v>38.25</v>
      </c>
      <c r="F100" s="26" t="s">
        <v>255</v>
      </c>
      <c r="G100" s="27">
        <f t="shared" si="3"/>
        <v>6.7500000000000009</v>
      </c>
      <c r="H100" t="s">
        <v>250</v>
      </c>
    </row>
    <row r="101" spans="1:8" x14ac:dyDescent="0.2">
      <c r="A101" s="7" t="s">
        <v>196</v>
      </c>
      <c r="B101" s="3">
        <f>VLOOKUP($A101,Master_Rack!$H$2:$L$265,5,FALSE)</f>
        <v>45</v>
      </c>
      <c r="C101" t="s">
        <v>247</v>
      </c>
      <c r="D101" s="26">
        <v>0.85</v>
      </c>
      <c r="E101" s="27">
        <f t="shared" si="2"/>
        <v>38.25</v>
      </c>
      <c r="F101" s="26" t="s">
        <v>255</v>
      </c>
      <c r="G101" s="27">
        <f t="shared" si="3"/>
        <v>6.7500000000000009</v>
      </c>
      <c r="H101" t="s">
        <v>250</v>
      </c>
    </row>
    <row r="102" spans="1:8" x14ac:dyDescent="0.2">
      <c r="A102" s="7" t="s">
        <v>197</v>
      </c>
      <c r="B102" s="3">
        <f>VLOOKUP($A102,Master_Rack!$H$2:$L$265,5,FALSE)</f>
        <v>45</v>
      </c>
      <c r="C102" t="s">
        <v>247</v>
      </c>
      <c r="D102" s="26">
        <v>0.85</v>
      </c>
      <c r="E102" s="27">
        <f t="shared" si="2"/>
        <v>38.25</v>
      </c>
      <c r="F102" s="26" t="s">
        <v>255</v>
      </c>
      <c r="G102" s="27">
        <f t="shared" si="3"/>
        <v>6.7500000000000009</v>
      </c>
      <c r="H102" t="s">
        <v>250</v>
      </c>
    </row>
    <row r="103" spans="1:8" x14ac:dyDescent="0.2">
      <c r="A103" s="7" t="s">
        <v>198</v>
      </c>
      <c r="B103" s="3">
        <f>VLOOKUP($A103,Master_Rack!$H$2:$L$265,5,FALSE)</f>
        <v>45</v>
      </c>
      <c r="C103" t="s">
        <v>247</v>
      </c>
      <c r="D103" s="26">
        <v>0.85</v>
      </c>
      <c r="E103" s="27">
        <f t="shared" si="2"/>
        <v>38.25</v>
      </c>
      <c r="F103" s="26" t="s">
        <v>255</v>
      </c>
      <c r="G103" s="27">
        <f t="shared" si="3"/>
        <v>6.7500000000000009</v>
      </c>
      <c r="H103" t="s">
        <v>250</v>
      </c>
    </row>
    <row r="104" spans="1:8" x14ac:dyDescent="0.2">
      <c r="A104" s="7" t="s">
        <v>199</v>
      </c>
      <c r="B104" s="3">
        <f>VLOOKUP($A104,Master_Rack!$H$2:$L$265,5,FALSE)</f>
        <v>45</v>
      </c>
      <c r="C104" t="s">
        <v>247</v>
      </c>
      <c r="D104" s="26">
        <v>0.85</v>
      </c>
      <c r="E104" s="27">
        <f t="shared" si="2"/>
        <v>38.25</v>
      </c>
      <c r="F104" s="26" t="s">
        <v>255</v>
      </c>
      <c r="G104" s="27">
        <f t="shared" si="3"/>
        <v>6.7500000000000009</v>
      </c>
      <c r="H104" t="s">
        <v>250</v>
      </c>
    </row>
    <row r="105" spans="1:8" x14ac:dyDescent="0.2">
      <c r="A105" s="7" t="s">
        <v>200</v>
      </c>
      <c r="B105" s="3">
        <f>VLOOKUP($A105,Master_Rack!$H$2:$L$265,5,FALSE)</f>
        <v>45</v>
      </c>
      <c r="C105" t="s">
        <v>247</v>
      </c>
      <c r="D105" s="26">
        <v>0.85</v>
      </c>
      <c r="E105" s="27">
        <f t="shared" si="2"/>
        <v>38.25</v>
      </c>
      <c r="F105" s="26" t="s">
        <v>255</v>
      </c>
      <c r="G105" s="27">
        <f t="shared" si="3"/>
        <v>6.7500000000000009</v>
      </c>
      <c r="H105" t="s">
        <v>250</v>
      </c>
    </row>
    <row r="106" spans="1:8" x14ac:dyDescent="0.2">
      <c r="A106" s="7" t="s">
        <v>201</v>
      </c>
      <c r="B106" s="3">
        <f>VLOOKUP($A106,Master_Rack!$H$2:$L$265,5,FALSE)</f>
        <v>45</v>
      </c>
      <c r="C106" t="s">
        <v>247</v>
      </c>
      <c r="D106" s="26">
        <v>0.85</v>
      </c>
      <c r="E106" s="27">
        <f t="shared" si="2"/>
        <v>38.25</v>
      </c>
      <c r="F106" s="26" t="s">
        <v>255</v>
      </c>
      <c r="G106" s="27">
        <f t="shared" si="3"/>
        <v>6.7500000000000009</v>
      </c>
      <c r="H106" t="s">
        <v>250</v>
      </c>
    </row>
    <row r="107" spans="1:8" x14ac:dyDescent="0.2">
      <c r="A107" s="7" t="s">
        <v>202</v>
      </c>
      <c r="B107" s="3">
        <f>VLOOKUP($A107,Master_Rack!$H$2:$L$265,5,FALSE)</f>
        <v>45</v>
      </c>
      <c r="C107" t="s">
        <v>247</v>
      </c>
      <c r="D107" s="26">
        <v>0.85</v>
      </c>
      <c r="E107" s="27">
        <f t="shared" si="2"/>
        <v>38.25</v>
      </c>
      <c r="F107" s="26" t="s">
        <v>255</v>
      </c>
      <c r="G107" s="27">
        <f t="shared" si="3"/>
        <v>6.7500000000000009</v>
      </c>
      <c r="H107" t="s">
        <v>250</v>
      </c>
    </row>
    <row r="108" spans="1:8" x14ac:dyDescent="0.2">
      <c r="A108" s="7" t="s">
        <v>203</v>
      </c>
      <c r="B108" s="3">
        <f>VLOOKUP($A108,Master_Rack!$H$2:$L$265,5,FALSE)</f>
        <v>45</v>
      </c>
      <c r="C108" t="s">
        <v>247</v>
      </c>
      <c r="D108" s="26">
        <v>0.85</v>
      </c>
      <c r="E108" s="27">
        <f t="shared" si="2"/>
        <v>38.25</v>
      </c>
      <c r="F108" s="26" t="s">
        <v>255</v>
      </c>
      <c r="G108" s="27">
        <f t="shared" si="3"/>
        <v>6.7500000000000009</v>
      </c>
      <c r="H108" t="s">
        <v>250</v>
      </c>
    </row>
    <row r="109" spans="1:8" x14ac:dyDescent="0.2">
      <c r="A109" s="7" t="s">
        <v>204</v>
      </c>
      <c r="B109" s="3">
        <f>VLOOKUP($A109,Master_Rack!$H$2:$L$265,5,FALSE)</f>
        <v>45</v>
      </c>
      <c r="C109" t="s">
        <v>247</v>
      </c>
      <c r="D109" s="26">
        <v>0.85</v>
      </c>
      <c r="E109" s="27">
        <f t="shared" si="2"/>
        <v>38.25</v>
      </c>
      <c r="F109" s="26" t="s">
        <v>255</v>
      </c>
      <c r="G109" s="27">
        <f>B109*(1-D109)</f>
        <v>6.7500000000000009</v>
      </c>
      <c r="H109" t="s">
        <v>250</v>
      </c>
    </row>
    <row r="110" spans="1:8" x14ac:dyDescent="0.2">
      <c r="A110" s="6" t="s">
        <v>206</v>
      </c>
      <c r="B110" s="3">
        <f>VLOOKUP($A110,Master_Rack!$H$2:$L$265,5,FALSE)</f>
        <v>45</v>
      </c>
      <c r="C110" t="s">
        <v>247</v>
      </c>
      <c r="D110" s="26">
        <v>0.85</v>
      </c>
      <c r="E110" s="27">
        <f t="shared" si="2"/>
        <v>38.25</v>
      </c>
      <c r="F110" s="26" t="s">
        <v>255</v>
      </c>
      <c r="G110" s="27">
        <f t="shared" si="3"/>
        <v>6.7500000000000009</v>
      </c>
      <c r="H110" t="s">
        <v>250</v>
      </c>
    </row>
    <row r="111" spans="1:8" x14ac:dyDescent="0.2">
      <c r="A111" s="6" t="s">
        <v>207</v>
      </c>
      <c r="B111" s="3">
        <f>VLOOKUP($A111,Master_Rack!$H$2:$L$265,5,FALSE)</f>
        <v>45</v>
      </c>
      <c r="C111" t="s">
        <v>247</v>
      </c>
      <c r="D111" s="26">
        <v>0.85</v>
      </c>
      <c r="E111" s="27">
        <f t="shared" si="2"/>
        <v>38.25</v>
      </c>
      <c r="F111" s="26" t="s">
        <v>255</v>
      </c>
      <c r="G111" s="27">
        <f t="shared" si="3"/>
        <v>6.7500000000000009</v>
      </c>
      <c r="H111" t="s">
        <v>250</v>
      </c>
    </row>
    <row r="112" spans="1:8" x14ac:dyDescent="0.2">
      <c r="A112" s="6" t="s">
        <v>208</v>
      </c>
      <c r="B112" s="3">
        <f>VLOOKUP($A112,Master_Rack!$H$2:$L$265,5,FALSE)</f>
        <v>45</v>
      </c>
      <c r="C112" t="s">
        <v>247</v>
      </c>
      <c r="D112" s="26">
        <v>0.85</v>
      </c>
      <c r="E112" s="27">
        <f t="shared" si="2"/>
        <v>38.25</v>
      </c>
      <c r="F112" s="26" t="s">
        <v>255</v>
      </c>
      <c r="G112" s="27">
        <f t="shared" si="3"/>
        <v>6.7500000000000009</v>
      </c>
      <c r="H112" t="s">
        <v>250</v>
      </c>
    </row>
    <row r="113" spans="1:8" x14ac:dyDescent="0.2">
      <c r="A113" s="6" t="s">
        <v>209</v>
      </c>
      <c r="B113" s="3">
        <f>VLOOKUP($A113,Master_Rack!$H$2:$L$265,5,FALSE)</f>
        <v>45</v>
      </c>
      <c r="C113" t="s">
        <v>247</v>
      </c>
      <c r="D113" s="26">
        <v>0.85</v>
      </c>
      <c r="E113" s="27">
        <f t="shared" si="2"/>
        <v>38.25</v>
      </c>
      <c r="F113" s="26" t="s">
        <v>255</v>
      </c>
      <c r="G113" s="27">
        <f t="shared" si="3"/>
        <v>6.7500000000000009</v>
      </c>
      <c r="H113" t="s">
        <v>250</v>
      </c>
    </row>
    <row r="114" spans="1:8" x14ac:dyDescent="0.2">
      <c r="A114" s="6" t="s">
        <v>210</v>
      </c>
      <c r="B114" s="3">
        <f>VLOOKUP($A114,Master_Rack!$H$2:$L$265,5,FALSE)</f>
        <v>45</v>
      </c>
      <c r="C114" t="s">
        <v>247</v>
      </c>
      <c r="D114" s="26">
        <v>0.85</v>
      </c>
      <c r="E114" s="27">
        <f t="shared" si="2"/>
        <v>38.25</v>
      </c>
      <c r="F114" s="26" t="s">
        <v>255</v>
      </c>
      <c r="G114" s="27">
        <f t="shared" si="3"/>
        <v>6.7500000000000009</v>
      </c>
      <c r="H114" t="s">
        <v>250</v>
      </c>
    </row>
    <row r="115" spans="1:8" x14ac:dyDescent="0.2">
      <c r="A115" s="6" t="s">
        <v>211</v>
      </c>
      <c r="B115" s="3">
        <f>VLOOKUP($A115,Master_Rack!$H$2:$L$265,5,FALSE)</f>
        <v>45</v>
      </c>
      <c r="C115" t="s">
        <v>247</v>
      </c>
      <c r="D115" s="26">
        <v>0.85</v>
      </c>
      <c r="E115" s="27">
        <f t="shared" si="2"/>
        <v>38.25</v>
      </c>
      <c r="F115" s="26" t="s">
        <v>255</v>
      </c>
      <c r="G115" s="27">
        <f t="shared" si="3"/>
        <v>6.7500000000000009</v>
      </c>
      <c r="H115" t="s">
        <v>250</v>
      </c>
    </row>
    <row r="116" spans="1:8" x14ac:dyDescent="0.2">
      <c r="A116" s="6" t="s">
        <v>212</v>
      </c>
      <c r="B116" s="3">
        <f>VLOOKUP($A116,Master_Rack!$H$2:$L$265,5,FALSE)</f>
        <v>45</v>
      </c>
      <c r="C116" t="s">
        <v>247</v>
      </c>
      <c r="D116" s="26">
        <v>0.85</v>
      </c>
      <c r="E116" s="27">
        <f t="shared" si="2"/>
        <v>38.25</v>
      </c>
      <c r="F116" s="26" t="s">
        <v>255</v>
      </c>
      <c r="G116" s="27">
        <f t="shared" si="3"/>
        <v>6.7500000000000009</v>
      </c>
      <c r="H116" t="s">
        <v>250</v>
      </c>
    </row>
    <row r="117" spans="1:8" x14ac:dyDescent="0.2">
      <c r="A117" s="6" t="s">
        <v>213</v>
      </c>
      <c r="B117" s="3">
        <f>VLOOKUP($A117,Master_Rack!$H$2:$L$265,5,FALSE)</f>
        <v>45</v>
      </c>
      <c r="C117" t="s">
        <v>247</v>
      </c>
      <c r="D117" s="26">
        <v>0.85</v>
      </c>
      <c r="E117" s="27">
        <f t="shared" si="2"/>
        <v>38.25</v>
      </c>
      <c r="F117" s="26" t="s">
        <v>255</v>
      </c>
      <c r="G117" s="27">
        <f t="shared" si="3"/>
        <v>6.7500000000000009</v>
      </c>
      <c r="H117" t="s">
        <v>250</v>
      </c>
    </row>
    <row r="118" spans="1:8" x14ac:dyDescent="0.2">
      <c r="A118" s="6" t="s">
        <v>214</v>
      </c>
      <c r="B118" s="3">
        <f>VLOOKUP($A118,Master_Rack!$H$2:$L$265,5,FALSE)</f>
        <v>45</v>
      </c>
      <c r="C118" t="s">
        <v>247</v>
      </c>
      <c r="D118" s="26">
        <v>0.85</v>
      </c>
      <c r="E118" s="27">
        <f t="shared" si="2"/>
        <v>38.25</v>
      </c>
      <c r="F118" s="26" t="s">
        <v>255</v>
      </c>
      <c r="G118" s="27">
        <f t="shared" si="3"/>
        <v>6.7500000000000009</v>
      </c>
      <c r="H118" t="s">
        <v>250</v>
      </c>
    </row>
    <row r="119" spans="1:8" x14ac:dyDescent="0.2">
      <c r="A119" s="6" t="s">
        <v>215</v>
      </c>
      <c r="B119" s="3">
        <f>VLOOKUP($A119,Master_Rack!$H$2:$L$265,5,FALSE)</f>
        <v>45</v>
      </c>
      <c r="C119" t="s">
        <v>247</v>
      </c>
      <c r="D119" s="26">
        <v>0.85</v>
      </c>
      <c r="E119" s="27">
        <f t="shared" si="2"/>
        <v>38.25</v>
      </c>
      <c r="F119" s="26" t="s">
        <v>255</v>
      </c>
      <c r="G119" s="27">
        <f t="shared" si="3"/>
        <v>6.7500000000000009</v>
      </c>
      <c r="H119" t="s">
        <v>250</v>
      </c>
    </row>
    <row r="120" spans="1:8" x14ac:dyDescent="0.2">
      <c r="A120" s="6" t="s">
        <v>216</v>
      </c>
      <c r="B120" s="3">
        <f>VLOOKUP($A120,Master_Rack!$H$2:$L$265,5,FALSE)</f>
        <v>45</v>
      </c>
      <c r="C120" t="s">
        <v>247</v>
      </c>
      <c r="D120" s="26">
        <v>0.85</v>
      </c>
      <c r="E120" s="27">
        <f t="shared" si="2"/>
        <v>38.25</v>
      </c>
      <c r="F120" s="26" t="s">
        <v>255</v>
      </c>
      <c r="G120" s="27">
        <f t="shared" si="3"/>
        <v>6.7500000000000009</v>
      </c>
      <c r="H120" t="s">
        <v>250</v>
      </c>
    </row>
    <row r="121" spans="1:8" x14ac:dyDescent="0.2">
      <c r="A121" s="6" t="s">
        <v>217</v>
      </c>
      <c r="B121" s="3">
        <f>VLOOKUP($A121,Master_Rack!$H$2:$L$265,5,FALSE)</f>
        <v>45</v>
      </c>
      <c r="C121" t="s">
        <v>247</v>
      </c>
      <c r="D121" s="26">
        <v>0.85</v>
      </c>
      <c r="E121" s="27">
        <f t="shared" si="2"/>
        <v>38.25</v>
      </c>
      <c r="F121" s="26" t="s">
        <v>255</v>
      </c>
      <c r="G121" s="27">
        <f t="shared" si="3"/>
        <v>6.7500000000000009</v>
      </c>
      <c r="H121" t="s">
        <v>250</v>
      </c>
    </row>
    <row r="122" spans="1:8" x14ac:dyDescent="0.2">
      <c r="A122" s="7" t="s">
        <v>220</v>
      </c>
      <c r="B122" s="3">
        <f>VLOOKUP($A122,Master_Rack!$H$2:$L$265,5,FALSE)</f>
        <v>45</v>
      </c>
      <c r="C122" t="s">
        <v>247</v>
      </c>
      <c r="D122" s="26">
        <v>0.85</v>
      </c>
      <c r="E122" s="27">
        <f t="shared" si="2"/>
        <v>38.25</v>
      </c>
      <c r="F122" s="26" t="s">
        <v>255</v>
      </c>
      <c r="G122" s="27">
        <f t="shared" si="3"/>
        <v>6.7500000000000009</v>
      </c>
      <c r="H122" t="s">
        <v>251</v>
      </c>
    </row>
    <row r="123" spans="1:8" x14ac:dyDescent="0.2">
      <c r="A123" s="7" t="s">
        <v>221</v>
      </c>
      <c r="B123" s="3">
        <f>VLOOKUP($A123,Master_Rack!$H$2:$L$265,5,FALSE)</f>
        <v>45</v>
      </c>
      <c r="C123" t="s">
        <v>247</v>
      </c>
      <c r="D123" s="26">
        <v>0.85</v>
      </c>
      <c r="E123" s="27">
        <f t="shared" si="2"/>
        <v>38.25</v>
      </c>
      <c r="F123" s="26" t="s">
        <v>255</v>
      </c>
      <c r="G123" s="27">
        <f t="shared" si="3"/>
        <v>6.7500000000000009</v>
      </c>
      <c r="H123" t="s">
        <v>251</v>
      </c>
    </row>
    <row r="124" spans="1:8" x14ac:dyDescent="0.2">
      <c r="A124" s="7" t="s">
        <v>222</v>
      </c>
      <c r="B124" s="3">
        <f>VLOOKUP($A124,Master_Rack!$H$2:$L$265,5,FALSE)</f>
        <v>45</v>
      </c>
      <c r="C124" t="s">
        <v>247</v>
      </c>
      <c r="D124" s="26">
        <v>0.85</v>
      </c>
      <c r="E124" s="27">
        <f t="shared" si="2"/>
        <v>38.25</v>
      </c>
      <c r="F124" s="26" t="s">
        <v>255</v>
      </c>
      <c r="G124" s="27">
        <f t="shared" si="3"/>
        <v>6.7500000000000009</v>
      </c>
      <c r="H124" t="s">
        <v>251</v>
      </c>
    </row>
    <row r="125" spans="1:8" x14ac:dyDescent="0.2">
      <c r="A125" s="7" t="s">
        <v>223</v>
      </c>
      <c r="B125" s="3">
        <f>VLOOKUP($A125,Master_Rack!$H$2:$L$265,5,FALSE)</f>
        <v>45</v>
      </c>
      <c r="C125" t="s">
        <v>247</v>
      </c>
      <c r="D125" s="26">
        <v>0.85</v>
      </c>
      <c r="E125" s="27">
        <f t="shared" si="2"/>
        <v>38.25</v>
      </c>
      <c r="F125" s="26" t="s">
        <v>255</v>
      </c>
      <c r="G125" s="27">
        <f t="shared" si="3"/>
        <v>6.7500000000000009</v>
      </c>
      <c r="H125" t="s">
        <v>251</v>
      </c>
    </row>
    <row r="126" spans="1:8" x14ac:dyDescent="0.2">
      <c r="A126" s="7" t="s">
        <v>224</v>
      </c>
      <c r="B126" s="3">
        <f>VLOOKUP($A126,Master_Rack!$H$2:$L$265,5,FALSE)</f>
        <v>45</v>
      </c>
      <c r="C126" t="s">
        <v>247</v>
      </c>
      <c r="D126" s="26">
        <v>0.85</v>
      </c>
      <c r="E126" s="27">
        <f t="shared" si="2"/>
        <v>38.25</v>
      </c>
      <c r="F126" s="26" t="s">
        <v>255</v>
      </c>
      <c r="G126" s="27">
        <f t="shared" si="3"/>
        <v>6.7500000000000009</v>
      </c>
      <c r="H126" t="s">
        <v>251</v>
      </c>
    </row>
    <row r="127" spans="1:8" x14ac:dyDescent="0.2">
      <c r="A127" s="7" t="s">
        <v>225</v>
      </c>
      <c r="B127" s="3">
        <f>VLOOKUP($A127,Master_Rack!$H$2:$L$265,5,FALSE)</f>
        <v>45</v>
      </c>
      <c r="C127" t="s">
        <v>247</v>
      </c>
      <c r="D127" s="26">
        <v>0.85</v>
      </c>
      <c r="E127" s="27">
        <f t="shared" si="2"/>
        <v>38.25</v>
      </c>
      <c r="F127" s="26" t="s">
        <v>255</v>
      </c>
      <c r="G127" s="27">
        <f t="shared" si="3"/>
        <v>6.7500000000000009</v>
      </c>
      <c r="H127" t="s">
        <v>251</v>
      </c>
    </row>
    <row r="128" spans="1:8" x14ac:dyDescent="0.2">
      <c r="A128" s="7" t="s">
        <v>226</v>
      </c>
      <c r="B128" s="3">
        <f>VLOOKUP($A128,Master_Rack!$H$2:$L$265,5,FALSE)</f>
        <v>45</v>
      </c>
      <c r="C128" t="s">
        <v>247</v>
      </c>
      <c r="D128" s="26">
        <v>0.85</v>
      </c>
      <c r="E128" s="27">
        <f t="shared" si="2"/>
        <v>38.25</v>
      </c>
      <c r="F128" s="26" t="s">
        <v>255</v>
      </c>
      <c r="G128" s="27">
        <f t="shared" si="3"/>
        <v>6.7500000000000009</v>
      </c>
      <c r="H128" t="s">
        <v>251</v>
      </c>
    </row>
    <row r="129" spans="1:8" x14ac:dyDescent="0.2">
      <c r="A129" s="7" t="s">
        <v>227</v>
      </c>
      <c r="B129" s="3">
        <f>VLOOKUP($A129,Master_Rack!$H$2:$L$265,5,FALSE)</f>
        <v>45</v>
      </c>
      <c r="C129" t="s">
        <v>247</v>
      </c>
      <c r="D129" s="26">
        <v>0.85</v>
      </c>
      <c r="E129" s="27">
        <f t="shared" si="2"/>
        <v>38.25</v>
      </c>
      <c r="F129" s="26" t="s">
        <v>255</v>
      </c>
      <c r="G129" s="27">
        <f t="shared" si="3"/>
        <v>6.7500000000000009</v>
      </c>
      <c r="H129" t="s">
        <v>251</v>
      </c>
    </row>
    <row r="130" spans="1:8" x14ac:dyDescent="0.2">
      <c r="A130" s="7" t="s">
        <v>228</v>
      </c>
      <c r="B130" s="3">
        <f>VLOOKUP($A130,Master_Rack!$H$2:$L$265,5,FALSE)</f>
        <v>45</v>
      </c>
      <c r="C130" t="s">
        <v>247</v>
      </c>
      <c r="D130" s="26">
        <v>0.85</v>
      </c>
      <c r="E130" s="27">
        <f t="shared" si="2"/>
        <v>38.25</v>
      </c>
      <c r="F130" s="26" t="s">
        <v>255</v>
      </c>
      <c r="G130" s="27">
        <f t="shared" si="3"/>
        <v>6.7500000000000009</v>
      </c>
      <c r="H130" t="s">
        <v>251</v>
      </c>
    </row>
    <row r="131" spans="1:8" x14ac:dyDescent="0.2">
      <c r="A131" s="7" t="s">
        <v>229</v>
      </c>
      <c r="B131" s="3">
        <f>VLOOKUP($A131,Master_Rack!$H$2:$L$265,5,FALSE)</f>
        <v>45</v>
      </c>
      <c r="C131" t="s">
        <v>247</v>
      </c>
      <c r="D131" s="26">
        <v>0.85</v>
      </c>
      <c r="E131" s="27">
        <f t="shared" ref="E131:E194" si="4">B131*D131</f>
        <v>38.25</v>
      </c>
      <c r="F131" s="26" t="s">
        <v>255</v>
      </c>
      <c r="G131" s="27">
        <f t="shared" ref="G131:G194" si="5">B131*(1-D131)</f>
        <v>6.7500000000000009</v>
      </c>
      <c r="H131" t="s">
        <v>251</v>
      </c>
    </row>
    <row r="132" spans="1:8" x14ac:dyDescent="0.2">
      <c r="A132" s="7" t="s">
        <v>230</v>
      </c>
      <c r="B132" s="3">
        <f>VLOOKUP($A132,Master_Rack!$H$2:$L$265,5,FALSE)</f>
        <v>45</v>
      </c>
      <c r="C132" t="s">
        <v>247</v>
      </c>
      <c r="D132" s="26">
        <v>0.85</v>
      </c>
      <c r="E132" s="27">
        <f t="shared" si="4"/>
        <v>38.25</v>
      </c>
      <c r="F132" s="26" t="s">
        <v>255</v>
      </c>
      <c r="G132" s="27">
        <f t="shared" si="5"/>
        <v>6.7500000000000009</v>
      </c>
      <c r="H132" t="s">
        <v>251</v>
      </c>
    </row>
    <row r="133" spans="1:8" x14ac:dyDescent="0.2">
      <c r="A133" s="7" t="s">
        <v>231</v>
      </c>
      <c r="B133" s="3">
        <f>VLOOKUP($A133,Master_Rack!$H$2:$L$265,5,FALSE)</f>
        <v>45</v>
      </c>
      <c r="C133" t="s">
        <v>247</v>
      </c>
      <c r="D133" s="26">
        <v>0.85</v>
      </c>
      <c r="E133" s="27">
        <f t="shared" si="4"/>
        <v>38.25</v>
      </c>
      <c r="F133" s="26" t="s">
        <v>255</v>
      </c>
      <c r="G133" s="27">
        <f t="shared" si="5"/>
        <v>6.7500000000000009</v>
      </c>
      <c r="H133" t="s">
        <v>251</v>
      </c>
    </row>
    <row r="134" spans="1:8" x14ac:dyDescent="0.2">
      <c r="A134" s="6" t="s">
        <v>233</v>
      </c>
      <c r="B134" s="3">
        <f>VLOOKUP($A134,Master_Rack!$H$2:$L$265,5,FALSE)</f>
        <v>45</v>
      </c>
      <c r="C134" t="s">
        <v>247</v>
      </c>
      <c r="D134" s="26">
        <v>0.85</v>
      </c>
      <c r="E134" s="27">
        <f t="shared" si="4"/>
        <v>38.25</v>
      </c>
      <c r="F134" s="26" t="s">
        <v>255</v>
      </c>
      <c r="G134" s="27">
        <f t="shared" si="5"/>
        <v>6.7500000000000009</v>
      </c>
      <c r="H134" t="s">
        <v>251</v>
      </c>
    </row>
    <row r="135" spans="1:8" x14ac:dyDescent="0.2">
      <c r="A135" s="6" t="s">
        <v>234</v>
      </c>
      <c r="B135" s="3">
        <f>VLOOKUP($A135,Master_Rack!$H$2:$L$265,5,FALSE)</f>
        <v>45</v>
      </c>
      <c r="C135" t="s">
        <v>247</v>
      </c>
      <c r="D135" s="26">
        <v>0.85</v>
      </c>
      <c r="E135" s="27">
        <f t="shared" si="4"/>
        <v>38.25</v>
      </c>
      <c r="F135" s="26" t="s">
        <v>255</v>
      </c>
      <c r="G135" s="27">
        <f t="shared" si="5"/>
        <v>6.7500000000000009</v>
      </c>
      <c r="H135" t="s">
        <v>251</v>
      </c>
    </row>
    <row r="136" spans="1:8" x14ac:dyDescent="0.2">
      <c r="A136" s="6" t="s">
        <v>235</v>
      </c>
      <c r="B136" s="3">
        <f>VLOOKUP($A136,Master_Rack!$H$2:$L$265,5,FALSE)</f>
        <v>45</v>
      </c>
      <c r="C136" t="s">
        <v>247</v>
      </c>
      <c r="D136" s="26">
        <v>0.85</v>
      </c>
      <c r="E136" s="27">
        <f t="shared" si="4"/>
        <v>38.25</v>
      </c>
      <c r="F136" s="26" t="s">
        <v>255</v>
      </c>
      <c r="G136" s="27">
        <f t="shared" si="5"/>
        <v>6.7500000000000009</v>
      </c>
      <c r="H136" t="s">
        <v>251</v>
      </c>
    </row>
    <row r="137" spans="1:8" x14ac:dyDescent="0.2">
      <c r="A137" s="6" t="s">
        <v>236</v>
      </c>
      <c r="B137" s="3">
        <f>VLOOKUP($A137,Master_Rack!$H$2:$L$265,5,FALSE)</f>
        <v>45</v>
      </c>
      <c r="C137" t="s">
        <v>247</v>
      </c>
      <c r="D137" s="26">
        <v>0.85</v>
      </c>
      <c r="E137" s="27">
        <f t="shared" si="4"/>
        <v>38.25</v>
      </c>
      <c r="F137" s="26" t="s">
        <v>255</v>
      </c>
      <c r="G137" s="27">
        <f t="shared" si="5"/>
        <v>6.7500000000000009</v>
      </c>
      <c r="H137" t="s">
        <v>251</v>
      </c>
    </row>
    <row r="138" spans="1:8" x14ac:dyDescent="0.2">
      <c r="A138" s="6" t="s">
        <v>237</v>
      </c>
      <c r="B138" s="3">
        <f>VLOOKUP($A138,Master_Rack!$H$2:$L$265,5,FALSE)</f>
        <v>45</v>
      </c>
      <c r="C138" t="s">
        <v>247</v>
      </c>
      <c r="D138" s="26">
        <v>0.85</v>
      </c>
      <c r="E138" s="27">
        <f t="shared" si="4"/>
        <v>38.25</v>
      </c>
      <c r="F138" s="26" t="s">
        <v>255</v>
      </c>
      <c r="G138" s="27">
        <f t="shared" si="5"/>
        <v>6.7500000000000009</v>
      </c>
      <c r="H138" t="s">
        <v>251</v>
      </c>
    </row>
    <row r="139" spans="1:8" x14ac:dyDescent="0.2">
      <c r="A139" s="6" t="s">
        <v>238</v>
      </c>
      <c r="B139" s="3">
        <f>VLOOKUP($A139,Master_Rack!$H$2:$L$265,5,FALSE)</f>
        <v>45</v>
      </c>
      <c r="C139" t="s">
        <v>247</v>
      </c>
      <c r="D139" s="26">
        <v>0.85</v>
      </c>
      <c r="E139" s="27">
        <f t="shared" si="4"/>
        <v>38.25</v>
      </c>
      <c r="F139" s="26" t="s">
        <v>255</v>
      </c>
      <c r="G139" s="27">
        <f t="shared" si="5"/>
        <v>6.7500000000000009</v>
      </c>
      <c r="H139" t="s">
        <v>251</v>
      </c>
    </row>
    <row r="140" spans="1:8" x14ac:dyDescent="0.2">
      <c r="A140" s="6" t="s">
        <v>239</v>
      </c>
      <c r="B140" s="3">
        <f>VLOOKUP($A140,Master_Rack!$H$2:$L$265,5,FALSE)</f>
        <v>45</v>
      </c>
      <c r="C140" t="s">
        <v>247</v>
      </c>
      <c r="D140" s="26">
        <v>0.85</v>
      </c>
      <c r="E140" s="27">
        <f t="shared" si="4"/>
        <v>38.25</v>
      </c>
      <c r="F140" s="26" t="s">
        <v>255</v>
      </c>
      <c r="G140" s="27">
        <f t="shared" si="5"/>
        <v>6.7500000000000009</v>
      </c>
      <c r="H140" t="s">
        <v>251</v>
      </c>
    </row>
    <row r="141" spans="1:8" x14ac:dyDescent="0.2">
      <c r="A141" s="6" t="s">
        <v>240</v>
      </c>
      <c r="B141" s="3">
        <f>VLOOKUP($A141,Master_Rack!$H$2:$L$265,5,FALSE)</f>
        <v>45</v>
      </c>
      <c r="C141" t="s">
        <v>247</v>
      </c>
      <c r="D141" s="26">
        <v>0.85</v>
      </c>
      <c r="E141" s="27">
        <f t="shared" si="4"/>
        <v>38.25</v>
      </c>
      <c r="F141" s="26" t="s">
        <v>255</v>
      </c>
      <c r="G141" s="27">
        <f t="shared" si="5"/>
        <v>6.7500000000000009</v>
      </c>
      <c r="H141" t="s">
        <v>251</v>
      </c>
    </row>
    <row r="142" spans="1:8" x14ac:dyDescent="0.2">
      <c r="A142" s="6" t="s">
        <v>241</v>
      </c>
      <c r="B142" s="3">
        <f>VLOOKUP($A142,Master_Rack!$H$2:$L$265,5,FALSE)</f>
        <v>45</v>
      </c>
      <c r="C142" t="s">
        <v>247</v>
      </c>
      <c r="D142" s="26">
        <v>0.85</v>
      </c>
      <c r="E142" s="27">
        <f t="shared" si="4"/>
        <v>38.25</v>
      </c>
      <c r="F142" s="26" t="s">
        <v>255</v>
      </c>
      <c r="G142" s="27">
        <f t="shared" si="5"/>
        <v>6.7500000000000009</v>
      </c>
      <c r="H142" t="s">
        <v>251</v>
      </c>
    </row>
    <row r="143" spans="1:8" x14ac:dyDescent="0.2">
      <c r="A143" s="6" t="s">
        <v>242</v>
      </c>
      <c r="B143" s="3">
        <f>VLOOKUP($A143,Master_Rack!$H$2:$L$265,5,FALSE)</f>
        <v>45</v>
      </c>
      <c r="C143" t="s">
        <v>247</v>
      </c>
      <c r="D143" s="26">
        <v>0.85</v>
      </c>
      <c r="E143" s="27">
        <f t="shared" si="4"/>
        <v>38.25</v>
      </c>
      <c r="F143" s="26" t="s">
        <v>255</v>
      </c>
      <c r="G143" s="27">
        <f t="shared" si="5"/>
        <v>6.7500000000000009</v>
      </c>
      <c r="H143" t="s">
        <v>251</v>
      </c>
    </row>
    <row r="144" spans="1:8" x14ac:dyDescent="0.2">
      <c r="A144" s="6" t="s">
        <v>243</v>
      </c>
      <c r="B144" s="3">
        <f>VLOOKUP($A144,Master_Rack!$H$2:$L$265,5,FALSE)</f>
        <v>45</v>
      </c>
      <c r="C144" t="s">
        <v>247</v>
      </c>
      <c r="D144" s="26">
        <v>0.85</v>
      </c>
      <c r="E144" s="27">
        <f t="shared" si="4"/>
        <v>38.25</v>
      </c>
      <c r="F144" s="26" t="s">
        <v>255</v>
      </c>
      <c r="G144" s="27">
        <f t="shared" si="5"/>
        <v>6.7500000000000009</v>
      </c>
      <c r="H144" t="s">
        <v>251</v>
      </c>
    </row>
    <row r="145" spans="1:8" x14ac:dyDescent="0.2">
      <c r="A145" s="6" t="s">
        <v>244</v>
      </c>
      <c r="B145" s="3">
        <f>VLOOKUP($A145,Master_Rack!$H$2:$L$265,5,FALSE)</f>
        <v>45</v>
      </c>
      <c r="C145" t="s">
        <v>247</v>
      </c>
      <c r="D145" s="26">
        <v>0.85</v>
      </c>
      <c r="E145" s="27">
        <f t="shared" si="4"/>
        <v>38.25</v>
      </c>
      <c r="F145" s="26" t="s">
        <v>255</v>
      </c>
      <c r="G145" s="27">
        <f t="shared" si="5"/>
        <v>6.7500000000000009</v>
      </c>
      <c r="H145" t="s">
        <v>251</v>
      </c>
    </row>
    <row r="146" spans="1:8" x14ac:dyDescent="0.2">
      <c r="A146" s="4" t="s">
        <v>40</v>
      </c>
      <c r="B146" s="3">
        <f>VLOOKUP($A146,Master_Rack!$H$2:$L$265,5,FALSE)</f>
        <v>20</v>
      </c>
      <c r="C146" t="s">
        <v>252</v>
      </c>
      <c r="D146" s="26">
        <v>0.7</v>
      </c>
      <c r="E146" s="27">
        <f t="shared" si="4"/>
        <v>14</v>
      </c>
      <c r="F146" s="26" t="s">
        <v>256</v>
      </c>
      <c r="G146" s="27">
        <f t="shared" si="5"/>
        <v>6.0000000000000009</v>
      </c>
      <c r="H146" t="s">
        <v>253</v>
      </c>
    </row>
    <row r="147" spans="1:8" x14ac:dyDescent="0.2">
      <c r="A147" s="4" t="s">
        <v>41</v>
      </c>
      <c r="B147" s="3">
        <f>VLOOKUP($A147,Master_Rack!$H$2:$L$265,5,FALSE)</f>
        <v>20</v>
      </c>
      <c r="C147" t="s">
        <v>252</v>
      </c>
      <c r="D147" s="26">
        <v>0.7</v>
      </c>
      <c r="E147" s="27">
        <f t="shared" si="4"/>
        <v>14</v>
      </c>
      <c r="F147" s="26" t="s">
        <v>256</v>
      </c>
      <c r="G147" s="27">
        <f t="shared" si="5"/>
        <v>6.0000000000000009</v>
      </c>
      <c r="H147" t="s">
        <v>253</v>
      </c>
    </row>
    <row r="148" spans="1:8" x14ac:dyDescent="0.2">
      <c r="A148" s="4" t="s">
        <v>42</v>
      </c>
      <c r="B148" s="3">
        <f>VLOOKUP($A148,Master_Rack!$H$2:$L$265,5,FALSE)</f>
        <v>20</v>
      </c>
      <c r="C148" t="s">
        <v>252</v>
      </c>
      <c r="D148" s="26">
        <v>0.7</v>
      </c>
      <c r="E148" s="27">
        <f t="shared" si="4"/>
        <v>14</v>
      </c>
      <c r="F148" s="26" t="s">
        <v>256</v>
      </c>
      <c r="G148" s="27">
        <f t="shared" si="5"/>
        <v>6.0000000000000009</v>
      </c>
      <c r="H148" t="s">
        <v>253</v>
      </c>
    </row>
    <row r="149" spans="1:8" x14ac:dyDescent="0.2">
      <c r="A149" s="4" t="s">
        <v>43</v>
      </c>
      <c r="B149" s="3">
        <f>VLOOKUP($A149,Master_Rack!$H$2:$L$265,5,FALSE)</f>
        <v>20</v>
      </c>
      <c r="C149" t="s">
        <v>252</v>
      </c>
      <c r="D149" s="26">
        <v>0.7</v>
      </c>
      <c r="E149" s="27">
        <f t="shared" si="4"/>
        <v>14</v>
      </c>
      <c r="F149" s="26" t="s">
        <v>256</v>
      </c>
      <c r="G149" s="27">
        <f t="shared" si="5"/>
        <v>6.0000000000000009</v>
      </c>
      <c r="H149" t="s">
        <v>253</v>
      </c>
    </row>
    <row r="150" spans="1:8" x14ac:dyDescent="0.2">
      <c r="A150" s="4" t="s">
        <v>44</v>
      </c>
      <c r="B150" s="3">
        <f>VLOOKUP($A150,Master_Rack!$H$2:$L$265,5,FALSE)</f>
        <v>20</v>
      </c>
      <c r="C150" t="s">
        <v>252</v>
      </c>
      <c r="D150" s="26">
        <v>0.7</v>
      </c>
      <c r="E150" s="27">
        <f t="shared" si="4"/>
        <v>14</v>
      </c>
      <c r="F150" s="26" t="s">
        <v>256</v>
      </c>
      <c r="G150" s="27">
        <f t="shared" si="5"/>
        <v>6.0000000000000009</v>
      </c>
      <c r="H150" t="s">
        <v>253</v>
      </c>
    </row>
    <row r="151" spans="1:8" x14ac:dyDescent="0.2">
      <c r="A151" s="4" t="s">
        <v>45</v>
      </c>
      <c r="B151" s="3">
        <f>VLOOKUP($A151,Master_Rack!$H$2:$L$265,5,FALSE)</f>
        <v>20</v>
      </c>
      <c r="C151" t="s">
        <v>252</v>
      </c>
      <c r="D151" s="26">
        <v>0.7</v>
      </c>
      <c r="E151" s="27">
        <f t="shared" si="4"/>
        <v>14</v>
      </c>
      <c r="F151" s="26" t="s">
        <v>256</v>
      </c>
      <c r="G151" s="27">
        <f t="shared" si="5"/>
        <v>6.0000000000000009</v>
      </c>
      <c r="H151" t="s">
        <v>253</v>
      </c>
    </row>
    <row r="152" spans="1:8" x14ac:dyDescent="0.2">
      <c r="A152" s="4" t="s">
        <v>46</v>
      </c>
      <c r="B152" s="3">
        <f>VLOOKUP($A152,Master_Rack!$H$2:$L$265,5,FALSE)</f>
        <v>20</v>
      </c>
      <c r="C152" t="s">
        <v>252</v>
      </c>
      <c r="D152" s="26">
        <v>0.7</v>
      </c>
      <c r="E152" s="27">
        <f t="shared" si="4"/>
        <v>14</v>
      </c>
      <c r="F152" s="26" t="s">
        <v>256</v>
      </c>
      <c r="G152" s="27">
        <f t="shared" si="5"/>
        <v>6.0000000000000009</v>
      </c>
      <c r="H152" t="s">
        <v>253</v>
      </c>
    </row>
    <row r="153" spans="1:8" x14ac:dyDescent="0.2">
      <c r="A153" s="4" t="s">
        <v>47</v>
      </c>
      <c r="B153" s="3">
        <f>VLOOKUP($A153,Master_Rack!$H$2:$L$265,5,FALSE)</f>
        <v>20</v>
      </c>
      <c r="C153" t="s">
        <v>252</v>
      </c>
      <c r="D153" s="26">
        <v>0.7</v>
      </c>
      <c r="E153" s="27">
        <f t="shared" si="4"/>
        <v>14</v>
      </c>
      <c r="F153" s="26" t="s">
        <v>256</v>
      </c>
      <c r="G153" s="27">
        <f t="shared" si="5"/>
        <v>6.0000000000000009</v>
      </c>
      <c r="H153" t="s">
        <v>253</v>
      </c>
    </row>
    <row r="154" spans="1:8" x14ac:dyDescent="0.2">
      <c r="A154" s="4" t="s">
        <v>48</v>
      </c>
      <c r="B154" s="3">
        <f>VLOOKUP($A154,Master_Rack!$H$2:$L$265,5,FALSE)</f>
        <v>20</v>
      </c>
      <c r="C154" t="s">
        <v>252</v>
      </c>
      <c r="D154" s="26">
        <v>0.7</v>
      </c>
      <c r="E154" s="27">
        <f t="shared" si="4"/>
        <v>14</v>
      </c>
      <c r="F154" s="26" t="s">
        <v>256</v>
      </c>
      <c r="G154" s="27">
        <f t="shared" si="5"/>
        <v>6.0000000000000009</v>
      </c>
      <c r="H154" t="s">
        <v>253</v>
      </c>
    </row>
    <row r="155" spans="1:8" x14ac:dyDescent="0.2">
      <c r="A155" s="4" t="s">
        <v>49</v>
      </c>
      <c r="B155" s="3">
        <f>VLOOKUP($A155,Master_Rack!$H$2:$L$265,5,FALSE)</f>
        <v>20</v>
      </c>
      <c r="C155" t="s">
        <v>252</v>
      </c>
      <c r="D155" s="26">
        <v>0.7</v>
      </c>
      <c r="E155" s="27">
        <f t="shared" si="4"/>
        <v>14</v>
      </c>
      <c r="F155" s="26" t="s">
        <v>256</v>
      </c>
      <c r="G155" s="27">
        <f t="shared" si="5"/>
        <v>6.0000000000000009</v>
      </c>
      <c r="H155" t="s">
        <v>253</v>
      </c>
    </row>
    <row r="156" spans="1:8" x14ac:dyDescent="0.2">
      <c r="A156" s="4" t="s">
        <v>50</v>
      </c>
      <c r="B156" s="3">
        <f>VLOOKUP($A156,Master_Rack!$H$2:$L$265,5,FALSE)</f>
        <v>20</v>
      </c>
      <c r="C156" t="s">
        <v>252</v>
      </c>
      <c r="D156" s="26">
        <v>0.7</v>
      </c>
      <c r="E156" s="27">
        <f t="shared" si="4"/>
        <v>14</v>
      </c>
      <c r="F156" s="26" t="s">
        <v>256</v>
      </c>
      <c r="G156" s="27">
        <f t="shared" si="5"/>
        <v>6.0000000000000009</v>
      </c>
      <c r="H156" t="s">
        <v>253</v>
      </c>
    </row>
    <row r="157" spans="1:8" x14ac:dyDescent="0.2">
      <c r="A157" s="4" t="s">
        <v>51</v>
      </c>
      <c r="B157" s="3">
        <f>VLOOKUP($A157,Master_Rack!$H$2:$L$265,5,FALSE)</f>
        <v>20</v>
      </c>
      <c r="C157" t="s">
        <v>252</v>
      </c>
      <c r="D157" s="26">
        <v>0.7</v>
      </c>
      <c r="E157" s="27">
        <f t="shared" si="4"/>
        <v>14</v>
      </c>
      <c r="F157" s="26" t="s">
        <v>256</v>
      </c>
      <c r="G157" s="27">
        <f t="shared" si="5"/>
        <v>6.0000000000000009</v>
      </c>
      <c r="H157" t="s">
        <v>253</v>
      </c>
    </row>
    <row r="158" spans="1:8" x14ac:dyDescent="0.2">
      <c r="A158" s="19" t="s">
        <v>52</v>
      </c>
      <c r="B158" s="3">
        <f>VLOOKUP($A158,Master_Rack!$H$2:$L$265,5,FALSE)</f>
        <v>20</v>
      </c>
      <c r="C158" t="s">
        <v>252</v>
      </c>
      <c r="D158" s="26">
        <v>0.7</v>
      </c>
      <c r="E158" s="27">
        <f t="shared" si="4"/>
        <v>14</v>
      </c>
      <c r="F158" s="26" t="s">
        <v>256</v>
      </c>
      <c r="G158" s="27">
        <f t="shared" si="5"/>
        <v>6.0000000000000009</v>
      </c>
      <c r="H158" t="s">
        <v>253</v>
      </c>
    </row>
    <row r="159" spans="1:8" x14ac:dyDescent="0.2">
      <c r="A159" s="19" t="s">
        <v>53</v>
      </c>
      <c r="B159" s="3">
        <f>VLOOKUP($A159,Master_Rack!$H$2:$L$265,5,FALSE)</f>
        <v>20</v>
      </c>
      <c r="C159" t="s">
        <v>252</v>
      </c>
      <c r="D159" s="26">
        <v>0.7</v>
      </c>
      <c r="E159" s="27">
        <f t="shared" si="4"/>
        <v>14</v>
      </c>
      <c r="F159" s="26" t="s">
        <v>256</v>
      </c>
      <c r="G159" s="27">
        <f t="shared" si="5"/>
        <v>6.0000000000000009</v>
      </c>
      <c r="H159" t="s">
        <v>253</v>
      </c>
    </row>
    <row r="160" spans="1:8" x14ac:dyDescent="0.2">
      <c r="A160" s="19" t="s">
        <v>54</v>
      </c>
      <c r="B160" s="3">
        <f>VLOOKUP($A160,Master_Rack!$H$2:$L$265,5,FALSE)</f>
        <v>20</v>
      </c>
      <c r="C160" t="s">
        <v>252</v>
      </c>
      <c r="D160" s="26">
        <v>0.7</v>
      </c>
      <c r="E160" s="27">
        <f t="shared" si="4"/>
        <v>14</v>
      </c>
      <c r="F160" s="26" t="s">
        <v>256</v>
      </c>
      <c r="G160" s="27">
        <f t="shared" si="5"/>
        <v>6.0000000000000009</v>
      </c>
      <c r="H160" t="s">
        <v>253</v>
      </c>
    </row>
    <row r="161" spans="1:8" x14ac:dyDescent="0.2">
      <c r="A161" s="19" t="s">
        <v>55</v>
      </c>
      <c r="B161" s="3">
        <f>VLOOKUP($A161,Master_Rack!$H$2:$L$265,5,FALSE)</f>
        <v>20</v>
      </c>
      <c r="C161" t="s">
        <v>252</v>
      </c>
      <c r="D161" s="26">
        <v>0.7</v>
      </c>
      <c r="E161" s="27">
        <f t="shared" si="4"/>
        <v>14</v>
      </c>
      <c r="F161" s="26" t="s">
        <v>256</v>
      </c>
      <c r="G161" s="27">
        <f t="shared" si="5"/>
        <v>6.0000000000000009</v>
      </c>
      <c r="H161" t="s">
        <v>253</v>
      </c>
    </row>
    <row r="162" spans="1:8" x14ac:dyDescent="0.2">
      <c r="A162" s="19" t="s">
        <v>56</v>
      </c>
      <c r="B162" s="3">
        <f>VLOOKUP($A162,Master_Rack!$H$2:$L$265,5,FALSE)</f>
        <v>20</v>
      </c>
      <c r="C162" t="s">
        <v>252</v>
      </c>
      <c r="D162" s="26">
        <v>0.7</v>
      </c>
      <c r="E162" s="27">
        <f t="shared" si="4"/>
        <v>14</v>
      </c>
      <c r="F162" s="26" t="s">
        <v>256</v>
      </c>
      <c r="G162" s="27">
        <f t="shared" si="5"/>
        <v>6.0000000000000009</v>
      </c>
      <c r="H162" t="s">
        <v>253</v>
      </c>
    </row>
    <row r="163" spans="1:8" x14ac:dyDescent="0.2">
      <c r="A163" s="19" t="s">
        <v>57</v>
      </c>
      <c r="B163" s="3">
        <f>VLOOKUP($A163,Master_Rack!$H$2:$L$265,5,FALSE)</f>
        <v>20</v>
      </c>
      <c r="C163" t="s">
        <v>252</v>
      </c>
      <c r="D163" s="26">
        <v>0.7</v>
      </c>
      <c r="E163" s="27">
        <f t="shared" si="4"/>
        <v>14</v>
      </c>
      <c r="F163" s="26" t="s">
        <v>256</v>
      </c>
      <c r="G163" s="27">
        <f t="shared" si="5"/>
        <v>6.0000000000000009</v>
      </c>
      <c r="H163" t="s">
        <v>253</v>
      </c>
    </row>
    <row r="164" spans="1:8" x14ac:dyDescent="0.2">
      <c r="A164" s="19" t="s">
        <v>58</v>
      </c>
      <c r="B164" s="3">
        <f>VLOOKUP($A164,Master_Rack!$H$2:$L$265,5,FALSE)</f>
        <v>20</v>
      </c>
      <c r="C164" t="s">
        <v>252</v>
      </c>
      <c r="D164" s="26">
        <v>0.7</v>
      </c>
      <c r="E164" s="27">
        <f t="shared" si="4"/>
        <v>14</v>
      </c>
      <c r="F164" s="26" t="s">
        <v>256</v>
      </c>
      <c r="G164" s="27">
        <f t="shared" si="5"/>
        <v>6.0000000000000009</v>
      </c>
      <c r="H164" t="s">
        <v>253</v>
      </c>
    </row>
    <row r="165" spans="1:8" x14ac:dyDescent="0.2">
      <c r="A165" s="19" t="s">
        <v>59</v>
      </c>
      <c r="B165" s="3">
        <f>VLOOKUP($A165,Master_Rack!$H$2:$L$265,5,FALSE)</f>
        <v>20</v>
      </c>
      <c r="C165" t="s">
        <v>252</v>
      </c>
      <c r="D165" s="26">
        <v>0.7</v>
      </c>
      <c r="E165" s="27">
        <f t="shared" si="4"/>
        <v>14</v>
      </c>
      <c r="F165" s="26" t="s">
        <v>256</v>
      </c>
      <c r="G165" s="27">
        <f t="shared" si="5"/>
        <v>6.0000000000000009</v>
      </c>
      <c r="H165" t="s">
        <v>253</v>
      </c>
    </row>
    <row r="166" spans="1:8" x14ac:dyDescent="0.2">
      <c r="A166" s="19" t="s">
        <v>60</v>
      </c>
      <c r="B166" s="3">
        <f>VLOOKUP($A166,Master_Rack!$H$2:$L$265,5,FALSE)</f>
        <v>20</v>
      </c>
      <c r="C166" t="s">
        <v>252</v>
      </c>
      <c r="D166" s="26">
        <v>0.7</v>
      </c>
      <c r="E166" s="27">
        <f t="shared" si="4"/>
        <v>14</v>
      </c>
      <c r="F166" s="26" t="s">
        <v>256</v>
      </c>
      <c r="G166" s="27">
        <f t="shared" si="5"/>
        <v>6.0000000000000009</v>
      </c>
      <c r="H166" t="s">
        <v>253</v>
      </c>
    </row>
    <row r="167" spans="1:8" x14ac:dyDescent="0.2">
      <c r="A167" s="19" t="s">
        <v>61</v>
      </c>
      <c r="B167" s="3">
        <f>VLOOKUP($A167,Master_Rack!$H$2:$L$265,5,FALSE)</f>
        <v>20</v>
      </c>
      <c r="C167" t="s">
        <v>252</v>
      </c>
      <c r="D167" s="26">
        <v>0.7</v>
      </c>
      <c r="E167" s="27">
        <f t="shared" si="4"/>
        <v>14</v>
      </c>
      <c r="F167" s="26" t="s">
        <v>256</v>
      </c>
      <c r="G167" s="27">
        <f t="shared" si="5"/>
        <v>6.0000000000000009</v>
      </c>
      <c r="H167" t="s">
        <v>253</v>
      </c>
    </row>
    <row r="168" spans="1:8" x14ac:dyDescent="0.2">
      <c r="A168" s="19" t="s">
        <v>62</v>
      </c>
      <c r="B168" s="3">
        <f>VLOOKUP($A168,Master_Rack!$H$2:$L$265,5,FALSE)</f>
        <v>20</v>
      </c>
      <c r="C168" t="s">
        <v>252</v>
      </c>
      <c r="D168" s="26">
        <v>0.7</v>
      </c>
      <c r="E168" s="27">
        <f t="shared" si="4"/>
        <v>14</v>
      </c>
      <c r="F168" s="26" t="s">
        <v>256</v>
      </c>
      <c r="G168" s="27">
        <f t="shared" si="5"/>
        <v>6.0000000000000009</v>
      </c>
      <c r="H168" t="s">
        <v>253</v>
      </c>
    </row>
    <row r="169" spans="1:8" x14ac:dyDescent="0.2">
      <c r="A169" s="19" t="s">
        <v>63</v>
      </c>
      <c r="B169" s="3">
        <f>VLOOKUP($A169,Master_Rack!$H$2:$L$265,5,FALSE)</f>
        <v>20</v>
      </c>
      <c r="C169" t="s">
        <v>252</v>
      </c>
      <c r="D169" s="26">
        <v>0.7</v>
      </c>
      <c r="E169" s="27">
        <f t="shared" si="4"/>
        <v>14</v>
      </c>
      <c r="F169" s="26" t="s">
        <v>256</v>
      </c>
      <c r="G169" s="27">
        <f t="shared" si="5"/>
        <v>6.0000000000000009</v>
      </c>
      <c r="H169" t="s">
        <v>253</v>
      </c>
    </row>
    <row r="170" spans="1:8" x14ac:dyDescent="0.2">
      <c r="A170" s="42" t="s">
        <v>323</v>
      </c>
      <c r="B170" s="3">
        <f>VLOOKUP($A170,Master_Rack!$H$2:$L$265,5,FALSE)</f>
        <v>60</v>
      </c>
      <c r="C170" t="s">
        <v>317</v>
      </c>
      <c r="D170" s="26">
        <v>0.85</v>
      </c>
      <c r="E170" s="27">
        <f t="shared" si="4"/>
        <v>51</v>
      </c>
      <c r="F170" s="26" t="s">
        <v>316</v>
      </c>
      <c r="G170" s="27">
        <f t="shared" si="5"/>
        <v>9.0000000000000018</v>
      </c>
      <c r="H170" t="s">
        <v>319</v>
      </c>
    </row>
    <row r="171" spans="1:8" x14ac:dyDescent="0.2">
      <c r="A171" s="42" t="s">
        <v>324</v>
      </c>
      <c r="B171" s="3">
        <f>VLOOKUP($A171,Master_Rack!$H$2:$L$265,5,FALSE)</f>
        <v>60</v>
      </c>
      <c r="C171" t="s">
        <v>317</v>
      </c>
      <c r="D171" s="26">
        <v>0.85</v>
      </c>
      <c r="E171" s="27">
        <f t="shared" si="4"/>
        <v>51</v>
      </c>
      <c r="F171" s="26" t="s">
        <v>316</v>
      </c>
      <c r="G171" s="27">
        <f t="shared" si="5"/>
        <v>9.0000000000000018</v>
      </c>
      <c r="H171" t="s">
        <v>319</v>
      </c>
    </row>
    <row r="172" spans="1:8" x14ac:dyDescent="0.2">
      <c r="A172" s="42" t="s">
        <v>325</v>
      </c>
      <c r="B172" s="3">
        <f>VLOOKUP($A172,Master_Rack!$H$2:$L$265,5,FALSE)</f>
        <v>60</v>
      </c>
      <c r="C172" t="s">
        <v>317</v>
      </c>
      <c r="D172" s="26">
        <v>0.85</v>
      </c>
      <c r="E172" s="27">
        <f t="shared" si="4"/>
        <v>51</v>
      </c>
      <c r="F172" s="26" t="s">
        <v>316</v>
      </c>
      <c r="G172" s="27">
        <f t="shared" si="5"/>
        <v>9.0000000000000018</v>
      </c>
      <c r="H172" t="s">
        <v>319</v>
      </c>
    </row>
    <row r="173" spans="1:8" x14ac:dyDescent="0.2">
      <c r="A173" s="42" t="s">
        <v>326</v>
      </c>
      <c r="B173" s="3">
        <f>VLOOKUP($A173,Master_Rack!$H$2:$L$265,5,FALSE)</f>
        <v>60</v>
      </c>
      <c r="C173" t="s">
        <v>317</v>
      </c>
      <c r="D173" s="26">
        <v>0.85</v>
      </c>
      <c r="E173" s="27">
        <f t="shared" si="4"/>
        <v>51</v>
      </c>
      <c r="F173" s="26" t="s">
        <v>316</v>
      </c>
      <c r="G173" s="27">
        <f t="shared" si="5"/>
        <v>9.0000000000000018</v>
      </c>
      <c r="H173" t="s">
        <v>319</v>
      </c>
    </row>
    <row r="174" spans="1:8" x14ac:dyDescent="0.2">
      <c r="A174" s="42" t="s">
        <v>327</v>
      </c>
      <c r="B174" s="3">
        <f>VLOOKUP($A174,Master_Rack!$H$2:$L$265,5,FALSE)</f>
        <v>60</v>
      </c>
      <c r="C174" t="s">
        <v>317</v>
      </c>
      <c r="D174" s="26">
        <v>0.85</v>
      </c>
      <c r="E174" s="27">
        <f t="shared" si="4"/>
        <v>51</v>
      </c>
      <c r="F174" s="26" t="s">
        <v>316</v>
      </c>
      <c r="G174" s="27">
        <f t="shared" si="5"/>
        <v>9.0000000000000018</v>
      </c>
      <c r="H174" t="s">
        <v>319</v>
      </c>
    </row>
    <row r="175" spans="1:8" x14ac:dyDescent="0.2">
      <c r="A175" s="42" t="s">
        <v>328</v>
      </c>
      <c r="B175" s="3">
        <f>VLOOKUP($A175,Master_Rack!$H$2:$L$265,5,FALSE)</f>
        <v>60</v>
      </c>
      <c r="C175" t="s">
        <v>317</v>
      </c>
      <c r="D175" s="26">
        <v>0.85</v>
      </c>
      <c r="E175" s="27">
        <f t="shared" si="4"/>
        <v>51</v>
      </c>
      <c r="F175" s="26" t="s">
        <v>316</v>
      </c>
      <c r="G175" s="27">
        <f t="shared" si="5"/>
        <v>9.0000000000000018</v>
      </c>
      <c r="H175" t="s">
        <v>319</v>
      </c>
    </row>
    <row r="176" spans="1:8" x14ac:dyDescent="0.2">
      <c r="A176" s="42" t="s">
        <v>329</v>
      </c>
      <c r="B176" s="3">
        <f>VLOOKUP($A176,Master_Rack!$H$2:$L$265,5,FALSE)</f>
        <v>60</v>
      </c>
      <c r="C176" t="s">
        <v>317</v>
      </c>
      <c r="D176" s="26">
        <v>0.85</v>
      </c>
      <c r="E176" s="27">
        <f t="shared" si="4"/>
        <v>51</v>
      </c>
      <c r="F176" s="26" t="s">
        <v>316</v>
      </c>
      <c r="G176" s="27">
        <f t="shared" si="5"/>
        <v>9.0000000000000018</v>
      </c>
      <c r="H176" t="s">
        <v>319</v>
      </c>
    </row>
    <row r="177" spans="1:8" x14ac:dyDescent="0.2">
      <c r="A177" s="42" t="s">
        <v>330</v>
      </c>
      <c r="B177" s="3">
        <f>VLOOKUP($A177,Master_Rack!$H$2:$L$265,5,FALSE)</f>
        <v>60</v>
      </c>
      <c r="C177" t="s">
        <v>317</v>
      </c>
      <c r="D177" s="26">
        <v>0.85</v>
      </c>
      <c r="E177" s="27">
        <f t="shared" si="4"/>
        <v>51</v>
      </c>
      <c r="F177" s="26" t="s">
        <v>316</v>
      </c>
      <c r="G177" s="27">
        <f t="shared" si="5"/>
        <v>9.0000000000000018</v>
      </c>
      <c r="H177" t="s">
        <v>319</v>
      </c>
    </row>
    <row r="178" spans="1:8" x14ac:dyDescent="0.2">
      <c r="A178" s="42" t="s">
        <v>331</v>
      </c>
      <c r="B178" s="3">
        <f>VLOOKUP($A178,Master_Rack!$H$2:$L$265,5,FALSE)</f>
        <v>60</v>
      </c>
      <c r="C178" t="s">
        <v>317</v>
      </c>
      <c r="D178" s="26">
        <v>0.85</v>
      </c>
      <c r="E178" s="27">
        <f t="shared" si="4"/>
        <v>51</v>
      </c>
      <c r="F178" s="26" t="s">
        <v>316</v>
      </c>
      <c r="G178" s="27">
        <f t="shared" si="5"/>
        <v>9.0000000000000018</v>
      </c>
      <c r="H178" t="s">
        <v>319</v>
      </c>
    </row>
    <row r="179" spans="1:8" x14ac:dyDescent="0.2">
      <c r="A179" s="42" t="s">
        <v>332</v>
      </c>
      <c r="B179" s="3">
        <f>VLOOKUP($A179,Master_Rack!$H$2:$L$265,5,FALSE)</f>
        <v>60</v>
      </c>
      <c r="C179" t="s">
        <v>317</v>
      </c>
      <c r="D179" s="26">
        <v>0.85</v>
      </c>
      <c r="E179" s="27">
        <f t="shared" si="4"/>
        <v>51</v>
      </c>
      <c r="F179" s="26" t="s">
        <v>316</v>
      </c>
      <c r="G179" s="27">
        <f t="shared" si="5"/>
        <v>9.0000000000000018</v>
      </c>
      <c r="H179" t="s">
        <v>319</v>
      </c>
    </row>
    <row r="180" spans="1:8" x14ac:dyDescent="0.2">
      <c r="A180" s="42" t="s">
        <v>333</v>
      </c>
      <c r="B180" s="3">
        <f>VLOOKUP($A180,Master_Rack!$H$2:$L$265,5,FALSE)</f>
        <v>60</v>
      </c>
      <c r="C180" t="s">
        <v>317</v>
      </c>
      <c r="D180" s="26">
        <v>0.85</v>
      </c>
      <c r="E180" s="27">
        <f t="shared" si="4"/>
        <v>51</v>
      </c>
      <c r="F180" s="26" t="s">
        <v>316</v>
      </c>
      <c r="G180" s="27">
        <f t="shared" si="5"/>
        <v>9.0000000000000018</v>
      </c>
      <c r="H180" t="s">
        <v>319</v>
      </c>
    </row>
    <row r="181" spans="1:8" x14ac:dyDescent="0.2">
      <c r="A181" s="42" t="s">
        <v>334</v>
      </c>
      <c r="B181" s="3">
        <f>VLOOKUP($A181,Master_Rack!$H$2:$L$265,5,FALSE)</f>
        <v>60</v>
      </c>
      <c r="C181" t="s">
        <v>317</v>
      </c>
      <c r="D181" s="26">
        <v>0.85</v>
      </c>
      <c r="E181" s="27">
        <f t="shared" si="4"/>
        <v>51</v>
      </c>
      <c r="F181" s="26" t="s">
        <v>316</v>
      </c>
      <c r="G181" s="27">
        <f t="shared" si="5"/>
        <v>9.0000000000000018</v>
      </c>
      <c r="H181" t="s">
        <v>319</v>
      </c>
    </row>
    <row r="182" spans="1:8" x14ac:dyDescent="0.2">
      <c r="A182" s="42" t="s">
        <v>335</v>
      </c>
      <c r="B182" s="3">
        <f>VLOOKUP($A182,Master_Rack!$H$2:$L$265,5,FALSE)</f>
        <v>60</v>
      </c>
      <c r="C182" t="s">
        <v>317</v>
      </c>
      <c r="D182" s="26">
        <v>0.85</v>
      </c>
      <c r="E182" s="27">
        <f t="shared" si="4"/>
        <v>51</v>
      </c>
      <c r="F182" s="26" t="s">
        <v>316</v>
      </c>
      <c r="G182" s="27">
        <f t="shared" si="5"/>
        <v>9.0000000000000018</v>
      </c>
      <c r="H182" t="s">
        <v>319</v>
      </c>
    </row>
    <row r="183" spans="1:8" x14ac:dyDescent="0.2">
      <c r="A183" s="42" t="s">
        <v>336</v>
      </c>
      <c r="B183" s="3">
        <f>VLOOKUP($A183,Master_Rack!$H$2:$L$265,5,FALSE)</f>
        <v>60</v>
      </c>
      <c r="C183" t="s">
        <v>317</v>
      </c>
      <c r="D183" s="26">
        <v>0.85</v>
      </c>
      <c r="E183" s="27">
        <f t="shared" si="4"/>
        <v>51</v>
      </c>
      <c r="F183" s="26" t="s">
        <v>316</v>
      </c>
      <c r="G183" s="27">
        <f t="shared" si="5"/>
        <v>9.0000000000000018</v>
      </c>
      <c r="H183" t="s">
        <v>319</v>
      </c>
    </row>
    <row r="184" spans="1:8" x14ac:dyDescent="0.2">
      <c r="A184" s="42" t="s">
        <v>337</v>
      </c>
      <c r="B184" s="3">
        <f>VLOOKUP($A184,Master_Rack!$H$2:$L$265,5,FALSE)</f>
        <v>60</v>
      </c>
      <c r="C184" t="s">
        <v>317</v>
      </c>
      <c r="D184" s="26">
        <v>0.85</v>
      </c>
      <c r="E184" s="27">
        <f t="shared" si="4"/>
        <v>51</v>
      </c>
      <c r="F184" s="26" t="s">
        <v>316</v>
      </c>
      <c r="G184" s="27">
        <f t="shared" si="5"/>
        <v>9.0000000000000018</v>
      </c>
      <c r="H184" t="s">
        <v>319</v>
      </c>
    </row>
    <row r="185" spans="1:8" x14ac:dyDescent="0.2">
      <c r="A185" s="42" t="s">
        <v>338</v>
      </c>
      <c r="B185" s="3">
        <f>VLOOKUP($A185,Master_Rack!$H$2:$L$265,5,FALSE)</f>
        <v>60</v>
      </c>
      <c r="C185" t="s">
        <v>317</v>
      </c>
      <c r="D185" s="26">
        <v>0.85</v>
      </c>
      <c r="E185" s="27">
        <f t="shared" si="4"/>
        <v>51</v>
      </c>
      <c r="F185" s="26" t="s">
        <v>316</v>
      </c>
      <c r="G185" s="27">
        <f t="shared" si="5"/>
        <v>9.0000000000000018</v>
      </c>
      <c r="H185" t="s">
        <v>319</v>
      </c>
    </row>
    <row r="186" spans="1:8" x14ac:dyDescent="0.2">
      <c r="A186" s="42" t="s">
        <v>339</v>
      </c>
      <c r="B186" s="3">
        <f>VLOOKUP($A186,Master_Rack!$H$2:$L$265,5,FALSE)</f>
        <v>60</v>
      </c>
      <c r="C186" t="s">
        <v>317</v>
      </c>
      <c r="D186" s="26">
        <v>0.85</v>
      </c>
      <c r="E186" s="27">
        <f t="shared" si="4"/>
        <v>51</v>
      </c>
      <c r="F186" s="26" t="s">
        <v>316</v>
      </c>
      <c r="G186" s="27">
        <f t="shared" si="5"/>
        <v>9.0000000000000018</v>
      </c>
      <c r="H186" t="s">
        <v>319</v>
      </c>
    </row>
    <row r="187" spans="1:8" x14ac:dyDescent="0.2">
      <c r="A187" s="42" t="s">
        <v>340</v>
      </c>
      <c r="B187" s="3">
        <f>VLOOKUP($A187,Master_Rack!$H$2:$L$265,5,FALSE)</f>
        <v>60</v>
      </c>
      <c r="C187" t="s">
        <v>317</v>
      </c>
      <c r="D187" s="26">
        <v>0.85</v>
      </c>
      <c r="E187" s="27">
        <f t="shared" si="4"/>
        <v>51</v>
      </c>
      <c r="F187" s="26" t="s">
        <v>316</v>
      </c>
      <c r="G187" s="27">
        <f t="shared" si="5"/>
        <v>9.0000000000000018</v>
      </c>
      <c r="H187" t="s">
        <v>319</v>
      </c>
    </row>
    <row r="188" spans="1:8" x14ac:dyDescent="0.2">
      <c r="A188" s="42" t="s">
        <v>341</v>
      </c>
      <c r="B188" s="3">
        <f>VLOOKUP($A188,Master_Rack!$H$2:$L$265,5,FALSE)</f>
        <v>60</v>
      </c>
      <c r="C188" t="s">
        <v>317</v>
      </c>
      <c r="D188" s="26">
        <v>0.85</v>
      </c>
      <c r="E188" s="27">
        <f t="shared" si="4"/>
        <v>51</v>
      </c>
      <c r="F188" s="26" t="s">
        <v>316</v>
      </c>
      <c r="G188" s="27">
        <f t="shared" si="5"/>
        <v>9.0000000000000018</v>
      </c>
      <c r="H188" t="s">
        <v>319</v>
      </c>
    </row>
    <row r="189" spans="1:8" x14ac:dyDescent="0.2">
      <c r="A189" s="42" t="s">
        <v>342</v>
      </c>
      <c r="B189" s="3">
        <f>VLOOKUP($A189,Master_Rack!$H$2:$L$265,5,FALSE)</f>
        <v>60</v>
      </c>
      <c r="C189" t="s">
        <v>317</v>
      </c>
      <c r="D189" s="26">
        <v>0.85</v>
      </c>
      <c r="E189" s="27">
        <f t="shared" si="4"/>
        <v>51</v>
      </c>
      <c r="F189" s="26" t="s">
        <v>316</v>
      </c>
      <c r="G189" s="27">
        <f t="shared" si="5"/>
        <v>9.0000000000000018</v>
      </c>
      <c r="H189" t="s">
        <v>319</v>
      </c>
    </row>
    <row r="190" spans="1:8" x14ac:dyDescent="0.2">
      <c r="A190" s="42" t="s">
        <v>343</v>
      </c>
      <c r="B190" s="3">
        <f>VLOOKUP($A190,Master_Rack!$H$2:$L$265,5,FALSE)</f>
        <v>60</v>
      </c>
      <c r="C190" t="s">
        <v>317</v>
      </c>
      <c r="D190" s="26">
        <v>0.85</v>
      </c>
      <c r="E190" s="27">
        <f t="shared" si="4"/>
        <v>51</v>
      </c>
      <c r="F190" s="26" t="s">
        <v>316</v>
      </c>
      <c r="G190" s="27">
        <f t="shared" si="5"/>
        <v>9.0000000000000018</v>
      </c>
      <c r="H190" t="s">
        <v>319</v>
      </c>
    </row>
    <row r="191" spans="1:8" x14ac:dyDescent="0.2">
      <c r="A191" s="42" t="s">
        <v>344</v>
      </c>
      <c r="B191" s="3">
        <f>VLOOKUP($A191,Master_Rack!$H$2:$L$265,5,FALSE)</f>
        <v>60</v>
      </c>
      <c r="C191" t="s">
        <v>317</v>
      </c>
      <c r="D191" s="26">
        <v>0.85</v>
      </c>
      <c r="E191" s="27">
        <f t="shared" si="4"/>
        <v>51</v>
      </c>
      <c r="F191" s="26" t="s">
        <v>316</v>
      </c>
      <c r="G191" s="27">
        <f t="shared" si="5"/>
        <v>9.0000000000000018</v>
      </c>
      <c r="H191" t="s">
        <v>319</v>
      </c>
    </row>
    <row r="192" spans="1:8" x14ac:dyDescent="0.2">
      <c r="A192" s="42" t="s">
        <v>345</v>
      </c>
      <c r="B192" s="3">
        <f>VLOOKUP($A192,Master_Rack!$H$2:$L$265,5,FALSE)</f>
        <v>60</v>
      </c>
      <c r="C192" t="s">
        <v>317</v>
      </c>
      <c r="D192" s="26">
        <v>0.85</v>
      </c>
      <c r="E192" s="27">
        <f t="shared" si="4"/>
        <v>51</v>
      </c>
      <c r="F192" s="26" t="s">
        <v>316</v>
      </c>
      <c r="G192" s="27">
        <f t="shared" si="5"/>
        <v>9.0000000000000018</v>
      </c>
      <c r="H192" t="s">
        <v>319</v>
      </c>
    </row>
    <row r="193" spans="1:8" x14ac:dyDescent="0.2">
      <c r="A193" s="42" t="s">
        <v>346</v>
      </c>
      <c r="B193" s="3">
        <f>VLOOKUP($A193,Master_Rack!$H$2:$L$265,5,FALSE)</f>
        <v>60</v>
      </c>
      <c r="C193" t="s">
        <v>317</v>
      </c>
      <c r="D193" s="26">
        <v>0.85</v>
      </c>
      <c r="E193" s="27">
        <f t="shared" si="4"/>
        <v>51</v>
      </c>
      <c r="F193" s="26" t="s">
        <v>316</v>
      </c>
      <c r="G193" s="27">
        <f t="shared" si="5"/>
        <v>9.0000000000000018</v>
      </c>
      <c r="H193" t="s">
        <v>319</v>
      </c>
    </row>
    <row r="194" spans="1:8" x14ac:dyDescent="0.2">
      <c r="A194" s="42" t="s">
        <v>347</v>
      </c>
      <c r="B194" s="3">
        <f>VLOOKUP($A194,Master_Rack!$H$2:$L$265,5,FALSE)</f>
        <v>60</v>
      </c>
      <c r="C194" t="s">
        <v>318</v>
      </c>
      <c r="D194" s="26">
        <v>0.85</v>
      </c>
      <c r="E194" s="27">
        <f t="shared" si="4"/>
        <v>51</v>
      </c>
      <c r="F194" s="26" t="s">
        <v>315</v>
      </c>
      <c r="G194" s="27">
        <f t="shared" si="5"/>
        <v>9.0000000000000018</v>
      </c>
      <c r="H194" t="s">
        <v>320</v>
      </c>
    </row>
    <row r="195" spans="1:8" x14ac:dyDescent="0.2">
      <c r="A195" s="42" t="s">
        <v>348</v>
      </c>
      <c r="B195" s="3">
        <f>VLOOKUP($A195,Master_Rack!$H$2:$L$265,5,FALSE)</f>
        <v>60</v>
      </c>
      <c r="C195" t="s">
        <v>318</v>
      </c>
      <c r="D195" s="26">
        <v>0.85</v>
      </c>
      <c r="E195" s="27">
        <f t="shared" ref="E195:E258" si="6">B195*D195</f>
        <v>51</v>
      </c>
      <c r="F195" s="26" t="s">
        <v>315</v>
      </c>
      <c r="G195" s="27">
        <f t="shared" ref="G195:G258" si="7">B195*(1-D195)</f>
        <v>9.0000000000000018</v>
      </c>
      <c r="H195" t="s">
        <v>320</v>
      </c>
    </row>
    <row r="196" spans="1:8" x14ac:dyDescent="0.2">
      <c r="A196" s="42" t="s">
        <v>349</v>
      </c>
      <c r="B196" s="3">
        <f>VLOOKUP($A196,Master_Rack!$H$2:$L$265,5,FALSE)</f>
        <v>60</v>
      </c>
      <c r="C196" t="s">
        <v>318</v>
      </c>
      <c r="D196" s="26">
        <v>0.85</v>
      </c>
      <c r="E196" s="27">
        <f t="shared" si="6"/>
        <v>51</v>
      </c>
      <c r="F196" s="26" t="s">
        <v>315</v>
      </c>
      <c r="G196" s="27">
        <f t="shared" si="7"/>
        <v>9.0000000000000018</v>
      </c>
      <c r="H196" t="s">
        <v>320</v>
      </c>
    </row>
    <row r="197" spans="1:8" x14ac:dyDescent="0.2">
      <c r="A197" s="42" t="s">
        <v>350</v>
      </c>
      <c r="B197" s="3">
        <f>VLOOKUP($A197,Master_Rack!$H$2:$L$265,5,FALSE)</f>
        <v>60</v>
      </c>
      <c r="C197" t="s">
        <v>318</v>
      </c>
      <c r="D197" s="26">
        <v>0.85</v>
      </c>
      <c r="E197" s="27">
        <f t="shared" si="6"/>
        <v>51</v>
      </c>
      <c r="F197" s="26" t="s">
        <v>315</v>
      </c>
      <c r="G197" s="27">
        <f t="shared" si="7"/>
        <v>9.0000000000000018</v>
      </c>
      <c r="H197" t="s">
        <v>320</v>
      </c>
    </row>
    <row r="198" spans="1:8" x14ac:dyDescent="0.2">
      <c r="A198" s="42" t="s">
        <v>351</v>
      </c>
      <c r="B198" s="3">
        <f>VLOOKUP($A198,Master_Rack!$H$2:$L$265,5,FALSE)</f>
        <v>60</v>
      </c>
      <c r="C198" t="s">
        <v>318</v>
      </c>
      <c r="D198" s="26">
        <v>0.85</v>
      </c>
      <c r="E198" s="27">
        <f t="shared" si="6"/>
        <v>51</v>
      </c>
      <c r="F198" s="26" t="s">
        <v>315</v>
      </c>
      <c r="G198" s="27">
        <f t="shared" si="7"/>
        <v>9.0000000000000018</v>
      </c>
      <c r="H198" t="s">
        <v>320</v>
      </c>
    </row>
    <row r="199" spans="1:8" x14ac:dyDescent="0.2">
      <c r="A199" s="42" t="s">
        <v>352</v>
      </c>
      <c r="B199" s="3">
        <f>VLOOKUP($A199,Master_Rack!$H$2:$L$265,5,FALSE)</f>
        <v>60</v>
      </c>
      <c r="C199" t="s">
        <v>318</v>
      </c>
      <c r="D199" s="26">
        <v>0.85</v>
      </c>
      <c r="E199" s="27">
        <f t="shared" si="6"/>
        <v>51</v>
      </c>
      <c r="F199" s="26" t="s">
        <v>315</v>
      </c>
      <c r="G199" s="27">
        <f t="shared" si="7"/>
        <v>9.0000000000000018</v>
      </c>
      <c r="H199" t="s">
        <v>320</v>
      </c>
    </row>
    <row r="200" spans="1:8" x14ac:dyDescent="0.2">
      <c r="A200" s="42" t="s">
        <v>353</v>
      </c>
      <c r="B200" s="3">
        <f>VLOOKUP($A200,Master_Rack!$H$2:$L$265,5,FALSE)</f>
        <v>60</v>
      </c>
      <c r="C200" t="s">
        <v>318</v>
      </c>
      <c r="D200" s="26">
        <v>0.85</v>
      </c>
      <c r="E200" s="27">
        <f t="shared" si="6"/>
        <v>51</v>
      </c>
      <c r="F200" s="26" t="s">
        <v>315</v>
      </c>
      <c r="G200" s="27">
        <f t="shared" si="7"/>
        <v>9.0000000000000018</v>
      </c>
      <c r="H200" t="s">
        <v>320</v>
      </c>
    </row>
    <row r="201" spans="1:8" x14ac:dyDescent="0.2">
      <c r="A201" s="42" t="s">
        <v>354</v>
      </c>
      <c r="B201" s="3">
        <f>VLOOKUP($A201,Master_Rack!$H$2:$L$265,5,FALSE)</f>
        <v>60</v>
      </c>
      <c r="C201" t="s">
        <v>318</v>
      </c>
      <c r="D201" s="26">
        <v>0.85</v>
      </c>
      <c r="E201" s="27">
        <f t="shared" si="6"/>
        <v>51</v>
      </c>
      <c r="F201" s="26" t="s">
        <v>315</v>
      </c>
      <c r="G201" s="27">
        <f t="shared" si="7"/>
        <v>9.0000000000000018</v>
      </c>
      <c r="H201" t="s">
        <v>320</v>
      </c>
    </row>
    <row r="202" spans="1:8" x14ac:dyDescent="0.2">
      <c r="A202" s="42" t="s">
        <v>355</v>
      </c>
      <c r="B202" s="3">
        <f>VLOOKUP($A202,Master_Rack!$H$2:$L$265,5,FALSE)</f>
        <v>60</v>
      </c>
      <c r="C202" t="s">
        <v>318</v>
      </c>
      <c r="D202" s="26">
        <v>0.85</v>
      </c>
      <c r="E202" s="27">
        <f t="shared" si="6"/>
        <v>51</v>
      </c>
      <c r="F202" s="26" t="s">
        <v>315</v>
      </c>
      <c r="G202" s="27">
        <f t="shared" si="7"/>
        <v>9.0000000000000018</v>
      </c>
      <c r="H202" t="s">
        <v>320</v>
      </c>
    </row>
    <row r="203" spans="1:8" x14ac:dyDescent="0.2">
      <c r="A203" s="42" t="s">
        <v>356</v>
      </c>
      <c r="B203" s="3">
        <f>VLOOKUP($A203,Master_Rack!$H$2:$L$265,5,FALSE)</f>
        <v>60</v>
      </c>
      <c r="C203" t="s">
        <v>318</v>
      </c>
      <c r="D203" s="26">
        <v>0.85</v>
      </c>
      <c r="E203" s="27">
        <f t="shared" si="6"/>
        <v>51</v>
      </c>
      <c r="F203" s="26" t="s">
        <v>315</v>
      </c>
      <c r="G203" s="27">
        <f t="shared" si="7"/>
        <v>9.0000000000000018</v>
      </c>
      <c r="H203" t="s">
        <v>320</v>
      </c>
    </row>
    <row r="204" spans="1:8" x14ac:dyDescent="0.2">
      <c r="A204" s="42" t="s">
        <v>357</v>
      </c>
      <c r="B204" s="3">
        <f>VLOOKUP($A204,Master_Rack!$H$2:$L$265,5,FALSE)</f>
        <v>60</v>
      </c>
      <c r="C204" t="s">
        <v>318</v>
      </c>
      <c r="D204" s="26">
        <v>0.85</v>
      </c>
      <c r="E204" s="27">
        <f t="shared" si="6"/>
        <v>51</v>
      </c>
      <c r="F204" s="26" t="s">
        <v>315</v>
      </c>
      <c r="G204" s="27">
        <f t="shared" si="7"/>
        <v>9.0000000000000018</v>
      </c>
      <c r="H204" t="s">
        <v>320</v>
      </c>
    </row>
    <row r="205" spans="1:8" x14ac:dyDescent="0.2">
      <c r="A205" s="42" t="s">
        <v>358</v>
      </c>
      <c r="B205" s="3">
        <f>VLOOKUP($A205,Master_Rack!$H$2:$L$265,5,FALSE)</f>
        <v>60</v>
      </c>
      <c r="C205" t="s">
        <v>318</v>
      </c>
      <c r="D205" s="26">
        <v>0.85</v>
      </c>
      <c r="E205" s="27">
        <f t="shared" si="6"/>
        <v>51</v>
      </c>
      <c r="F205" s="26" t="s">
        <v>315</v>
      </c>
      <c r="G205" s="27">
        <f t="shared" si="7"/>
        <v>9.0000000000000018</v>
      </c>
      <c r="H205" t="s">
        <v>320</v>
      </c>
    </row>
    <row r="206" spans="1:8" x14ac:dyDescent="0.2">
      <c r="A206" s="42" t="s">
        <v>359</v>
      </c>
      <c r="B206" s="3">
        <f>VLOOKUP($A206,Master_Rack!$H$2:$L$265,5,FALSE)</f>
        <v>60</v>
      </c>
      <c r="C206" t="s">
        <v>318</v>
      </c>
      <c r="D206" s="26">
        <v>0.85</v>
      </c>
      <c r="E206" s="27">
        <f t="shared" si="6"/>
        <v>51</v>
      </c>
      <c r="F206" s="26" t="s">
        <v>315</v>
      </c>
      <c r="G206" s="27">
        <f t="shared" si="7"/>
        <v>9.0000000000000018</v>
      </c>
      <c r="H206" t="s">
        <v>320</v>
      </c>
    </row>
    <row r="207" spans="1:8" x14ac:dyDescent="0.2">
      <c r="A207" s="42" t="s">
        <v>360</v>
      </c>
      <c r="B207" s="3">
        <f>VLOOKUP($A207,Master_Rack!$H$2:$L$265,5,FALSE)</f>
        <v>60</v>
      </c>
      <c r="C207" t="s">
        <v>318</v>
      </c>
      <c r="D207" s="26">
        <v>0.85</v>
      </c>
      <c r="E207" s="27">
        <f t="shared" si="6"/>
        <v>51</v>
      </c>
      <c r="F207" s="26" t="s">
        <v>315</v>
      </c>
      <c r="G207" s="27">
        <f t="shared" si="7"/>
        <v>9.0000000000000018</v>
      </c>
      <c r="H207" t="s">
        <v>320</v>
      </c>
    </row>
    <row r="208" spans="1:8" x14ac:dyDescent="0.2">
      <c r="A208" s="42" t="s">
        <v>361</v>
      </c>
      <c r="B208" s="3">
        <f>VLOOKUP($A208,Master_Rack!$H$2:$L$265,5,FALSE)</f>
        <v>60</v>
      </c>
      <c r="C208" t="s">
        <v>318</v>
      </c>
      <c r="D208" s="26">
        <v>0.85</v>
      </c>
      <c r="E208" s="27">
        <f t="shared" si="6"/>
        <v>51</v>
      </c>
      <c r="F208" s="26" t="s">
        <v>315</v>
      </c>
      <c r="G208" s="27">
        <f t="shared" si="7"/>
        <v>9.0000000000000018</v>
      </c>
      <c r="H208" t="s">
        <v>320</v>
      </c>
    </row>
    <row r="209" spans="1:8" x14ac:dyDescent="0.2">
      <c r="A209" s="42" t="s">
        <v>362</v>
      </c>
      <c r="B209" s="3">
        <f>VLOOKUP($A209,Master_Rack!$H$2:$L$265,5,FALSE)</f>
        <v>60</v>
      </c>
      <c r="C209" t="s">
        <v>318</v>
      </c>
      <c r="D209" s="26">
        <v>0.85</v>
      </c>
      <c r="E209" s="27">
        <f t="shared" si="6"/>
        <v>51</v>
      </c>
      <c r="F209" s="26" t="s">
        <v>315</v>
      </c>
      <c r="G209" s="27">
        <f t="shared" si="7"/>
        <v>9.0000000000000018</v>
      </c>
      <c r="H209" t="s">
        <v>320</v>
      </c>
    </row>
    <row r="210" spans="1:8" x14ac:dyDescent="0.2">
      <c r="A210" s="42" t="s">
        <v>363</v>
      </c>
      <c r="B210" s="3">
        <f>VLOOKUP($A210,Master_Rack!$H$2:$L$265,5,FALSE)</f>
        <v>60</v>
      </c>
      <c r="C210" t="s">
        <v>318</v>
      </c>
      <c r="D210" s="26">
        <v>0.85</v>
      </c>
      <c r="E210" s="27">
        <f t="shared" si="6"/>
        <v>51</v>
      </c>
      <c r="F210" s="26" t="s">
        <v>315</v>
      </c>
      <c r="G210" s="27">
        <f t="shared" si="7"/>
        <v>9.0000000000000018</v>
      </c>
      <c r="H210" t="s">
        <v>320</v>
      </c>
    </row>
    <row r="211" spans="1:8" x14ac:dyDescent="0.2">
      <c r="A211" s="42" t="s">
        <v>364</v>
      </c>
      <c r="B211" s="3">
        <f>VLOOKUP($A211,Master_Rack!$H$2:$L$265,5,FALSE)</f>
        <v>60</v>
      </c>
      <c r="C211" t="s">
        <v>318</v>
      </c>
      <c r="D211" s="26">
        <v>0.85</v>
      </c>
      <c r="E211" s="27">
        <f t="shared" si="6"/>
        <v>51</v>
      </c>
      <c r="F211" s="26" t="s">
        <v>315</v>
      </c>
      <c r="G211" s="27">
        <f t="shared" si="7"/>
        <v>9.0000000000000018</v>
      </c>
      <c r="H211" t="s">
        <v>320</v>
      </c>
    </row>
    <row r="212" spans="1:8" x14ac:dyDescent="0.2">
      <c r="A212" s="42" t="s">
        <v>365</v>
      </c>
      <c r="B212" s="3">
        <f>VLOOKUP($A212,Master_Rack!$H$2:$L$265,5,FALSE)</f>
        <v>60</v>
      </c>
      <c r="C212" t="s">
        <v>318</v>
      </c>
      <c r="D212" s="26">
        <v>0.85</v>
      </c>
      <c r="E212" s="27">
        <f t="shared" si="6"/>
        <v>51</v>
      </c>
      <c r="F212" s="26" t="s">
        <v>315</v>
      </c>
      <c r="G212" s="27">
        <f t="shared" si="7"/>
        <v>9.0000000000000018</v>
      </c>
      <c r="H212" t="s">
        <v>320</v>
      </c>
    </row>
    <row r="213" spans="1:8" x14ac:dyDescent="0.2">
      <c r="A213" s="42" t="s">
        <v>366</v>
      </c>
      <c r="B213" s="3">
        <f>VLOOKUP($A213,Master_Rack!$H$2:$L$265,5,FALSE)</f>
        <v>60</v>
      </c>
      <c r="C213" t="s">
        <v>318</v>
      </c>
      <c r="D213" s="26">
        <v>0.85</v>
      </c>
      <c r="E213" s="27">
        <f t="shared" si="6"/>
        <v>51</v>
      </c>
      <c r="F213" s="26" t="s">
        <v>315</v>
      </c>
      <c r="G213" s="27">
        <f t="shared" si="7"/>
        <v>9.0000000000000018</v>
      </c>
      <c r="H213" t="s">
        <v>320</v>
      </c>
    </row>
    <row r="214" spans="1:8" x14ac:dyDescent="0.2">
      <c r="A214" s="42" t="s">
        <v>367</v>
      </c>
      <c r="B214" s="3">
        <f>VLOOKUP($A214,Master_Rack!$H$2:$L$265,5,FALSE)</f>
        <v>60</v>
      </c>
      <c r="C214" t="s">
        <v>318</v>
      </c>
      <c r="D214" s="26">
        <v>0.85</v>
      </c>
      <c r="E214" s="27">
        <f t="shared" si="6"/>
        <v>51</v>
      </c>
      <c r="F214" s="26" t="s">
        <v>315</v>
      </c>
      <c r="G214" s="27">
        <f t="shared" si="7"/>
        <v>9.0000000000000018</v>
      </c>
      <c r="H214" t="s">
        <v>320</v>
      </c>
    </row>
    <row r="215" spans="1:8" x14ac:dyDescent="0.2">
      <c r="A215" s="42" t="s">
        <v>368</v>
      </c>
      <c r="B215" s="3">
        <f>VLOOKUP($A215,Master_Rack!$H$2:$L$265,5,FALSE)</f>
        <v>60</v>
      </c>
      <c r="C215" t="s">
        <v>318</v>
      </c>
      <c r="D215" s="26">
        <v>0.85</v>
      </c>
      <c r="E215" s="27">
        <f t="shared" si="6"/>
        <v>51</v>
      </c>
      <c r="F215" s="26" t="s">
        <v>315</v>
      </c>
      <c r="G215" s="27">
        <f t="shared" si="7"/>
        <v>9.0000000000000018</v>
      </c>
      <c r="H215" t="s">
        <v>320</v>
      </c>
    </row>
    <row r="216" spans="1:8" x14ac:dyDescent="0.2">
      <c r="A216" s="42" t="s">
        <v>369</v>
      </c>
      <c r="B216" s="3">
        <f>VLOOKUP($A216,Master_Rack!$H$2:$L$265,5,FALSE)</f>
        <v>60</v>
      </c>
      <c r="C216" t="s">
        <v>318</v>
      </c>
      <c r="D216" s="26">
        <v>0.85</v>
      </c>
      <c r="E216" s="27">
        <f t="shared" si="6"/>
        <v>51</v>
      </c>
      <c r="F216" s="26" t="s">
        <v>315</v>
      </c>
      <c r="G216" s="27">
        <f t="shared" si="7"/>
        <v>9.0000000000000018</v>
      </c>
      <c r="H216" t="s">
        <v>320</v>
      </c>
    </row>
    <row r="217" spans="1:8" x14ac:dyDescent="0.2">
      <c r="A217" s="42" t="s">
        <v>370</v>
      </c>
      <c r="B217" s="3">
        <f>VLOOKUP($A217,Master_Rack!$H$2:$L$265,5,FALSE)</f>
        <v>60</v>
      </c>
      <c r="C217" t="s">
        <v>318</v>
      </c>
      <c r="D217" s="26">
        <v>0.85</v>
      </c>
      <c r="E217" s="27">
        <f t="shared" si="6"/>
        <v>51</v>
      </c>
      <c r="F217" s="26" t="s">
        <v>315</v>
      </c>
      <c r="G217" s="27">
        <f t="shared" si="7"/>
        <v>9.0000000000000018</v>
      </c>
      <c r="H217" t="s">
        <v>320</v>
      </c>
    </row>
    <row r="218" spans="1:8" x14ac:dyDescent="0.2">
      <c r="A218" s="47" t="s">
        <v>396</v>
      </c>
      <c r="B218" s="3">
        <f>VLOOKUP($A218,Master_Rack!$H$2:$L$265,5,FALSE)</f>
        <v>15</v>
      </c>
      <c r="C218" t="s">
        <v>397</v>
      </c>
      <c r="D218" s="26">
        <v>0.5</v>
      </c>
      <c r="E218" s="27">
        <f t="shared" si="6"/>
        <v>7.5</v>
      </c>
      <c r="F218" s="26" t="s">
        <v>464</v>
      </c>
      <c r="G218" s="27">
        <f t="shared" si="7"/>
        <v>7.5</v>
      </c>
      <c r="H218" t="s">
        <v>446</v>
      </c>
    </row>
    <row r="219" spans="1:8" x14ac:dyDescent="0.2">
      <c r="A219" s="47" t="s">
        <v>398</v>
      </c>
      <c r="B219" s="3">
        <f>VLOOKUP($A219,Master_Rack!$H$2:$L$265,5,FALSE)</f>
        <v>15</v>
      </c>
      <c r="C219" t="s">
        <v>397</v>
      </c>
      <c r="D219" s="26">
        <v>0.5</v>
      </c>
      <c r="E219" s="27">
        <f t="shared" si="6"/>
        <v>7.5</v>
      </c>
      <c r="F219" s="26" t="s">
        <v>464</v>
      </c>
      <c r="G219" s="27">
        <f t="shared" si="7"/>
        <v>7.5</v>
      </c>
      <c r="H219" t="s">
        <v>446</v>
      </c>
    </row>
    <row r="220" spans="1:8" x14ac:dyDescent="0.2">
      <c r="A220" s="47" t="s">
        <v>399</v>
      </c>
      <c r="B220" s="3">
        <f>VLOOKUP($A220,Master_Rack!$H$2:$L$265,5,FALSE)</f>
        <v>15</v>
      </c>
      <c r="C220" t="s">
        <v>397</v>
      </c>
      <c r="D220" s="26">
        <v>0.5</v>
      </c>
      <c r="E220" s="27">
        <f t="shared" si="6"/>
        <v>7.5</v>
      </c>
      <c r="F220" s="26" t="s">
        <v>464</v>
      </c>
      <c r="G220" s="27">
        <f t="shared" si="7"/>
        <v>7.5</v>
      </c>
      <c r="H220" t="s">
        <v>446</v>
      </c>
    </row>
    <row r="221" spans="1:8" x14ac:dyDescent="0.2">
      <c r="A221" s="47" t="s">
        <v>400</v>
      </c>
      <c r="B221" s="3">
        <f>VLOOKUP($A221,Master_Rack!$H$2:$L$265,5,FALSE)</f>
        <v>15</v>
      </c>
      <c r="C221" t="s">
        <v>397</v>
      </c>
      <c r="D221" s="26">
        <v>0.5</v>
      </c>
      <c r="E221" s="27">
        <f t="shared" si="6"/>
        <v>7.5</v>
      </c>
      <c r="F221" s="26" t="s">
        <v>464</v>
      </c>
      <c r="G221" s="27">
        <f t="shared" si="7"/>
        <v>7.5</v>
      </c>
      <c r="H221" t="s">
        <v>446</v>
      </c>
    </row>
    <row r="222" spans="1:8" x14ac:dyDescent="0.2">
      <c r="A222" s="47" t="s">
        <v>401</v>
      </c>
      <c r="B222" s="3">
        <f>VLOOKUP($A222,Master_Rack!$H$2:$L$265,5,FALSE)</f>
        <v>15</v>
      </c>
      <c r="C222" t="s">
        <v>397</v>
      </c>
      <c r="D222" s="26">
        <v>0.5</v>
      </c>
      <c r="E222" s="27">
        <f t="shared" si="6"/>
        <v>7.5</v>
      </c>
      <c r="F222" s="26" t="s">
        <v>464</v>
      </c>
      <c r="G222" s="27">
        <f t="shared" si="7"/>
        <v>7.5</v>
      </c>
      <c r="H222" t="s">
        <v>446</v>
      </c>
    </row>
    <row r="223" spans="1:8" x14ac:dyDescent="0.2">
      <c r="A223" s="47" t="s">
        <v>402</v>
      </c>
      <c r="B223" s="3">
        <f>VLOOKUP($A223,Master_Rack!$H$2:$L$265,5,FALSE)</f>
        <v>15</v>
      </c>
      <c r="C223" t="s">
        <v>397</v>
      </c>
      <c r="D223" s="26">
        <v>0.5</v>
      </c>
      <c r="E223" s="27">
        <f t="shared" si="6"/>
        <v>7.5</v>
      </c>
      <c r="F223" s="26" t="s">
        <v>464</v>
      </c>
      <c r="G223" s="27">
        <f t="shared" si="7"/>
        <v>7.5</v>
      </c>
      <c r="H223" t="s">
        <v>446</v>
      </c>
    </row>
    <row r="224" spans="1:8" x14ac:dyDescent="0.2">
      <c r="A224" s="47" t="s">
        <v>403</v>
      </c>
      <c r="B224" s="3">
        <f>VLOOKUP($A224,Master_Rack!$H$2:$L$265,5,FALSE)</f>
        <v>15</v>
      </c>
      <c r="C224" t="s">
        <v>397</v>
      </c>
      <c r="D224" s="26">
        <v>0.5</v>
      </c>
      <c r="E224" s="27">
        <f t="shared" si="6"/>
        <v>7.5</v>
      </c>
      <c r="F224" s="26" t="s">
        <v>464</v>
      </c>
      <c r="G224" s="27">
        <f t="shared" si="7"/>
        <v>7.5</v>
      </c>
      <c r="H224" t="s">
        <v>446</v>
      </c>
    </row>
    <row r="225" spans="1:8" x14ac:dyDescent="0.2">
      <c r="A225" s="47" t="s">
        <v>404</v>
      </c>
      <c r="B225" s="3">
        <f>VLOOKUP($A225,Master_Rack!$H$2:$L$265,5,FALSE)</f>
        <v>15</v>
      </c>
      <c r="C225" t="s">
        <v>397</v>
      </c>
      <c r="D225" s="26">
        <v>0.5</v>
      </c>
      <c r="E225" s="27">
        <f t="shared" si="6"/>
        <v>7.5</v>
      </c>
      <c r="F225" s="26" t="s">
        <v>464</v>
      </c>
      <c r="G225" s="27">
        <f t="shared" si="7"/>
        <v>7.5</v>
      </c>
      <c r="H225" t="s">
        <v>446</v>
      </c>
    </row>
    <row r="226" spans="1:8" x14ac:dyDescent="0.2">
      <c r="A226" s="47" t="s">
        <v>405</v>
      </c>
      <c r="B226" s="3">
        <f>VLOOKUP($A226,Master_Rack!$H$2:$L$265,5,FALSE)</f>
        <v>15</v>
      </c>
      <c r="C226" t="s">
        <v>397</v>
      </c>
      <c r="D226" s="26">
        <v>0.5</v>
      </c>
      <c r="E226" s="27">
        <f t="shared" si="6"/>
        <v>7.5</v>
      </c>
      <c r="F226" s="26" t="s">
        <v>464</v>
      </c>
      <c r="G226" s="27">
        <f t="shared" si="7"/>
        <v>7.5</v>
      </c>
      <c r="H226" t="s">
        <v>446</v>
      </c>
    </row>
    <row r="227" spans="1:8" x14ac:dyDescent="0.2">
      <c r="A227" s="47" t="s">
        <v>406</v>
      </c>
      <c r="B227" s="3">
        <f>VLOOKUP($A227,Master_Rack!$H$2:$L$265,5,FALSE)</f>
        <v>15</v>
      </c>
      <c r="C227" t="s">
        <v>397</v>
      </c>
      <c r="D227" s="26">
        <v>0.5</v>
      </c>
      <c r="E227" s="27">
        <f t="shared" si="6"/>
        <v>7.5</v>
      </c>
      <c r="F227" s="26" t="s">
        <v>464</v>
      </c>
      <c r="G227" s="27">
        <f t="shared" si="7"/>
        <v>7.5</v>
      </c>
      <c r="H227" t="s">
        <v>446</v>
      </c>
    </row>
    <row r="228" spans="1:8" x14ac:dyDescent="0.2">
      <c r="A228" s="47" t="s">
        <v>407</v>
      </c>
      <c r="B228" s="3">
        <f>VLOOKUP($A228,Master_Rack!$H$2:$L$265,5,FALSE)</f>
        <v>15</v>
      </c>
      <c r="C228" t="s">
        <v>397</v>
      </c>
      <c r="D228" s="26">
        <v>0.5</v>
      </c>
      <c r="E228" s="27">
        <f t="shared" si="6"/>
        <v>7.5</v>
      </c>
      <c r="F228" s="26" t="s">
        <v>464</v>
      </c>
      <c r="G228" s="27">
        <f t="shared" si="7"/>
        <v>7.5</v>
      </c>
      <c r="H228" t="s">
        <v>446</v>
      </c>
    </row>
    <row r="229" spans="1:8" x14ac:dyDescent="0.2">
      <c r="A229" s="47" t="s">
        <v>408</v>
      </c>
      <c r="B229" s="3">
        <f>VLOOKUP($A229,Master_Rack!$H$2:$L$265,5,FALSE)</f>
        <v>15</v>
      </c>
      <c r="C229" t="s">
        <v>397</v>
      </c>
      <c r="D229" s="26">
        <v>0.5</v>
      </c>
      <c r="E229" s="27">
        <f t="shared" si="6"/>
        <v>7.5</v>
      </c>
      <c r="F229" s="26" t="s">
        <v>464</v>
      </c>
      <c r="G229" s="27">
        <f t="shared" si="7"/>
        <v>7.5</v>
      </c>
      <c r="H229" t="s">
        <v>446</v>
      </c>
    </row>
    <row r="230" spans="1:8" x14ac:dyDescent="0.2">
      <c r="A230" s="47" t="s">
        <v>409</v>
      </c>
      <c r="B230" s="3">
        <f>VLOOKUP($A230,Master_Rack!$H$2:$L$265,5,FALSE)</f>
        <v>15</v>
      </c>
      <c r="C230" t="s">
        <v>397</v>
      </c>
      <c r="D230" s="26">
        <v>0.5</v>
      </c>
      <c r="E230" s="27">
        <f t="shared" si="6"/>
        <v>7.5</v>
      </c>
      <c r="F230" s="26" t="s">
        <v>464</v>
      </c>
      <c r="G230" s="27">
        <f t="shared" si="7"/>
        <v>7.5</v>
      </c>
      <c r="H230" t="s">
        <v>446</v>
      </c>
    </row>
    <row r="231" spans="1:8" x14ac:dyDescent="0.2">
      <c r="A231" s="47" t="s">
        <v>410</v>
      </c>
      <c r="B231" s="3">
        <f>VLOOKUP($A231,Master_Rack!$H$2:$L$265,5,FALSE)</f>
        <v>15</v>
      </c>
      <c r="C231" t="s">
        <v>397</v>
      </c>
      <c r="D231" s="26">
        <v>0.5</v>
      </c>
      <c r="E231" s="27">
        <f t="shared" si="6"/>
        <v>7.5</v>
      </c>
      <c r="F231" s="26" t="s">
        <v>464</v>
      </c>
      <c r="G231" s="27">
        <f t="shared" si="7"/>
        <v>7.5</v>
      </c>
      <c r="H231" t="s">
        <v>446</v>
      </c>
    </row>
    <row r="232" spans="1:8" x14ac:dyDescent="0.2">
      <c r="A232" s="47" t="s">
        <v>411</v>
      </c>
      <c r="B232" s="3">
        <f>VLOOKUP($A232,Master_Rack!$H$2:$L$265,5,FALSE)</f>
        <v>15</v>
      </c>
      <c r="C232" t="s">
        <v>397</v>
      </c>
      <c r="D232" s="26">
        <v>0.5</v>
      </c>
      <c r="E232" s="27">
        <f t="shared" si="6"/>
        <v>7.5</v>
      </c>
      <c r="F232" s="26" t="s">
        <v>464</v>
      </c>
      <c r="G232" s="27">
        <f t="shared" si="7"/>
        <v>7.5</v>
      </c>
      <c r="H232" t="s">
        <v>446</v>
      </c>
    </row>
    <row r="233" spans="1:8" x14ac:dyDescent="0.2">
      <c r="A233" s="47" t="s">
        <v>412</v>
      </c>
      <c r="B233" s="3">
        <f>VLOOKUP($A233,Master_Rack!$H$2:$L$265,5,FALSE)</f>
        <v>15</v>
      </c>
      <c r="C233" t="s">
        <v>397</v>
      </c>
      <c r="D233" s="26">
        <v>0.5</v>
      </c>
      <c r="E233" s="27">
        <f t="shared" si="6"/>
        <v>7.5</v>
      </c>
      <c r="F233" s="26" t="s">
        <v>464</v>
      </c>
      <c r="G233" s="27">
        <f t="shared" si="7"/>
        <v>7.5</v>
      </c>
      <c r="H233" t="s">
        <v>446</v>
      </c>
    </row>
    <row r="234" spans="1:8" x14ac:dyDescent="0.2">
      <c r="A234" s="47" t="s">
        <v>413</v>
      </c>
      <c r="B234" s="3">
        <f>VLOOKUP($A234,Master_Rack!$H$2:$L$265,5,FALSE)</f>
        <v>15</v>
      </c>
      <c r="C234" t="s">
        <v>397</v>
      </c>
      <c r="D234" s="26">
        <v>0.5</v>
      </c>
      <c r="E234" s="27">
        <f t="shared" si="6"/>
        <v>7.5</v>
      </c>
      <c r="F234" s="26" t="s">
        <v>464</v>
      </c>
      <c r="G234" s="27">
        <f t="shared" si="7"/>
        <v>7.5</v>
      </c>
      <c r="H234" t="s">
        <v>446</v>
      </c>
    </row>
    <row r="235" spans="1:8" x14ac:dyDescent="0.2">
      <c r="A235" s="47" t="s">
        <v>414</v>
      </c>
      <c r="B235" s="3">
        <f>VLOOKUP($A235,Master_Rack!$H$2:$L$265,5,FALSE)</f>
        <v>15</v>
      </c>
      <c r="C235" t="s">
        <v>397</v>
      </c>
      <c r="D235" s="26">
        <v>0.5</v>
      </c>
      <c r="E235" s="27">
        <f t="shared" si="6"/>
        <v>7.5</v>
      </c>
      <c r="F235" s="26" t="s">
        <v>464</v>
      </c>
      <c r="G235" s="27">
        <f t="shared" si="7"/>
        <v>7.5</v>
      </c>
      <c r="H235" t="s">
        <v>446</v>
      </c>
    </row>
    <row r="236" spans="1:8" x14ac:dyDescent="0.2">
      <c r="A236" s="47" t="s">
        <v>415</v>
      </c>
      <c r="B236" s="3">
        <f>VLOOKUP($A236,Master_Rack!$H$2:$L$265,5,FALSE)</f>
        <v>15</v>
      </c>
      <c r="C236" t="s">
        <v>397</v>
      </c>
      <c r="D236" s="26">
        <v>0.5</v>
      </c>
      <c r="E236" s="27">
        <f t="shared" si="6"/>
        <v>7.5</v>
      </c>
      <c r="F236" s="26" t="s">
        <v>464</v>
      </c>
      <c r="G236" s="27">
        <f t="shared" si="7"/>
        <v>7.5</v>
      </c>
      <c r="H236" t="s">
        <v>446</v>
      </c>
    </row>
    <row r="237" spans="1:8" x14ac:dyDescent="0.2">
      <c r="A237" s="47" t="s">
        <v>416</v>
      </c>
      <c r="B237" s="3">
        <f>VLOOKUP($A237,Master_Rack!$H$2:$L$265,5,FALSE)</f>
        <v>15</v>
      </c>
      <c r="C237" t="s">
        <v>397</v>
      </c>
      <c r="D237" s="26">
        <v>0.5</v>
      </c>
      <c r="E237" s="27">
        <f t="shared" si="6"/>
        <v>7.5</v>
      </c>
      <c r="F237" s="26" t="s">
        <v>464</v>
      </c>
      <c r="G237" s="27">
        <f t="shared" si="7"/>
        <v>7.5</v>
      </c>
      <c r="H237" t="s">
        <v>446</v>
      </c>
    </row>
    <row r="238" spans="1:8" x14ac:dyDescent="0.2">
      <c r="A238" s="47" t="s">
        <v>417</v>
      </c>
      <c r="B238" s="3">
        <f>VLOOKUP($A238,Master_Rack!$H$2:$L$265,5,FALSE)</f>
        <v>15</v>
      </c>
      <c r="C238" t="s">
        <v>397</v>
      </c>
      <c r="D238" s="26">
        <v>0.5</v>
      </c>
      <c r="E238" s="27">
        <f t="shared" si="6"/>
        <v>7.5</v>
      </c>
      <c r="F238" s="26" t="s">
        <v>464</v>
      </c>
      <c r="G238" s="27">
        <f t="shared" si="7"/>
        <v>7.5</v>
      </c>
      <c r="H238" t="s">
        <v>446</v>
      </c>
    </row>
    <row r="239" spans="1:8" x14ac:dyDescent="0.2">
      <c r="A239" s="47" t="s">
        <v>418</v>
      </c>
      <c r="B239" s="3">
        <f>VLOOKUP($A239,Master_Rack!$H$2:$L$265,5,FALSE)</f>
        <v>15</v>
      </c>
      <c r="C239" t="s">
        <v>397</v>
      </c>
      <c r="D239" s="26">
        <v>0.5</v>
      </c>
      <c r="E239" s="27">
        <f t="shared" si="6"/>
        <v>7.5</v>
      </c>
      <c r="F239" s="26" t="s">
        <v>464</v>
      </c>
      <c r="G239" s="27">
        <f t="shared" si="7"/>
        <v>7.5</v>
      </c>
      <c r="H239" t="s">
        <v>446</v>
      </c>
    </row>
    <row r="240" spans="1:8" x14ac:dyDescent="0.2">
      <c r="A240" s="47" t="s">
        <v>419</v>
      </c>
      <c r="B240" s="3">
        <f>VLOOKUP($A240,Master_Rack!$H$2:$L$265,5,FALSE)</f>
        <v>15</v>
      </c>
      <c r="C240" t="s">
        <v>397</v>
      </c>
      <c r="D240" s="26">
        <v>0.5</v>
      </c>
      <c r="E240" s="27">
        <f t="shared" si="6"/>
        <v>7.5</v>
      </c>
      <c r="F240" s="26" t="s">
        <v>464</v>
      </c>
      <c r="G240" s="27">
        <f t="shared" si="7"/>
        <v>7.5</v>
      </c>
      <c r="H240" t="s">
        <v>446</v>
      </c>
    </row>
    <row r="241" spans="1:8" x14ac:dyDescent="0.2">
      <c r="A241" s="47" t="s">
        <v>420</v>
      </c>
      <c r="B241" s="3">
        <f>VLOOKUP($A241,Master_Rack!$H$2:$L$265,5,FALSE)</f>
        <v>15</v>
      </c>
      <c r="C241" t="s">
        <v>397</v>
      </c>
      <c r="D241" s="26">
        <v>0.5</v>
      </c>
      <c r="E241" s="27">
        <f t="shared" si="6"/>
        <v>7.5</v>
      </c>
      <c r="F241" s="26" t="s">
        <v>464</v>
      </c>
      <c r="G241" s="27">
        <f t="shared" si="7"/>
        <v>7.5</v>
      </c>
      <c r="H241" t="s">
        <v>446</v>
      </c>
    </row>
    <row r="242" spans="1:8" x14ac:dyDescent="0.2">
      <c r="A242" s="47" t="s">
        <v>421</v>
      </c>
      <c r="B242" s="3">
        <f>VLOOKUP($A242,Master_Rack!$H$2:$L$265,5,FALSE)</f>
        <v>15</v>
      </c>
      <c r="C242" t="s">
        <v>422</v>
      </c>
      <c r="D242" s="26">
        <v>0.5</v>
      </c>
      <c r="E242" s="27">
        <f t="shared" si="6"/>
        <v>7.5</v>
      </c>
      <c r="F242" s="26" t="s">
        <v>465</v>
      </c>
      <c r="G242" s="27">
        <f t="shared" si="7"/>
        <v>7.5</v>
      </c>
      <c r="H242" t="s">
        <v>447</v>
      </c>
    </row>
    <row r="243" spans="1:8" x14ac:dyDescent="0.2">
      <c r="A243" s="47" t="s">
        <v>423</v>
      </c>
      <c r="B243" s="3">
        <f>VLOOKUP($A243,Master_Rack!$H$2:$L$265,5,FALSE)</f>
        <v>15</v>
      </c>
      <c r="C243" t="s">
        <v>422</v>
      </c>
      <c r="D243" s="26">
        <v>0.5</v>
      </c>
      <c r="E243" s="27">
        <f t="shared" si="6"/>
        <v>7.5</v>
      </c>
      <c r="F243" s="26" t="s">
        <v>465</v>
      </c>
      <c r="G243" s="27">
        <f t="shared" si="7"/>
        <v>7.5</v>
      </c>
      <c r="H243" t="s">
        <v>447</v>
      </c>
    </row>
    <row r="244" spans="1:8" x14ac:dyDescent="0.2">
      <c r="A244" s="47" t="s">
        <v>424</v>
      </c>
      <c r="B244" s="3">
        <f>VLOOKUP($A244,Master_Rack!$H$2:$L$265,5,FALSE)</f>
        <v>15</v>
      </c>
      <c r="C244" t="s">
        <v>422</v>
      </c>
      <c r="D244" s="26">
        <v>0.5</v>
      </c>
      <c r="E244" s="27">
        <f t="shared" si="6"/>
        <v>7.5</v>
      </c>
      <c r="F244" s="26" t="s">
        <v>465</v>
      </c>
      <c r="G244" s="27">
        <f t="shared" si="7"/>
        <v>7.5</v>
      </c>
      <c r="H244" t="s">
        <v>447</v>
      </c>
    </row>
    <row r="245" spans="1:8" x14ac:dyDescent="0.2">
      <c r="A245" s="47" t="s">
        <v>425</v>
      </c>
      <c r="B245" s="3">
        <f>VLOOKUP($A245,Master_Rack!$H$2:$L$265,5,FALSE)</f>
        <v>15</v>
      </c>
      <c r="C245" t="s">
        <v>422</v>
      </c>
      <c r="D245" s="26">
        <v>0.5</v>
      </c>
      <c r="E245" s="27">
        <f t="shared" si="6"/>
        <v>7.5</v>
      </c>
      <c r="F245" s="26" t="s">
        <v>465</v>
      </c>
      <c r="G245" s="27">
        <f t="shared" si="7"/>
        <v>7.5</v>
      </c>
      <c r="H245" t="s">
        <v>447</v>
      </c>
    </row>
    <row r="246" spans="1:8" x14ac:dyDescent="0.2">
      <c r="A246" s="47" t="s">
        <v>426</v>
      </c>
      <c r="B246" s="3">
        <f>VLOOKUP($A246,Master_Rack!$H$2:$L$265,5,FALSE)</f>
        <v>15</v>
      </c>
      <c r="C246" t="s">
        <v>422</v>
      </c>
      <c r="D246" s="26">
        <v>0.5</v>
      </c>
      <c r="E246" s="27">
        <f t="shared" si="6"/>
        <v>7.5</v>
      </c>
      <c r="F246" s="26" t="s">
        <v>465</v>
      </c>
      <c r="G246" s="27">
        <f t="shared" si="7"/>
        <v>7.5</v>
      </c>
      <c r="H246" t="s">
        <v>447</v>
      </c>
    </row>
    <row r="247" spans="1:8" x14ac:dyDescent="0.2">
      <c r="A247" s="47" t="s">
        <v>427</v>
      </c>
      <c r="B247" s="3">
        <f>VLOOKUP($A247,Master_Rack!$H$2:$L$265,5,FALSE)</f>
        <v>15</v>
      </c>
      <c r="C247" t="s">
        <v>422</v>
      </c>
      <c r="D247" s="26">
        <v>0.5</v>
      </c>
      <c r="E247" s="27">
        <f t="shared" si="6"/>
        <v>7.5</v>
      </c>
      <c r="F247" s="26" t="s">
        <v>465</v>
      </c>
      <c r="G247" s="27">
        <f t="shared" si="7"/>
        <v>7.5</v>
      </c>
      <c r="H247" t="s">
        <v>447</v>
      </c>
    </row>
    <row r="248" spans="1:8" x14ac:dyDescent="0.2">
      <c r="A248" s="47" t="s">
        <v>428</v>
      </c>
      <c r="B248" s="3">
        <f>VLOOKUP($A248,Master_Rack!$H$2:$L$265,5,FALSE)</f>
        <v>15</v>
      </c>
      <c r="C248" t="s">
        <v>422</v>
      </c>
      <c r="D248" s="26">
        <v>0.5</v>
      </c>
      <c r="E248" s="27">
        <f t="shared" si="6"/>
        <v>7.5</v>
      </c>
      <c r="F248" s="26" t="s">
        <v>465</v>
      </c>
      <c r="G248" s="27">
        <f t="shared" si="7"/>
        <v>7.5</v>
      </c>
      <c r="H248" t="s">
        <v>447</v>
      </c>
    </row>
    <row r="249" spans="1:8" x14ac:dyDescent="0.2">
      <c r="A249" s="47" t="s">
        <v>429</v>
      </c>
      <c r="B249" s="3">
        <f>VLOOKUP($A249,Master_Rack!$H$2:$L$265,5,FALSE)</f>
        <v>15</v>
      </c>
      <c r="C249" t="s">
        <v>422</v>
      </c>
      <c r="D249" s="26">
        <v>0.5</v>
      </c>
      <c r="E249" s="27">
        <f t="shared" si="6"/>
        <v>7.5</v>
      </c>
      <c r="F249" s="26" t="s">
        <v>465</v>
      </c>
      <c r="G249" s="27">
        <f t="shared" si="7"/>
        <v>7.5</v>
      </c>
      <c r="H249" t="s">
        <v>447</v>
      </c>
    </row>
    <row r="250" spans="1:8" x14ac:dyDescent="0.2">
      <c r="A250" s="47" t="s">
        <v>430</v>
      </c>
      <c r="B250" s="3">
        <f>VLOOKUP($A250,Master_Rack!$H$2:$L$265,5,FALSE)</f>
        <v>15</v>
      </c>
      <c r="C250" t="s">
        <v>422</v>
      </c>
      <c r="D250" s="26">
        <v>0.5</v>
      </c>
      <c r="E250" s="27">
        <f t="shared" si="6"/>
        <v>7.5</v>
      </c>
      <c r="F250" s="26" t="s">
        <v>465</v>
      </c>
      <c r="G250" s="27">
        <f t="shared" si="7"/>
        <v>7.5</v>
      </c>
      <c r="H250" t="s">
        <v>447</v>
      </c>
    </row>
    <row r="251" spans="1:8" x14ac:dyDescent="0.2">
      <c r="A251" s="47" t="s">
        <v>431</v>
      </c>
      <c r="B251" s="3">
        <f>VLOOKUP($A251,Master_Rack!$H$2:$L$265,5,FALSE)</f>
        <v>15</v>
      </c>
      <c r="C251" t="s">
        <v>422</v>
      </c>
      <c r="D251" s="26">
        <v>0.5</v>
      </c>
      <c r="E251" s="27">
        <f t="shared" si="6"/>
        <v>7.5</v>
      </c>
      <c r="F251" s="26" t="s">
        <v>465</v>
      </c>
      <c r="G251" s="27">
        <f t="shared" si="7"/>
        <v>7.5</v>
      </c>
      <c r="H251" t="s">
        <v>447</v>
      </c>
    </row>
    <row r="252" spans="1:8" x14ac:dyDescent="0.2">
      <c r="A252" s="47" t="s">
        <v>432</v>
      </c>
      <c r="B252" s="3">
        <f>VLOOKUP($A252,Master_Rack!$H$2:$L$265,5,FALSE)</f>
        <v>15</v>
      </c>
      <c r="C252" t="s">
        <v>422</v>
      </c>
      <c r="D252" s="26">
        <v>0.5</v>
      </c>
      <c r="E252" s="27">
        <f t="shared" si="6"/>
        <v>7.5</v>
      </c>
      <c r="F252" s="26" t="s">
        <v>465</v>
      </c>
      <c r="G252" s="27">
        <f t="shared" si="7"/>
        <v>7.5</v>
      </c>
      <c r="H252" t="s">
        <v>447</v>
      </c>
    </row>
    <row r="253" spans="1:8" x14ac:dyDescent="0.2">
      <c r="A253" s="47" t="s">
        <v>433</v>
      </c>
      <c r="B253" s="3">
        <f>VLOOKUP($A253,Master_Rack!$H$2:$L$265,5,FALSE)</f>
        <v>15</v>
      </c>
      <c r="C253" t="s">
        <v>422</v>
      </c>
      <c r="D253" s="26">
        <v>0.5</v>
      </c>
      <c r="E253" s="27">
        <f t="shared" si="6"/>
        <v>7.5</v>
      </c>
      <c r="F253" s="26" t="s">
        <v>465</v>
      </c>
      <c r="G253" s="27">
        <f t="shared" si="7"/>
        <v>7.5</v>
      </c>
      <c r="H253" t="s">
        <v>447</v>
      </c>
    </row>
    <row r="254" spans="1:8" x14ac:dyDescent="0.2">
      <c r="A254" s="47" t="s">
        <v>434</v>
      </c>
      <c r="B254" s="3">
        <f>VLOOKUP($A254,Master_Rack!$H$2:$L$265,5,FALSE)</f>
        <v>15</v>
      </c>
      <c r="C254" t="s">
        <v>422</v>
      </c>
      <c r="D254" s="26">
        <v>0.5</v>
      </c>
      <c r="E254" s="27">
        <f t="shared" si="6"/>
        <v>7.5</v>
      </c>
      <c r="F254" s="26" t="s">
        <v>465</v>
      </c>
      <c r="G254" s="27">
        <f t="shared" si="7"/>
        <v>7.5</v>
      </c>
      <c r="H254" t="s">
        <v>447</v>
      </c>
    </row>
    <row r="255" spans="1:8" x14ac:dyDescent="0.2">
      <c r="A255" s="47" t="s">
        <v>435</v>
      </c>
      <c r="B255" s="3">
        <f>VLOOKUP($A255,Master_Rack!$H$2:$L$265,5,FALSE)</f>
        <v>15</v>
      </c>
      <c r="C255" t="s">
        <v>422</v>
      </c>
      <c r="D255" s="26">
        <v>0.5</v>
      </c>
      <c r="E255" s="27">
        <f t="shared" si="6"/>
        <v>7.5</v>
      </c>
      <c r="F255" s="26" t="s">
        <v>465</v>
      </c>
      <c r="G255" s="27">
        <f t="shared" si="7"/>
        <v>7.5</v>
      </c>
      <c r="H255" t="s">
        <v>447</v>
      </c>
    </row>
    <row r="256" spans="1:8" x14ac:dyDescent="0.2">
      <c r="A256" s="47" t="s">
        <v>436</v>
      </c>
      <c r="B256" s="3">
        <f>VLOOKUP($A256,Master_Rack!$H$2:$L$265,5,FALSE)</f>
        <v>15</v>
      </c>
      <c r="C256" t="s">
        <v>422</v>
      </c>
      <c r="D256" s="26">
        <v>0.5</v>
      </c>
      <c r="E256" s="27">
        <f>B256*D256</f>
        <v>7.5</v>
      </c>
      <c r="F256" s="26" t="s">
        <v>465</v>
      </c>
      <c r="G256" s="27">
        <f t="shared" si="7"/>
        <v>7.5</v>
      </c>
      <c r="H256" t="s">
        <v>447</v>
      </c>
    </row>
    <row r="257" spans="1:8" x14ac:dyDescent="0.2">
      <c r="A257" s="47" t="s">
        <v>437</v>
      </c>
      <c r="B257" s="3">
        <f>VLOOKUP($A257,Master_Rack!$H$2:$L$265,5,FALSE)</f>
        <v>15</v>
      </c>
      <c r="C257" t="s">
        <v>422</v>
      </c>
      <c r="D257" s="26">
        <v>0.5</v>
      </c>
      <c r="E257" s="27">
        <f t="shared" si="6"/>
        <v>7.5</v>
      </c>
      <c r="F257" s="26" t="s">
        <v>465</v>
      </c>
      <c r="G257" s="27">
        <f t="shared" si="7"/>
        <v>7.5</v>
      </c>
      <c r="H257" t="s">
        <v>447</v>
      </c>
    </row>
    <row r="258" spans="1:8" x14ac:dyDescent="0.2">
      <c r="A258" s="47" t="s">
        <v>438</v>
      </c>
      <c r="B258" s="3">
        <f>VLOOKUP($A258,Master_Rack!$H$2:$L$265,5,FALSE)</f>
        <v>15</v>
      </c>
      <c r="C258" t="s">
        <v>422</v>
      </c>
      <c r="D258" s="26">
        <v>0.5</v>
      </c>
      <c r="E258" s="27">
        <f t="shared" si="6"/>
        <v>7.5</v>
      </c>
      <c r="F258" s="26" t="s">
        <v>465</v>
      </c>
      <c r="G258" s="27">
        <f t="shared" si="7"/>
        <v>7.5</v>
      </c>
      <c r="H258" t="s">
        <v>447</v>
      </c>
    </row>
    <row r="259" spans="1:8" x14ac:dyDescent="0.2">
      <c r="A259" s="47" t="s">
        <v>439</v>
      </c>
      <c r="B259" s="3">
        <f>VLOOKUP($A259,Master_Rack!$H$2:$L$265,5,FALSE)</f>
        <v>15</v>
      </c>
      <c r="C259" t="s">
        <v>422</v>
      </c>
      <c r="D259" s="26">
        <v>0.5</v>
      </c>
      <c r="E259" s="27">
        <f t="shared" ref="E259:E265" si="8">B259*D259</f>
        <v>7.5</v>
      </c>
      <c r="F259" s="26" t="s">
        <v>465</v>
      </c>
      <c r="G259" s="27">
        <f t="shared" ref="G259:G265" si="9">B259*(1-D259)</f>
        <v>7.5</v>
      </c>
      <c r="H259" t="s">
        <v>447</v>
      </c>
    </row>
    <row r="260" spans="1:8" x14ac:dyDescent="0.2">
      <c r="A260" s="47" t="s">
        <v>440</v>
      </c>
      <c r="B260" s="3">
        <f>VLOOKUP($A260,Master_Rack!$H$2:$L$265,5,FALSE)</f>
        <v>15</v>
      </c>
      <c r="C260" t="s">
        <v>422</v>
      </c>
      <c r="D260" s="26">
        <v>0.5</v>
      </c>
      <c r="E260" s="27">
        <f t="shared" si="8"/>
        <v>7.5</v>
      </c>
      <c r="F260" s="26" t="s">
        <v>465</v>
      </c>
      <c r="G260" s="27">
        <f t="shared" si="9"/>
        <v>7.5</v>
      </c>
      <c r="H260" t="s">
        <v>447</v>
      </c>
    </row>
    <row r="261" spans="1:8" x14ac:dyDescent="0.2">
      <c r="A261" s="47" t="s">
        <v>441</v>
      </c>
      <c r="B261" s="3">
        <f>VLOOKUP($A261,Master_Rack!$H$2:$L$265,5,FALSE)</f>
        <v>15</v>
      </c>
      <c r="C261" t="s">
        <v>422</v>
      </c>
      <c r="D261" s="26">
        <v>0.5</v>
      </c>
      <c r="E261" s="27">
        <f t="shared" si="8"/>
        <v>7.5</v>
      </c>
      <c r="F261" s="26" t="s">
        <v>465</v>
      </c>
      <c r="G261" s="27">
        <f t="shared" si="9"/>
        <v>7.5</v>
      </c>
      <c r="H261" t="s">
        <v>447</v>
      </c>
    </row>
    <row r="262" spans="1:8" x14ac:dyDescent="0.2">
      <c r="A262" s="47" t="s">
        <v>442</v>
      </c>
      <c r="B262" s="3">
        <f>VLOOKUP($A262,Master_Rack!$H$2:$L$265,5,FALSE)</f>
        <v>15</v>
      </c>
      <c r="C262" t="s">
        <v>422</v>
      </c>
      <c r="D262" s="26">
        <v>0.5</v>
      </c>
      <c r="E262" s="27">
        <f t="shared" si="8"/>
        <v>7.5</v>
      </c>
      <c r="F262" s="26" t="s">
        <v>465</v>
      </c>
      <c r="G262" s="27">
        <f t="shared" si="9"/>
        <v>7.5</v>
      </c>
      <c r="H262" t="s">
        <v>447</v>
      </c>
    </row>
    <row r="263" spans="1:8" x14ac:dyDescent="0.2">
      <c r="A263" s="47" t="s">
        <v>443</v>
      </c>
      <c r="B263" s="3">
        <f>VLOOKUP($A263,Master_Rack!$H$2:$L$265,5,FALSE)</f>
        <v>15</v>
      </c>
      <c r="C263" t="s">
        <v>422</v>
      </c>
      <c r="D263" s="26">
        <v>0.5</v>
      </c>
      <c r="E263" s="27">
        <f t="shared" si="8"/>
        <v>7.5</v>
      </c>
      <c r="F263" s="26" t="s">
        <v>465</v>
      </c>
      <c r="G263" s="27">
        <f t="shared" si="9"/>
        <v>7.5</v>
      </c>
      <c r="H263" t="s">
        <v>447</v>
      </c>
    </row>
    <row r="264" spans="1:8" x14ac:dyDescent="0.2">
      <c r="A264" s="47" t="s">
        <v>444</v>
      </c>
      <c r="B264" s="3">
        <f>VLOOKUP($A264,Master_Rack!$H$2:$L$265,5,FALSE)</f>
        <v>15</v>
      </c>
      <c r="C264" t="s">
        <v>422</v>
      </c>
      <c r="D264" s="26">
        <v>0.5</v>
      </c>
      <c r="E264" s="27">
        <f t="shared" si="8"/>
        <v>7.5</v>
      </c>
      <c r="F264" s="26" t="s">
        <v>465</v>
      </c>
      <c r="G264" s="27">
        <f t="shared" si="9"/>
        <v>7.5</v>
      </c>
      <c r="H264" t="s">
        <v>447</v>
      </c>
    </row>
    <row r="265" spans="1:8" x14ac:dyDescent="0.2">
      <c r="A265" s="47" t="s">
        <v>445</v>
      </c>
      <c r="B265" s="3">
        <f>VLOOKUP($A265,Master_Rack!$H$2:$L$265,5,FALSE)</f>
        <v>15</v>
      </c>
      <c r="C265" t="s">
        <v>422</v>
      </c>
      <c r="D265" s="26">
        <v>0.5</v>
      </c>
      <c r="E265" s="27">
        <f t="shared" si="8"/>
        <v>7.5</v>
      </c>
      <c r="F265" s="26" t="s">
        <v>465</v>
      </c>
      <c r="G265" s="27">
        <f t="shared" si="9"/>
        <v>7.5</v>
      </c>
      <c r="H265" t="s">
        <v>447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E0CA-7606-7B49-B5E6-023F6AF86AE8}">
  <dimension ref="A1:R49"/>
  <sheetViews>
    <sheetView zoomScale="130" zoomScaleNormal="130" workbookViewId="0">
      <pane ySplit="1" topLeftCell="A15" activePane="bottomLeft" state="frozen"/>
      <selection pane="bottomLeft" activeCell="K39" sqref="K39"/>
    </sheetView>
  </sheetViews>
  <sheetFormatPr baseColWidth="10" defaultRowHeight="16" x14ac:dyDescent="0.2"/>
  <cols>
    <col min="1" max="1" width="20.5" customWidth="1"/>
    <col min="2" max="2" width="18.83203125" customWidth="1"/>
    <col min="3" max="3" width="9.6640625" customWidth="1"/>
    <col min="4" max="4" width="12.5" customWidth="1"/>
    <col min="5" max="5" width="20.5" customWidth="1"/>
    <col min="6" max="6" width="13.33203125" customWidth="1"/>
    <col min="7" max="8" width="13.83203125" customWidth="1"/>
    <col min="9" max="9" width="13" customWidth="1"/>
    <col min="10" max="10" width="14.6640625" customWidth="1"/>
    <col min="11" max="11" width="15.83203125" customWidth="1"/>
    <col min="12" max="12" width="13.83203125" customWidth="1"/>
    <col min="14" max="14" width="14.5" customWidth="1"/>
    <col min="15" max="15" width="12.83203125" customWidth="1"/>
    <col min="18" max="18" width="14.83203125" customWidth="1"/>
  </cols>
  <sheetData>
    <row r="1" spans="1:18" ht="85" x14ac:dyDescent="0.2">
      <c r="A1" s="17" t="s">
        <v>259</v>
      </c>
      <c r="B1" s="17" t="s">
        <v>258</v>
      </c>
      <c r="C1" s="17" t="s">
        <v>266</v>
      </c>
      <c r="D1" s="17" t="s">
        <v>260</v>
      </c>
      <c r="E1" s="17" t="s">
        <v>245</v>
      </c>
      <c r="F1" s="34" t="s">
        <v>290</v>
      </c>
      <c r="G1" s="34" t="s">
        <v>289</v>
      </c>
      <c r="H1" s="34" t="s">
        <v>291</v>
      </c>
      <c r="I1" s="17" t="s">
        <v>288</v>
      </c>
      <c r="J1" s="17"/>
      <c r="K1" s="17"/>
      <c r="L1" s="31" t="s">
        <v>0</v>
      </c>
      <c r="M1" s="31" t="s">
        <v>1</v>
      </c>
      <c r="N1" s="31" t="s">
        <v>769</v>
      </c>
      <c r="O1" s="33" t="s">
        <v>284</v>
      </c>
      <c r="P1" s="33" t="s">
        <v>286</v>
      </c>
      <c r="Q1" s="31" t="s">
        <v>287</v>
      </c>
      <c r="R1" s="31" t="s">
        <v>285</v>
      </c>
    </row>
    <row r="2" spans="1:18" s="19" customFormat="1" x14ac:dyDescent="0.2">
      <c r="A2" s="19" t="s">
        <v>764</v>
      </c>
      <c r="B2" s="19" t="s">
        <v>765</v>
      </c>
      <c r="C2" s="19" t="b">
        <v>1</v>
      </c>
      <c r="D2" s="19">
        <v>150</v>
      </c>
      <c r="E2" s="30" t="s">
        <v>446</v>
      </c>
      <c r="F2" s="30">
        <v>12</v>
      </c>
      <c r="G2" s="30">
        <v>28</v>
      </c>
      <c r="H2" s="29">
        <v>27</v>
      </c>
      <c r="I2" s="30">
        <v>24</v>
      </c>
      <c r="J2" s="30"/>
      <c r="K2" s="30"/>
    </row>
    <row r="3" spans="1:18" s="19" customFormat="1" x14ac:dyDescent="0.2">
      <c r="A3" s="19" t="s">
        <v>764</v>
      </c>
      <c r="B3" s="19" t="s">
        <v>766</v>
      </c>
      <c r="C3" s="19" t="b">
        <v>1</v>
      </c>
      <c r="D3" s="19">
        <v>150</v>
      </c>
      <c r="E3" s="30" t="s">
        <v>446</v>
      </c>
      <c r="F3" s="30">
        <v>12</v>
      </c>
      <c r="G3" s="30">
        <v>28</v>
      </c>
      <c r="H3" s="29">
        <v>27</v>
      </c>
      <c r="I3" s="30">
        <v>24</v>
      </c>
      <c r="J3" s="30"/>
      <c r="K3" s="30"/>
    </row>
    <row r="4" spans="1:18" s="19" customFormat="1" x14ac:dyDescent="0.2">
      <c r="A4" s="19" t="s">
        <v>764</v>
      </c>
      <c r="B4" s="19" t="s">
        <v>767</v>
      </c>
      <c r="C4" s="19" t="b">
        <v>1</v>
      </c>
      <c r="D4" s="19">
        <v>150</v>
      </c>
      <c r="E4" s="30" t="s">
        <v>447</v>
      </c>
      <c r="F4" s="30">
        <v>12</v>
      </c>
      <c r="G4" s="30">
        <v>28</v>
      </c>
      <c r="H4" s="29">
        <v>27</v>
      </c>
      <c r="I4" s="30">
        <v>24</v>
      </c>
      <c r="J4" s="30"/>
      <c r="K4" s="30"/>
    </row>
    <row r="5" spans="1:18" s="19" customFormat="1" x14ac:dyDescent="0.2">
      <c r="A5" s="19" t="s">
        <v>764</v>
      </c>
      <c r="B5" s="19" t="s">
        <v>768</v>
      </c>
      <c r="C5" s="19" t="b">
        <v>1</v>
      </c>
      <c r="D5" s="19">
        <v>150</v>
      </c>
      <c r="E5" s="30" t="s">
        <v>447</v>
      </c>
      <c r="F5" s="30">
        <v>12</v>
      </c>
      <c r="G5" s="30">
        <v>28</v>
      </c>
      <c r="H5" s="29">
        <v>27</v>
      </c>
      <c r="I5" s="30">
        <v>24</v>
      </c>
      <c r="J5" s="30"/>
      <c r="K5" s="30"/>
    </row>
    <row r="6" spans="1:18" s="4" customFormat="1" x14ac:dyDescent="0.2">
      <c r="A6" s="4" t="s">
        <v>281</v>
      </c>
      <c r="B6" s="4" t="s">
        <v>261</v>
      </c>
      <c r="C6" s="4" t="b">
        <v>1</v>
      </c>
      <c r="D6" s="4">
        <v>100</v>
      </c>
      <c r="E6" s="29" t="s">
        <v>250</v>
      </c>
      <c r="F6" s="29">
        <v>12</v>
      </c>
      <c r="G6" s="29">
        <v>28</v>
      </c>
      <c r="H6" s="29">
        <v>27</v>
      </c>
      <c r="I6" s="29">
        <v>24</v>
      </c>
      <c r="J6" s="29"/>
      <c r="K6" s="29"/>
    </row>
    <row r="7" spans="1:18" s="4" customFormat="1" x14ac:dyDescent="0.2">
      <c r="A7" s="4" t="s">
        <v>281</v>
      </c>
      <c r="B7" s="4" t="s">
        <v>262</v>
      </c>
      <c r="C7" s="4" t="b">
        <v>1</v>
      </c>
      <c r="D7" s="4">
        <v>100</v>
      </c>
      <c r="E7" s="29" t="s">
        <v>250</v>
      </c>
      <c r="F7" s="29">
        <v>12</v>
      </c>
      <c r="G7" s="29">
        <v>28</v>
      </c>
      <c r="H7" s="29">
        <v>27</v>
      </c>
      <c r="I7" s="29">
        <v>24</v>
      </c>
      <c r="J7" s="29"/>
      <c r="K7" s="29"/>
    </row>
    <row r="8" spans="1:18" s="4" customFormat="1" x14ac:dyDescent="0.2">
      <c r="A8" s="4" t="s">
        <v>281</v>
      </c>
      <c r="B8" s="4" t="s">
        <v>263</v>
      </c>
      <c r="C8" s="4" t="b">
        <v>1</v>
      </c>
      <c r="D8" s="4">
        <v>100</v>
      </c>
      <c r="E8" s="29" t="s">
        <v>250</v>
      </c>
      <c r="F8" s="29">
        <v>12</v>
      </c>
      <c r="G8" s="29">
        <v>28</v>
      </c>
      <c r="H8" s="29">
        <v>27</v>
      </c>
      <c r="I8" s="29">
        <v>24</v>
      </c>
      <c r="J8" s="29"/>
      <c r="K8" s="29"/>
    </row>
    <row r="9" spans="1:18" s="4" customFormat="1" x14ac:dyDescent="0.2">
      <c r="A9" s="4" t="s">
        <v>281</v>
      </c>
      <c r="B9" s="4" t="s">
        <v>264</v>
      </c>
      <c r="C9" s="4" t="b">
        <v>1</v>
      </c>
      <c r="D9" s="4">
        <v>100</v>
      </c>
      <c r="E9" s="29" t="s">
        <v>250</v>
      </c>
      <c r="F9" s="29">
        <v>12</v>
      </c>
      <c r="G9" s="29">
        <v>28</v>
      </c>
      <c r="H9" s="29">
        <v>27</v>
      </c>
      <c r="I9" s="29">
        <v>24</v>
      </c>
      <c r="J9" s="29"/>
      <c r="K9" s="29"/>
    </row>
    <row r="10" spans="1:18" s="4" customFormat="1" x14ac:dyDescent="0.2">
      <c r="A10" s="4" t="s">
        <v>281</v>
      </c>
      <c r="B10" s="4" t="s">
        <v>265</v>
      </c>
      <c r="C10" s="4" t="b">
        <v>0</v>
      </c>
      <c r="D10" s="4">
        <v>100</v>
      </c>
      <c r="E10" s="29" t="s">
        <v>250</v>
      </c>
      <c r="F10" s="29">
        <v>12</v>
      </c>
      <c r="G10" s="29">
        <v>28</v>
      </c>
      <c r="H10" s="29">
        <v>27</v>
      </c>
      <c r="I10" s="29">
        <v>24</v>
      </c>
      <c r="J10" s="29"/>
      <c r="K10" s="29"/>
    </row>
    <row r="11" spans="1:18" s="19" customFormat="1" x14ac:dyDescent="0.2">
      <c r="A11" s="19" t="s">
        <v>281</v>
      </c>
      <c r="B11" s="19" t="s">
        <v>267</v>
      </c>
      <c r="C11" s="19" t="b">
        <v>1</v>
      </c>
      <c r="D11" s="19">
        <v>100</v>
      </c>
      <c r="E11" s="30" t="s">
        <v>251</v>
      </c>
      <c r="F11" s="30">
        <v>12</v>
      </c>
      <c r="G11" s="30">
        <v>28</v>
      </c>
      <c r="H11" s="29">
        <v>27</v>
      </c>
      <c r="I11" s="30">
        <v>24</v>
      </c>
      <c r="J11" s="30"/>
      <c r="K11" s="30"/>
    </row>
    <row r="12" spans="1:18" s="19" customFormat="1" x14ac:dyDescent="0.2">
      <c r="A12" s="19" t="s">
        <v>281</v>
      </c>
      <c r="B12" s="19" t="s">
        <v>268</v>
      </c>
      <c r="C12" s="19" t="b">
        <v>1</v>
      </c>
      <c r="D12" s="19">
        <v>100</v>
      </c>
      <c r="E12" s="30" t="s">
        <v>251</v>
      </c>
      <c r="F12" s="30">
        <v>12</v>
      </c>
      <c r="G12" s="30">
        <v>28</v>
      </c>
      <c r="H12" s="29">
        <v>27</v>
      </c>
      <c r="I12" s="30">
        <v>24</v>
      </c>
      <c r="J12" s="30"/>
      <c r="K12" s="30"/>
    </row>
    <row r="13" spans="1:18" s="19" customFormat="1" x14ac:dyDescent="0.2">
      <c r="A13" s="19" t="s">
        <v>281</v>
      </c>
      <c r="B13" s="19" t="s">
        <v>269</v>
      </c>
      <c r="C13" s="19" t="b">
        <v>0</v>
      </c>
      <c r="D13" s="19">
        <v>100</v>
      </c>
      <c r="E13" s="30" t="s">
        <v>251</v>
      </c>
      <c r="F13" s="30">
        <v>12</v>
      </c>
      <c r="G13" s="30">
        <v>28</v>
      </c>
      <c r="H13" s="29">
        <v>27</v>
      </c>
      <c r="I13" s="30">
        <v>24</v>
      </c>
      <c r="J13" s="30"/>
      <c r="K13" s="30"/>
    </row>
    <row r="14" spans="1:18" s="4" customFormat="1" x14ac:dyDescent="0.2">
      <c r="A14" s="4" t="s">
        <v>281</v>
      </c>
      <c r="B14" s="4" t="s">
        <v>270</v>
      </c>
      <c r="C14" s="4" t="b">
        <v>1</v>
      </c>
      <c r="D14" s="4">
        <v>100</v>
      </c>
      <c r="E14" s="29" t="s">
        <v>248</v>
      </c>
      <c r="F14" s="29">
        <v>12</v>
      </c>
      <c r="G14" s="29">
        <v>28</v>
      </c>
      <c r="H14" s="29">
        <v>27</v>
      </c>
      <c r="I14" s="29">
        <v>24</v>
      </c>
      <c r="J14" s="29"/>
      <c r="K14" s="29"/>
    </row>
    <row r="15" spans="1:18" s="4" customFormat="1" x14ac:dyDescent="0.2">
      <c r="A15" s="4" t="s">
        <v>281</v>
      </c>
      <c r="B15" s="4" t="s">
        <v>271</v>
      </c>
      <c r="C15" s="4" t="b">
        <v>1</v>
      </c>
      <c r="D15" s="4">
        <v>100</v>
      </c>
      <c r="E15" s="29" t="s">
        <v>248</v>
      </c>
      <c r="F15" s="29">
        <v>12</v>
      </c>
      <c r="G15" s="29">
        <v>28</v>
      </c>
      <c r="H15" s="29">
        <v>27</v>
      </c>
      <c r="I15" s="29">
        <v>24</v>
      </c>
      <c r="J15" s="29"/>
      <c r="K15" s="29"/>
    </row>
    <row r="16" spans="1:18" s="4" customFormat="1" x14ac:dyDescent="0.2">
      <c r="A16" s="4" t="s">
        <v>281</v>
      </c>
      <c r="B16" s="4" t="s">
        <v>272</v>
      </c>
      <c r="C16" s="4" t="b">
        <v>1</v>
      </c>
      <c r="D16" s="4">
        <v>100</v>
      </c>
      <c r="E16" s="29" t="s">
        <v>248</v>
      </c>
      <c r="F16" s="29">
        <v>12</v>
      </c>
      <c r="G16" s="29">
        <v>28</v>
      </c>
      <c r="H16" s="29">
        <v>27</v>
      </c>
      <c r="I16" s="29">
        <v>24</v>
      </c>
      <c r="J16" s="29"/>
      <c r="K16" s="29"/>
    </row>
    <row r="17" spans="1:11" s="4" customFormat="1" x14ac:dyDescent="0.2">
      <c r="A17" s="4" t="s">
        <v>281</v>
      </c>
      <c r="B17" s="4" t="s">
        <v>273</v>
      </c>
      <c r="C17" s="4" t="b">
        <v>1</v>
      </c>
      <c r="D17" s="4">
        <v>100</v>
      </c>
      <c r="E17" s="29" t="s">
        <v>248</v>
      </c>
      <c r="F17" s="29">
        <v>12</v>
      </c>
      <c r="G17" s="29">
        <v>28</v>
      </c>
      <c r="H17" s="29">
        <v>27</v>
      </c>
      <c r="I17" s="29">
        <v>24</v>
      </c>
      <c r="J17" s="29"/>
      <c r="K17" s="29"/>
    </row>
    <row r="18" spans="1:11" s="4" customFormat="1" x14ac:dyDescent="0.2">
      <c r="A18" s="4" t="s">
        <v>281</v>
      </c>
      <c r="B18" s="4" t="s">
        <v>274</v>
      </c>
      <c r="C18" s="4" t="b">
        <v>0</v>
      </c>
      <c r="D18" s="4">
        <v>100</v>
      </c>
      <c r="E18" s="29" t="s">
        <v>248</v>
      </c>
      <c r="F18" s="29">
        <v>12</v>
      </c>
      <c r="G18" s="29">
        <v>28</v>
      </c>
      <c r="H18" s="29">
        <v>27</v>
      </c>
      <c r="I18" s="29">
        <v>24</v>
      </c>
      <c r="J18" s="29"/>
      <c r="K18" s="29"/>
    </row>
    <row r="19" spans="1:11" s="19" customFormat="1" x14ac:dyDescent="0.2">
      <c r="A19" s="19" t="s">
        <v>281</v>
      </c>
      <c r="B19" s="19" t="s">
        <v>275</v>
      </c>
      <c r="C19" s="19" t="b">
        <v>1</v>
      </c>
      <c r="D19" s="19">
        <v>100</v>
      </c>
      <c r="E19" s="30" t="s">
        <v>249</v>
      </c>
      <c r="F19" s="30">
        <v>12</v>
      </c>
      <c r="G19" s="30">
        <v>28</v>
      </c>
      <c r="H19" s="29">
        <v>27</v>
      </c>
      <c r="I19" s="30">
        <v>24</v>
      </c>
      <c r="J19" s="30"/>
      <c r="K19" s="30"/>
    </row>
    <row r="20" spans="1:11" s="19" customFormat="1" x14ac:dyDescent="0.2">
      <c r="A20" s="19" t="s">
        <v>281</v>
      </c>
      <c r="B20" s="19" t="s">
        <v>276</v>
      </c>
      <c r="C20" s="19" t="b">
        <v>1</v>
      </c>
      <c r="D20" s="19">
        <v>100</v>
      </c>
      <c r="E20" s="30" t="s">
        <v>249</v>
      </c>
      <c r="F20" s="30">
        <v>12</v>
      </c>
      <c r="G20" s="30">
        <v>28</v>
      </c>
      <c r="H20" s="29">
        <v>27</v>
      </c>
      <c r="I20" s="30">
        <v>24</v>
      </c>
      <c r="J20" s="30"/>
      <c r="K20" s="30"/>
    </row>
    <row r="21" spans="1:11" s="19" customFormat="1" x14ac:dyDescent="0.2">
      <c r="A21" s="19" t="s">
        <v>281</v>
      </c>
      <c r="B21" s="19" t="s">
        <v>277</v>
      </c>
      <c r="C21" s="19" t="b">
        <v>0</v>
      </c>
      <c r="D21" s="19">
        <v>100</v>
      </c>
      <c r="E21" s="30" t="s">
        <v>249</v>
      </c>
      <c r="F21" s="30">
        <v>12</v>
      </c>
      <c r="G21" s="30">
        <v>28</v>
      </c>
      <c r="H21" s="29">
        <v>27</v>
      </c>
      <c r="I21" s="30">
        <v>24</v>
      </c>
      <c r="J21" s="30"/>
      <c r="K21" s="30"/>
    </row>
    <row r="22" spans="1:11" s="4" customFormat="1" x14ac:dyDescent="0.2">
      <c r="A22" s="4" t="s">
        <v>281</v>
      </c>
      <c r="B22" s="4" t="s">
        <v>278</v>
      </c>
      <c r="C22" s="4" t="b">
        <v>1</v>
      </c>
      <c r="D22" s="4">
        <v>100</v>
      </c>
      <c r="E22" s="29" t="s">
        <v>253</v>
      </c>
      <c r="F22" s="29">
        <v>12</v>
      </c>
      <c r="G22" s="29">
        <v>28</v>
      </c>
      <c r="H22" s="29">
        <v>27</v>
      </c>
      <c r="I22" s="29">
        <v>24</v>
      </c>
      <c r="J22" s="29"/>
      <c r="K22" s="29"/>
    </row>
    <row r="23" spans="1:11" s="4" customFormat="1" x14ac:dyDescent="0.2">
      <c r="A23" s="4" t="s">
        <v>281</v>
      </c>
      <c r="B23" s="4" t="s">
        <v>279</v>
      </c>
      <c r="C23" s="4" t="b">
        <v>1</v>
      </c>
      <c r="D23" s="4">
        <v>100</v>
      </c>
      <c r="E23" s="29" t="s">
        <v>253</v>
      </c>
      <c r="F23" s="29">
        <v>12</v>
      </c>
      <c r="G23" s="29">
        <v>28</v>
      </c>
      <c r="H23" s="29">
        <v>27</v>
      </c>
      <c r="I23" s="29">
        <v>24</v>
      </c>
      <c r="J23" s="29"/>
      <c r="K23" s="29"/>
    </row>
    <row r="24" spans="1:11" s="4" customFormat="1" x14ac:dyDescent="0.2">
      <c r="A24" s="4" t="s">
        <v>281</v>
      </c>
      <c r="B24" s="4" t="s">
        <v>280</v>
      </c>
      <c r="C24" s="4" t="b">
        <v>0</v>
      </c>
      <c r="D24" s="4">
        <v>100</v>
      </c>
      <c r="E24" s="29" t="s">
        <v>253</v>
      </c>
      <c r="F24" s="29">
        <v>12</v>
      </c>
      <c r="G24" s="29">
        <v>28</v>
      </c>
      <c r="H24" s="29">
        <v>27</v>
      </c>
      <c r="I24" s="29">
        <v>24</v>
      </c>
      <c r="J24" s="29"/>
      <c r="K24" s="29"/>
    </row>
    <row r="25" spans="1:11" x14ac:dyDescent="0.2">
      <c r="A25" t="s">
        <v>281</v>
      </c>
      <c r="B25" t="s">
        <v>371</v>
      </c>
      <c r="C25" t="b">
        <v>1</v>
      </c>
      <c r="D25">
        <v>100</v>
      </c>
      <c r="E25" s="28" t="s">
        <v>319</v>
      </c>
      <c r="F25" s="28">
        <v>12</v>
      </c>
      <c r="G25" s="28">
        <v>28</v>
      </c>
      <c r="H25" s="28">
        <v>27</v>
      </c>
      <c r="I25" s="28">
        <v>24</v>
      </c>
      <c r="J25" s="28"/>
      <c r="K25" s="28"/>
    </row>
    <row r="26" spans="1:11" x14ac:dyDescent="0.2">
      <c r="A26" t="s">
        <v>281</v>
      </c>
      <c r="B26" t="s">
        <v>372</v>
      </c>
      <c r="C26" t="b">
        <v>1</v>
      </c>
      <c r="D26">
        <v>100</v>
      </c>
      <c r="E26" s="28" t="s">
        <v>319</v>
      </c>
      <c r="F26" s="28">
        <v>12</v>
      </c>
      <c r="G26" s="28">
        <v>28</v>
      </c>
      <c r="H26" s="28">
        <v>27</v>
      </c>
      <c r="I26" s="28">
        <v>24</v>
      </c>
      <c r="J26" s="28"/>
      <c r="K26" s="28"/>
    </row>
    <row r="27" spans="1:11" x14ac:dyDescent="0.2">
      <c r="A27" t="s">
        <v>281</v>
      </c>
      <c r="B27" t="s">
        <v>373</v>
      </c>
      <c r="C27" t="b">
        <v>1</v>
      </c>
      <c r="D27">
        <v>100</v>
      </c>
      <c r="E27" s="28" t="s">
        <v>319</v>
      </c>
      <c r="F27" s="28">
        <v>12</v>
      </c>
      <c r="G27" s="28">
        <v>28</v>
      </c>
      <c r="H27" s="28">
        <v>27</v>
      </c>
      <c r="I27" s="28">
        <v>24</v>
      </c>
      <c r="J27" s="28"/>
      <c r="K27" s="28"/>
    </row>
    <row r="28" spans="1:11" x14ac:dyDescent="0.2">
      <c r="A28" t="s">
        <v>281</v>
      </c>
      <c r="B28" t="s">
        <v>374</v>
      </c>
      <c r="C28" t="b">
        <v>0</v>
      </c>
      <c r="D28">
        <v>100</v>
      </c>
      <c r="E28" s="28" t="s">
        <v>319</v>
      </c>
      <c r="F28" s="28">
        <v>12</v>
      </c>
      <c r="G28" s="28">
        <v>28</v>
      </c>
      <c r="H28" s="28">
        <v>27</v>
      </c>
      <c r="I28" s="28">
        <v>24</v>
      </c>
      <c r="J28" s="28"/>
      <c r="K28" s="28"/>
    </row>
    <row r="29" spans="1:11" x14ac:dyDescent="0.2">
      <c r="A29" t="s">
        <v>281</v>
      </c>
      <c r="B29" t="s">
        <v>375</v>
      </c>
      <c r="C29" t="b">
        <v>1</v>
      </c>
      <c r="D29">
        <v>100</v>
      </c>
      <c r="E29" s="28" t="s">
        <v>320</v>
      </c>
      <c r="F29" s="28">
        <v>12</v>
      </c>
      <c r="G29" s="28">
        <v>28</v>
      </c>
      <c r="H29" s="28">
        <v>27</v>
      </c>
      <c r="I29" s="28">
        <v>24</v>
      </c>
      <c r="J29" s="28"/>
      <c r="K29" s="28"/>
    </row>
    <row r="30" spans="1:11" x14ac:dyDescent="0.2">
      <c r="A30" t="s">
        <v>281</v>
      </c>
      <c r="B30" t="s">
        <v>376</v>
      </c>
      <c r="C30" t="b">
        <v>1</v>
      </c>
      <c r="D30">
        <v>100</v>
      </c>
      <c r="E30" s="28" t="s">
        <v>320</v>
      </c>
      <c r="F30" s="28">
        <v>12</v>
      </c>
      <c r="G30" s="28">
        <v>28</v>
      </c>
      <c r="H30" s="28">
        <v>27</v>
      </c>
      <c r="I30" s="28">
        <v>24</v>
      </c>
      <c r="J30" s="28"/>
      <c r="K30" s="28"/>
    </row>
    <row r="31" spans="1:11" x14ac:dyDescent="0.2">
      <c r="A31" t="s">
        <v>281</v>
      </c>
      <c r="B31" t="s">
        <v>377</v>
      </c>
      <c r="C31" t="b">
        <v>1</v>
      </c>
      <c r="D31">
        <v>100</v>
      </c>
      <c r="E31" s="28" t="s">
        <v>320</v>
      </c>
      <c r="F31" s="28">
        <v>12</v>
      </c>
      <c r="G31" s="28">
        <v>28</v>
      </c>
      <c r="H31" s="28">
        <v>27</v>
      </c>
      <c r="I31" s="28">
        <v>24</v>
      </c>
      <c r="J31" s="28"/>
      <c r="K31" s="28"/>
    </row>
    <row r="32" spans="1:11" x14ac:dyDescent="0.2">
      <c r="A32" t="s">
        <v>281</v>
      </c>
      <c r="B32" t="s">
        <v>378</v>
      </c>
      <c r="C32" t="b">
        <v>0</v>
      </c>
      <c r="D32">
        <v>100</v>
      </c>
      <c r="E32" s="28" t="s">
        <v>320</v>
      </c>
      <c r="F32" s="28">
        <v>12</v>
      </c>
      <c r="G32" s="28">
        <v>28</v>
      </c>
      <c r="H32" s="28">
        <v>27</v>
      </c>
      <c r="I32" s="28">
        <v>24</v>
      </c>
      <c r="J32" s="28"/>
      <c r="K32" s="28"/>
    </row>
    <row r="33" spans="1:18" x14ac:dyDescent="0.2">
      <c r="A33" t="s">
        <v>764</v>
      </c>
      <c r="E33" s="28"/>
      <c r="F33" s="28"/>
      <c r="G33" s="28"/>
      <c r="H33" s="28"/>
      <c r="I33" s="28"/>
      <c r="J33" s="28"/>
      <c r="K33" s="28"/>
      <c r="L33" s="28" t="s">
        <v>464</v>
      </c>
      <c r="M33" t="s">
        <v>397</v>
      </c>
      <c r="N33">
        <v>200</v>
      </c>
    </row>
    <row r="34" spans="1:18" x14ac:dyDescent="0.2">
      <c r="A34" t="s">
        <v>764</v>
      </c>
      <c r="E34" s="28"/>
      <c r="F34" s="28"/>
      <c r="G34" s="28"/>
      <c r="H34" s="28"/>
      <c r="I34" s="28"/>
      <c r="J34" s="28"/>
      <c r="K34" s="28"/>
      <c r="L34" s="28" t="s">
        <v>465</v>
      </c>
      <c r="M34" t="s">
        <v>422</v>
      </c>
      <c r="N34">
        <v>200</v>
      </c>
    </row>
    <row r="35" spans="1:18" x14ac:dyDescent="0.2">
      <c r="A35" t="s">
        <v>283</v>
      </c>
      <c r="L35" t="s">
        <v>255</v>
      </c>
      <c r="M35" s="28" t="s">
        <v>247</v>
      </c>
      <c r="N35" s="41">
        <v>2000</v>
      </c>
      <c r="O35">
        <v>7</v>
      </c>
      <c r="P35" s="32">
        <v>32</v>
      </c>
      <c r="Q35" s="32">
        <v>29</v>
      </c>
      <c r="R35">
        <v>22</v>
      </c>
    </row>
    <row r="36" spans="1:18" x14ac:dyDescent="0.2">
      <c r="A36" t="s">
        <v>283</v>
      </c>
      <c r="L36" t="s">
        <v>254</v>
      </c>
      <c r="M36" s="28" t="s">
        <v>246</v>
      </c>
      <c r="N36" s="41">
        <v>1000</v>
      </c>
      <c r="O36">
        <v>7</v>
      </c>
      <c r="P36" s="32">
        <v>32</v>
      </c>
      <c r="Q36" s="32">
        <v>29</v>
      </c>
      <c r="R36">
        <v>22</v>
      </c>
    </row>
    <row r="37" spans="1:18" x14ac:dyDescent="0.2">
      <c r="A37" t="s">
        <v>283</v>
      </c>
      <c r="L37" t="s">
        <v>256</v>
      </c>
      <c r="M37" s="28" t="s">
        <v>252</v>
      </c>
      <c r="N37">
        <v>500</v>
      </c>
      <c r="O37">
        <v>7</v>
      </c>
      <c r="P37" s="32">
        <v>32</v>
      </c>
      <c r="Q37" s="32">
        <v>29</v>
      </c>
      <c r="R37">
        <v>22</v>
      </c>
    </row>
    <row r="38" spans="1:18" x14ac:dyDescent="0.2">
      <c r="A38" t="s">
        <v>283</v>
      </c>
      <c r="L38" t="s">
        <v>316</v>
      </c>
      <c r="M38" s="28" t="s">
        <v>317</v>
      </c>
      <c r="N38">
        <v>1500</v>
      </c>
    </row>
    <row r="39" spans="1:18" x14ac:dyDescent="0.2">
      <c r="A39" t="s">
        <v>283</v>
      </c>
      <c r="L39" t="s">
        <v>315</v>
      </c>
      <c r="M39" s="28" t="s">
        <v>318</v>
      </c>
      <c r="N39">
        <v>1500</v>
      </c>
    </row>
    <row r="45" spans="1:18" x14ac:dyDescent="0.2">
      <c r="N45" s="41"/>
    </row>
    <row r="46" spans="1:18" x14ac:dyDescent="0.2">
      <c r="N46" s="41"/>
    </row>
    <row r="48" spans="1:18" x14ac:dyDescent="0.2">
      <c r="G48" s="28" t="s">
        <v>464</v>
      </c>
    </row>
    <row r="49" spans="7:7" x14ac:dyDescent="0.2">
      <c r="G49" s="28" t="s">
        <v>465</v>
      </c>
    </row>
  </sheetData>
  <phoneticPr fontId="3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4146-A8CF-6F4E-8123-1CAAC448536F}">
  <sheetPr>
    <tabColor rgb="FFFF0000"/>
  </sheetPr>
  <dimension ref="A1:AY129"/>
  <sheetViews>
    <sheetView tabSelected="1" zoomScale="140" zoomScaleNormal="140" workbookViewId="0">
      <pane xSplit="3" ySplit="1" topLeftCell="T52" activePane="bottomRight" state="frozen"/>
      <selection pane="topRight" activeCell="C1" sqref="C1"/>
      <selection pane="bottomLeft" activeCell="A2" sqref="A2"/>
      <selection pane="bottomRight" activeCell="A80" sqref="A80:XFD80"/>
    </sheetView>
  </sheetViews>
  <sheetFormatPr baseColWidth="10" defaultRowHeight="16" x14ac:dyDescent="0.2"/>
  <cols>
    <col min="1" max="1" width="14" style="45" bestFit="1" customWidth="1"/>
    <col min="2" max="2" width="14" customWidth="1"/>
    <col min="3" max="3" width="16.5" customWidth="1"/>
    <col min="4" max="4" width="15.33203125" customWidth="1"/>
    <col min="5" max="5" width="22.1640625" customWidth="1"/>
    <col min="6" max="6" width="15.83203125" customWidth="1"/>
    <col min="7" max="7" width="21" customWidth="1"/>
    <col min="8" max="8" width="17.1640625" customWidth="1"/>
    <col min="9" max="9" width="19.83203125" customWidth="1"/>
    <col min="10" max="10" width="17.1640625" customWidth="1"/>
    <col min="11" max="11" width="11.83203125" customWidth="1"/>
    <col min="12" max="12" width="10.6640625" customWidth="1"/>
    <col min="13" max="13" width="10" customWidth="1"/>
    <col min="14" max="15" width="11.83203125" customWidth="1"/>
    <col min="16" max="23" width="17" customWidth="1"/>
    <col min="24" max="24" width="17.1640625" customWidth="1"/>
    <col min="25" max="25" width="21.33203125" customWidth="1"/>
    <col min="26" max="26" width="21.1640625" customWidth="1"/>
    <col min="27" max="37" width="19.1640625" customWidth="1"/>
    <col min="38" max="38" width="14.33203125" customWidth="1"/>
    <col min="39" max="39" width="14.1640625" customWidth="1"/>
    <col min="40" max="40" width="16.1640625" customWidth="1"/>
    <col min="41" max="41" width="14.6640625" customWidth="1"/>
    <col min="42" max="42" width="13.33203125" style="18" customWidth="1"/>
    <col min="43" max="43" width="17" style="18" customWidth="1"/>
    <col min="44" max="44" width="12" style="18" customWidth="1"/>
    <col min="45" max="45" width="12.1640625" style="18" customWidth="1"/>
    <col min="46" max="46" width="18.1640625" customWidth="1"/>
    <col min="47" max="47" width="16.6640625" customWidth="1"/>
    <col min="48" max="48" width="16.1640625" customWidth="1"/>
  </cols>
  <sheetData>
    <row r="1" spans="1:51" s="39" customFormat="1" ht="51" x14ac:dyDescent="0.2">
      <c r="A1" s="45" t="s">
        <v>462</v>
      </c>
      <c r="B1" s="39" t="s">
        <v>644</v>
      </c>
      <c r="C1" s="39" t="s">
        <v>463</v>
      </c>
      <c r="D1" s="58" t="s">
        <v>660</v>
      </c>
      <c r="E1" s="58" t="s">
        <v>659</v>
      </c>
      <c r="F1" s="58" t="s">
        <v>658</v>
      </c>
      <c r="G1" s="58" t="s">
        <v>661</v>
      </c>
      <c r="H1" s="58" t="s">
        <v>710</v>
      </c>
      <c r="I1" s="58" t="s">
        <v>711</v>
      </c>
      <c r="J1" s="58" t="s">
        <v>712</v>
      </c>
      <c r="K1" s="17" t="s">
        <v>295</v>
      </c>
      <c r="L1" s="58" t="s">
        <v>624</v>
      </c>
      <c r="M1" s="58" t="s">
        <v>623</v>
      </c>
      <c r="N1" s="58" t="s">
        <v>625</v>
      </c>
      <c r="O1" s="58" t="s">
        <v>626</v>
      </c>
      <c r="P1" s="18" t="s">
        <v>629</v>
      </c>
      <c r="Q1" s="61" t="s">
        <v>630</v>
      </c>
      <c r="R1" s="60" t="s">
        <v>646</v>
      </c>
      <c r="S1" s="63" t="s">
        <v>647</v>
      </c>
      <c r="T1" s="68" t="s">
        <v>648</v>
      </c>
      <c r="U1" s="18" t="s">
        <v>649</v>
      </c>
      <c r="V1" s="58" t="s">
        <v>1093</v>
      </c>
      <c r="W1" s="65" t="s">
        <v>1094</v>
      </c>
      <c r="X1" s="66" t="s">
        <v>1095</v>
      </c>
      <c r="Y1" s="67" t="s">
        <v>1096</v>
      </c>
      <c r="Z1" s="69" t="s">
        <v>1097</v>
      </c>
      <c r="AA1" s="89" t="s">
        <v>650</v>
      </c>
      <c r="AB1" s="90" t="s">
        <v>651</v>
      </c>
      <c r="AC1" s="91" t="s">
        <v>652</v>
      </c>
      <c r="AD1" s="92" t="s">
        <v>653</v>
      </c>
      <c r="AE1" s="93" t="s">
        <v>654</v>
      </c>
      <c r="AF1" s="89" t="s">
        <v>655</v>
      </c>
      <c r="AG1" s="94" t="s">
        <v>1098</v>
      </c>
      <c r="AH1" s="95" t="s">
        <v>1099</v>
      </c>
      <c r="AI1" s="96" t="s">
        <v>1100</v>
      </c>
      <c r="AJ1" s="97" t="s">
        <v>1101</v>
      </c>
      <c r="AK1" s="98" t="s">
        <v>1102</v>
      </c>
      <c r="AL1" s="99" t="s">
        <v>762</v>
      </c>
      <c r="AM1" s="99" t="s">
        <v>760</v>
      </c>
      <c r="AN1" s="99" t="s">
        <v>763</v>
      </c>
      <c r="AO1" s="119" t="s">
        <v>772</v>
      </c>
      <c r="AP1" s="58" t="s">
        <v>770</v>
      </c>
      <c r="AQ1" s="58" t="s">
        <v>771</v>
      </c>
      <c r="AR1" s="99" t="s">
        <v>773</v>
      </c>
      <c r="AS1" s="58" t="s">
        <v>774</v>
      </c>
      <c r="AT1" s="99" t="s">
        <v>775</v>
      </c>
      <c r="AU1" s="58" t="s">
        <v>798</v>
      </c>
      <c r="AV1" s="58"/>
      <c r="AW1" s="39" t="s">
        <v>635</v>
      </c>
      <c r="AX1" s="52" t="s">
        <v>1104</v>
      </c>
      <c r="AY1" s="52" t="s">
        <v>1103</v>
      </c>
    </row>
    <row r="2" spans="1:51" s="39" customFormat="1" x14ac:dyDescent="0.2">
      <c r="A2" s="45" t="s">
        <v>6</v>
      </c>
      <c r="B2" s="39" t="s">
        <v>6</v>
      </c>
      <c r="C2" s="28" t="s">
        <v>466</v>
      </c>
      <c r="D2" s="28">
        <f>SUMIF(Master_Rack!$B$1:$B$265,Constraints!$C2,Master_Rack!$L$1:$L$265)</f>
        <v>90</v>
      </c>
      <c r="E2" s="28"/>
      <c r="F2" s="72"/>
      <c r="G2" s="72"/>
      <c r="H2" s="72"/>
      <c r="I2" s="72"/>
      <c r="J2" s="72"/>
      <c r="K2" t="s">
        <v>455</v>
      </c>
      <c r="L2" s="58"/>
      <c r="M2" s="58"/>
      <c r="N2" s="58"/>
      <c r="O2" s="58"/>
      <c r="P2" s="28">
        <f>SUMIF(Master_Rack!$B$1:$B$265,Constraints!$C2,Master_Rack!$AI$1:$AI$265)</f>
        <v>90</v>
      </c>
      <c r="Q2" s="28">
        <f>SUMIF(Master_Rack!$B$1:$B$265,Constraints!$C2,Master_Rack!$AL$1:$AL$265)</f>
        <v>0</v>
      </c>
      <c r="R2" s="28">
        <f>SUMIF(Master_Rack!$B$1:$B$265,Constraints!$C2,Master_Rack!$AO$1:$AO$265)</f>
        <v>0</v>
      </c>
      <c r="S2" s="28">
        <f>SUMIF(Master_Rack!$B$1:$B$265,Constraints!$C2,Master_Rack!$AR$1:$AR$265)</f>
        <v>0</v>
      </c>
      <c r="T2" s="28">
        <f>SUMIF(Master_Rack!$B$1:$B$265,Constraints!$C2,Master_Rack!$AU$1:$AU$265)</f>
        <v>0</v>
      </c>
      <c r="U2" s="28">
        <f>SUMIF(Master_Rack!$B$1:$B$265,Constraints!$C2,Master_Rack!$AX$1:$AX$265)</f>
        <v>0</v>
      </c>
      <c r="V2" s="45">
        <f>SUM(P2,U2)</f>
        <v>90</v>
      </c>
      <c r="W2" s="45">
        <f>SUM($P2,Q2,$U2)</f>
        <v>90</v>
      </c>
      <c r="X2" s="45">
        <f>SUM($P2,R2,$U2)</f>
        <v>90</v>
      </c>
      <c r="Y2" s="45">
        <f>SUM($P2,S2,$U2)</f>
        <v>90</v>
      </c>
      <c r="Z2" s="45">
        <f>SUM($P2,T2,$U2)</f>
        <v>90</v>
      </c>
      <c r="AA2" s="28">
        <f>COUNTIFS(Master_Rack!$B$1:$B$265,Constraints!$C2,Master_Rack!$AI$1:$AI$265, "&gt;0")</f>
        <v>6</v>
      </c>
      <c r="AB2" s="28">
        <f>COUNTIFS(Master_Rack!$B$1:$B$265,Constraints!$C2,Master_Rack!$AL$1:$AL$265, "&gt;0")</f>
        <v>0</v>
      </c>
      <c r="AC2" s="28">
        <f>COUNTIFS(Master_Rack!$B$1:$B$265,Constraints!$C2,Master_Rack!$AO$1:$AO$265, "&gt;0")</f>
        <v>0</v>
      </c>
      <c r="AD2" s="28">
        <f>COUNTIFS(Master_Rack!$B$1:$B$265,Constraints!$C2,Master_Rack!$AR$1:$AR$265, "&gt;0")</f>
        <v>0</v>
      </c>
      <c r="AE2" s="28">
        <f>COUNTIFS(Master_Rack!$B$1:$B$265,Constraints!$C2,Master_Rack!$AU$1:$AU$265, "&gt;0")</f>
        <v>0</v>
      </c>
      <c r="AF2" s="28">
        <f>COUNTIFS(Master_Rack!$B$1:$B$265,Constraints!$C2,Master_Rack!$AX$1:$AX$265, "&gt;0")</f>
        <v>0</v>
      </c>
      <c r="AG2" s="45">
        <f>SUM($AA2,$AF2)</f>
        <v>6</v>
      </c>
      <c r="AH2" s="45">
        <f>SUM($AA2,$AF2,AB2)</f>
        <v>6</v>
      </c>
      <c r="AI2" s="45">
        <f t="shared" ref="AI2:AK2" si="0">SUM($AA2,$AF2,AC2)</f>
        <v>6</v>
      </c>
      <c r="AJ2" s="45">
        <f t="shared" si="0"/>
        <v>6</v>
      </c>
      <c r="AK2" s="45">
        <f t="shared" si="0"/>
        <v>6</v>
      </c>
      <c r="AL2" s="45"/>
      <c r="AM2" s="71" t="s">
        <v>761</v>
      </c>
      <c r="AP2" s="58"/>
      <c r="AQ2" s="58"/>
      <c r="AR2" s="58"/>
      <c r="AS2" s="58"/>
    </row>
    <row r="3" spans="1:51" s="39" customFormat="1" x14ac:dyDescent="0.2">
      <c r="A3" s="45" t="s">
        <v>6</v>
      </c>
      <c r="B3" s="39" t="s">
        <v>6</v>
      </c>
      <c r="C3" s="28" t="s">
        <v>467</v>
      </c>
      <c r="D3" s="28">
        <f>SUMIF(Master_Rack!$B$1:$B$265,Constraints!$C3,Master_Rack!$L$1:$L$265)</f>
        <v>90</v>
      </c>
      <c r="E3" s="28"/>
      <c r="F3" s="72"/>
      <c r="G3" s="72"/>
      <c r="H3" s="72"/>
      <c r="I3" s="72"/>
      <c r="J3" s="72"/>
      <c r="K3" t="s">
        <v>455</v>
      </c>
      <c r="L3" s="58"/>
      <c r="M3" s="58"/>
      <c r="N3" s="58"/>
      <c r="O3" s="58"/>
      <c r="P3" s="28">
        <f>SUMIF(Master_Rack!$B$1:$B$265,Constraints!$C3,Master_Rack!$AI$1:$AI$265)</f>
        <v>60</v>
      </c>
      <c r="Q3" s="28">
        <f>SUMIF(Master_Rack!$B$1:$B$265,Constraints!$C3,Master_Rack!$AL$1:$AL$265)</f>
        <v>0</v>
      </c>
      <c r="R3" s="28">
        <f>SUMIF(Master_Rack!$B$1:$B$265,Constraints!$C3,Master_Rack!$AO$1:$AO$265)</f>
        <v>0</v>
      </c>
      <c r="S3" s="28">
        <f>SUMIF(Master_Rack!$B$1:$B$265,Constraints!$C3,Master_Rack!$AR$1:$AR$265)</f>
        <v>0</v>
      </c>
      <c r="T3" s="28">
        <f>SUMIF(Master_Rack!$B$1:$B$265,Constraints!$C3,Master_Rack!$AU$1:$AU$265)</f>
        <v>0</v>
      </c>
      <c r="U3" s="28">
        <f>SUMIF(Master_Rack!$B$1:$B$265,Constraints!$C3,Master_Rack!$AX$1:$AX$265)</f>
        <v>0</v>
      </c>
      <c r="V3" s="45">
        <f t="shared" ref="V3:V27" si="1">SUM(P3,U3)</f>
        <v>60</v>
      </c>
      <c r="W3" s="45">
        <f t="shared" ref="W3:W27" si="2">SUM($P3,Q3,$U3)</f>
        <v>60</v>
      </c>
      <c r="X3" s="45">
        <f t="shared" ref="X3:X27" si="3">SUM($P3,R3,$U3)</f>
        <v>60</v>
      </c>
      <c r="Y3" s="45">
        <f t="shared" ref="Y3:Y27" si="4">SUM($P3,S3,$U3)</f>
        <v>60</v>
      </c>
      <c r="Z3" s="45">
        <f t="shared" ref="Z3:Z27" si="5">SUM($P3,T3,$U3)</f>
        <v>60</v>
      </c>
      <c r="AA3" s="28">
        <f>COUNTIFS(Master_Rack!$B$1:$B$265,Constraints!$C3,Master_Rack!$AI$1:$AI$265, "&gt;0")</f>
        <v>6</v>
      </c>
      <c r="AB3" s="28">
        <f>COUNTIFS(Master_Rack!$B$1:$B$265,Constraints!$C3,Master_Rack!$AL$1:$AL$265, "&gt;0")</f>
        <v>0</v>
      </c>
      <c r="AC3" s="28">
        <f>COUNTIFS(Master_Rack!$B$1:$B$265,Constraints!$C3,Master_Rack!$AO$1:$AO$265, "&gt;0")</f>
        <v>0</v>
      </c>
      <c r="AD3" s="28">
        <f>COUNTIFS(Master_Rack!$B$1:$B$265,Constraints!$C3,Master_Rack!$AR$1:$AR$265, "&gt;0")</f>
        <v>0</v>
      </c>
      <c r="AE3" s="28">
        <f>COUNTIFS(Master_Rack!$B$1:$B$265,Constraints!$C3,Master_Rack!$AU$1:$AU$265, "&gt;0")</f>
        <v>0</v>
      </c>
      <c r="AF3" s="28">
        <f>COUNTIFS(Master_Rack!$B$1:$B$265,Constraints!$C3,Master_Rack!$AX$1:$AX$265, "&gt;0")</f>
        <v>0</v>
      </c>
      <c r="AG3" s="45">
        <f t="shared" ref="AG3:AG66" si="6">SUM($AA3,$AF3)</f>
        <v>6</v>
      </c>
      <c r="AH3" s="45">
        <f t="shared" ref="AH3:AH66" si="7">SUM($AA3,$AF3,AB3)</f>
        <v>6</v>
      </c>
      <c r="AI3" s="45">
        <f t="shared" ref="AI3:AI66" si="8">SUM($AA3,$AF3,AC3)</f>
        <v>6</v>
      </c>
      <c r="AJ3" s="45">
        <f t="shared" ref="AJ3:AJ66" si="9">SUM($AA3,$AF3,AD3)</f>
        <v>6</v>
      </c>
      <c r="AK3" s="45">
        <f t="shared" ref="AK3:AK66" si="10">SUM($AA3,$AF3,AE3)</f>
        <v>6</v>
      </c>
      <c r="AL3" s="45"/>
      <c r="AP3" s="58"/>
      <c r="AQ3" s="58"/>
      <c r="AR3" s="58"/>
      <c r="AS3" s="58"/>
    </row>
    <row r="4" spans="1:51" s="39" customFormat="1" x14ac:dyDescent="0.2">
      <c r="A4" s="45" t="s">
        <v>6</v>
      </c>
      <c r="B4" s="39" t="s">
        <v>6</v>
      </c>
      <c r="C4" s="28" t="s">
        <v>468</v>
      </c>
      <c r="D4" s="28">
        <f>SUMIF(Master_Rack!$B$1:$B$265,Constraints!$C4,Master_Rack!$L$1:$L$265)</f>
        <v>90</v>
      </c>
      <c r="E4" s="28"/>
      <c r="F4" s="72"/>
      <c r="G4" s="72"/>
      <c r="H4" s="72"/>
      <c r="I4" s="72"/>
      <c r="J4" s="72"/>
      <c r="K4" t="s">
        <v>455</v>
      </c>
      <c r="L4" s="58"/>
      <c r="M4" s="58"/>
      <c r="N4" s="58"/>
      <c r="O4" s="58"/>
      <c r="P4" s="28">
        <f>SUMIF(Master_Rack!$B$1:$B$265,Constraints!$C4,Master_Rack!$AI$1:$AI$265)</f>
        <v>90</v>
      </c>
      <c r="Q4" s="28">
        <f>SUMIF(Master_Rack!$B$1:$B$265,Constraints!$C4,Master_Rack!$AL$1:$AL$265)</f>
        <v>0</v>
      </c>
      <c r="R4" s="28">
        <f>SUMIF(Master_Rack!$B$1:$B$265,Constraints!$C4,Master_Rack!$AO$1:$AO$265)</f>
        <v>0</v>
      </c>
      <c r="S4" s="28">
        <f>SUMIF(Master_Rack!$B$1:$B$265,Constraints!$C4,Master_Rack!$AR$1:$AR$265)</f>
        <v>0</v>
      </c>
      <c r="T4" s="28">
        <f>SUMIF(Master_Rack!$B$1:$B$265,Constraints!$C4,Master_Rack!$AU$1:$AU$265)</f>
        <v>0</v>
      </c>
      <c r="U4" s="28">
        <f>SUMIF(Master_Rack!$B$1:$B$265,Constraints!$C4,Master_Rack!$AX$1:$AX$265)</f>
        <v>0</v>
      </c>
      <c r="V4" s="45">
        <f t="shared" si="1"/>
        <v>90</v>
      </c>
      <c r="W4" s="45">
        <f t="shared" si="2"/>
        <v>90</v>
      </c>
      <c r="X4" s="45">
        <f t="shared" si="3"/>
        <v>90</v>
      </c>
      <c r="Y4" s="45">
        <f t="shared" si="4"/>
        <v>90</v>
      </c>
      <c r="Z4" s="45">
        <f t="shared" si="5"/>
        <v>90</v>
      </c>
      <c r="AA4" s="28">
        <f>COUNTIFS(Master_Rack!$B$1:$B$265,Constraints!$C4,Master_Rack!$AI$1:$AI$265, "&gt;0")</f>
        <v>6</v>
      </c>
      <c r="AB4" s="28">
        <f>COUNTIFS(Master_Rack!$B$1:$B$265,Constraints!$C4,Master_Rack!$AL$1:$AL$265, "&gt;0")</f>
        <v>0</v>
      </c>
      <c r="AC4" s="28">
        <f>COUNTIFS(Master_Rack!$B$1:$B$265,Constraints!$C4,Master_Rack!$AO$1:$AO$265, "&gt;0")</f>
        <v>0</v>
      </c>
      <c r="AD4" s="28">
        <f>COUNTIFS(Master_Rack!$B$1:$B$265,Constraints!$C4,Master_Rack!$AR$1:$AR$265, "&gt;0")</f>
        <v>0</v>
      </c>
      <c r="AE4" s="28">
        <f>COUNTIFS(Master_Rack!$B$1:$B$265,Constraints!$C4,Master_Rack!$AU$1:$AU$265, "&gt;0")</f>
        <v>0</v>
      </c>
      <c r="AF4" s="28">
        <f>COUNTIFS(Master_Rack!$B$1:$B$265,Constraints!$C4,Master_Rack!$AX$1:$AX$265, "&gt;0")</f>
        <v>0</v>
      </c>
      <c r="AG4" s="45">
        <f t="shared" si="6"/>
        <v>6</v>
      </c>
      <c r="AH4" s="45">
        <f t="shared" si="7"/>
        <v>6</v>
      </c>
      <c r="AI4" s="45">
        <f t="shared" si="8"/>
        <v>6</v>
      </c>
      <c r="AJ4" s="45">
        <f t="shared" si="9"/>
        <v>6</v>
      </c>
      <c r="AK4" s="45">
        <f t="shared" si="10"/>
        <v>6</v>
      </c>
      <c r="AL4" s="45"/>
      <c r="AP4" s="58"/>
      <c r="AQ4" s="58"/>
      <c r="AR4" s="58"/>
      <c r="AS4" s="58"/>
    </row>
    <row r="5" spans="1:51" s="39" customFormat="1" x14ac:dyDescent="0.2">
      <c r="A5" s="45" t="s">
        <v>6</v>
      </c>
      <c r="B5" s="39" t="s">
        <v>6</v>
      </c>
      <c r="C5" s="28" t="s">
        <v>469</v>
      </c>
      <c r="D5" s="28">
        <f>SUMIF(Master_Rack!$B$1:$B$265,Constraints!$C5,Master_Rack!$L$1:$L$265)</f>
        <v>90</v>
      </c>
      <c r="E5" s="28"/>
      <c r="F5" s="72"/>
      <c r="G5" s="72"/>
      <c r="H5" s="72"/>
      <c r="I5" s="72"/>
      <c r="J5" s="72"/>
      <c r="K5" t="s">
        <v>455</v>
      </c>
      <c r="L5" s="58"/>
      <c r="M5" s="58"/>
      <c r="N5" s="58"/>
      <c r="O5" s="58"/>
      <c r="P5" s="28">
        <f>SUMIF(Master_Rack!$B$1:$B$265,Constraints!$C5,Master_Rack!$AI$1:$AI$265)</f>
        <v>60</v>
      </c>
      <c r="Q5" s="28">
        <f>SUMIF(Master_Rack!$B$1:$B$265,Constraints!$C5,Master_Rack!$AL$1:$AL$265)</f>
        <v>0</v>
      </c>
      <c r="R5" s="28">
        <f>SUMIF(Master_Rack!$B$1:$B$265,Constraints!$C5,Master_Rack!$AO$1:$AO$265)</f>
        <v>0</v>
      </c>
      <c r="S5" s="28">
        <f>SUMIF(Master_Rack!$B$1:$B$265,Constraints!$C5,Master_Rack!$AR$1:$AR$265)</f>
        <v>0</v>
      </c>
      <c r="T5" s="28">
        <f>SUMIF(Master_Rack!$B$1:$B$265,Constraints!$C5,Master_Rack!$AU$1:$AU$265)</f>
        <v>0</v>
      </c>
      <c r="U5" s="28">
        <f>SUMIF(Master_Rack!$B$1:$B$265,Constraints!$C5,Master_Rack!$AX$1:$AX$265)</f>
        <v>0</v>
      </c>
      <c r="V5" s="45">
        <f t="shared" si="1"/>
        <v>60</v>
      </c>
      <c r="W5" s="45">
        <f t="shared" si="2"/>
        <v>60</v>
      </c>
      <c r="X5" s="45">
        <f t="shared" si="3"/>
        <v>60</v>
      </c>
      <c r="Y5" s="45">
        <f t="shared" si="4"/>
        <v>60</v>
      </c>
      <c r="Z5" s="45">
        <f t="shared" si="5"/>
        <v>60</v>
      </c>
      <c r="AA5" s="28">
        <f>COUNTIFS(Master_Rack!$B$1:$B$265,Constraints!$C5,Master_Rack!$AI$1:$AI$265, "&gt;0")</f>
        <v>6</v>
      </c>
      <c r="AB5" s="28">
        <f>COUNTIFS(Master_Rack!$B$1:$B$265,Constraints!$C5,Master_Rack!$AL$1:$AL$265, "&gt;0")</f>
        <v>0</v>
      </c>
      <c r="AC5" s="28">
        <f>COUNTIFS(Master_Rack!$B$1:$B$265,Constraints!$C5,Master_Rack!$AO$1:$AO$265, "&gt;0")</f>
        <v>0</v>
      </c>
      <c r="AD5" s="28">
        <f>COUNTIFS(Master_Rack!$B$1:$B$265,Constraints!$C5,Master_Rack!$AR$1:$AR$265, "&gt;0")</f>
        <v>0</v>
      </c>
      <c r="AE5" s="28">
        <f>COUNTIFS(Master_Rack!$B$1:$B$265,Constraints!$C5,Master_Rack!$AU$1:$AU$265, "&gt;0")</f>
        <v>0</v>
      </c>
      <c r="AF5" s="28">
        <f>COUNTIFS(Master_Rack!$B$1:$B$265,Constraints!$C5,Master_Rack!$AX$1:$AX$265, "&gt;0")</f>
        <v>0</v>
      </c>
      <c r="AG5" s="45">
        <f t="shared" si="6"/>
        <v>6</v>
      </c>
      <c r="AH5" s="45">
        <f t="shared" si="7"/>
        <v>6</v>
      </c>
      <c r="AI5" s="45">
        <f t="shared" si="8"/>
        <v>6</v>
      </c>
      <c r="AJ5" s="45">
        <f t="shared" si="9"/>
        <v>6</v>
      </c>
      <c r="AK5" s="45">
        <f t="shared" si="10"/>
        <v>6</v>
      </c>
      <c r="AL5" s="45"/>
      <c r="AP5" s="58"/>
      <c r="AQ5" s="58"/>
      <c r="AR5" s="58"/>
      <c r="AS5" s="58"/>
    </row>
    <row r="6" spans="1:51" s="39" customFormat="1" x14ac:dyDescent="0.2">
      <c r="A6" s="45" t="s">
        <v>6</v>
      </c>
      <c r="B6" s="39" t="s">
        <v>6</v>
      </c>
      <c r="C6" s="28" t="s">
        <v>470</v>
      </c>
      <c r="D6" s="28">
        <f>SUMIF(Master_Rack!$B$1:$B$265,Constraints!$C6,Master_Rack!$L$1:$L$265)</f>
        <v>90</v>
      </c>
      <c r="E6" s="28"/>
      <c r="F6" s="72"/>
      <c r="G6" s="72"/>
      <c r="H6" s="72"/>
      <c r="I6" s="72"/>
      <c r="J6" s="72"/>
      <c r="K6" t="s">
        <v>455</v>
      </c>
      <c r="L6" s="58"/>
      <c r="M6" s="58"/>
      <c r="N6" s="58"/>
      <c r="O6" s="58"/>
      <c r="P6" s="28">
        <f>SUMIF(Master_Rack!$B$1:$B$265,Constraints!$C6,Master_Rack!$AI$1:$AI$265)</f>
        <v>90</v>
      </c>
      <c r="Q6" s="28">
        <f>SUMIF(Master_Rack!$B$1:$B$265,Constraints!$C6,Master_Rack!$AL$1:$AL$265)</f>
        <v>0</v>
      </c>
      <c r="R6" s="28">
        <f>SUMIF(Master_Rack!$B$1:$B$265,Constraints!$C6,Master_Rack!$AO$1:$AO$265)</f>
        <v>0</v>
      </c>
      <c r="S6" s="28">
        <f>SUMIF(Master_Rack!$B$1:$B$265,Constraints!$C6,Master_Rack!$AR$1:$AR$265)</f>
        <v>0</v>
      </c>
      <c r="T6" s="28">
        <f>SUMIF(Master_Rack!$B$1:$B$265,Constraints!$C6,Master_Rack!$AU$1:$AU$265)</f>
        <v>0</v>
      </c>
      <c r="U6" s="28">
        <f>SUMIF(Master_Rack!$B$1:$B$265,Constraints!$C6,Master_Rack!$AX$1:$AX$265)</f>
        <v>0</v>
      </c>
      <c r="V6" s="45">
        <f t="shared" si="1"/>
        <v>90</v>
      </c>
      <c r="W6" s="45">
        <f t="shared" si="2"/>
        <v>90</v>
      </c>
      <c r="X6" s="45">
        <f t="shared" si="3"/>
        <v>90</v>
      </c>
      <c r="Y6" s="45">
        <f t="shared" si="4"/>
        <v>90</v>
      </c>
      <c r="Z6" s="45">
        <f t="shared" si="5"/>
        <v>90</v>
      </c>
      <c r="AA6" s="28">
        <f>COUNTIFS(Master_Rack!$B$1:$B$265,Constraints!$C6,Master_Rack!$AI$1:$AI$265, "&gt;0")</f>
        <v>6</v>
      </c>
      <c r="AB6" s="28">
        <f>COUNTIFS(Master_Rack!$B$1:$B$265,Constraints!$C6,Master_Rack!$AL$1:$AL$265, "&gt;0")</f>
        <v>0</v>
      </c>
      <c r="AC6" s="28">
        <f>COUNTIFS(Master_Rack!$B$1:$B$265,Constraints!$C6,Master_Rack!$AO$1:$AO$265, "&gt;0")</f>
        <v>0</v>
      </c>
      <c r="AD6" s="28">
        <f>COUNTIFS(Master_Rack!$B$1:$B$265,Constraints!$C6,Master_Rack!$AR$1:$AR$265, "&gt;0")</f>
        <v>0</v>
      </c>
      <c r="AE6" s="28">
        <f>COUNTIFS(Master_Rack!$B$1:$B$265,Constraints!$C6,Master_Rack!$AU$1:$AU$265, "&gt;0")</f>
        <v>0</v>
      </c>
      <c r="AF6" s="28">
        <f>COUNTIFS(Master_Rack!$B$1:$B$265,Constraints!$C6,Master_Rack!$AX$1:$AX$265, "&gt;0")</f>
        <v>0</v>
      </c>
      <c r="AG6" s="45">
        <f t="shared" si="6"/>
        <v>6</v>
      </c>
      <c r="AH6" s="45">
        <f t="shared" si="7"/>
        <v>6</v>
      </c>
      <c r="AI6" s="45">
        <f t="shared" si="8"/>
        <v>6</v>
      </c>
      <c r="AJ6" s="45">
        <f t="shared" si="9"/>
        <v>6</v>
      </c>
      <c r="AK6" s="45">
        <f t="shared" si="10"/>
        <v>6</v>
      </c>
      <c r="AL6" s="45"/>
      <c r="AP6" s="58"/>
      <c r="AQ6" s="58"/>
      <c r="AR6" s="58"/>
      <c r="AS6" s="58"/>
    </row>
    <row r="7" spans="1:51" s="39" customFormat="1" x14ac:dyDescent="0.2">
      <c r="A7" s="45" t="s">
        <v>6</v>
      </c>
      <c r="B7" s="39" t="s">
        <v>6</v>
      </c>
      <c r="C7" s="28" t="s">
        <v>471</v>
      </c>
      <c r="D7" s="28">
        <f>SUMIF(Master_Rack!$B$1:$B$265,Constraints!$C7,Master_Rack!$L$1:$L$265)</f>
        <v>90</v>
      </c>
      <c r="E7" s="28"/>
      <c r="F7" s="72"/>
      <c r="G7" s="72"/>
      <c r="H7" s="72"/>
      <c r="I7" s="72"/>
      <c r="J7" s="72"/>
      <c r="K7" t="s">
        <v>455</v>
      </c>
      <c r="L7" s="58"/>
      <c r="M7" s="58"/>
      <c r="N7" s="58"/>
      <c r="O7" s="58"/>
      <c r="P7" s="28">
        <f>SUMIF(Master_Rack!$B$1:$B$265,Constraints!$C7,Master_Rack!$AI$1:$AI$265)</f>
        <v>60</v>
      </c>
      <c r="Q7" s="28">
        <f>SUMIF(Master_Rack!$B$1:$B$265,Constraints!$C7,Master_Rack!$AL$1:$AL$265)</f>
        <v>0</v>
      </c>
      <c r="R7" s="28">
        <f>SUMIF(Master_Rack!$B$1:$B$265,Constraints!$C7,Master_Rack!$AO$1:$AO$265)</f>
        <v>0</v>
      </c>
      <c r="S7" s="28">
        <f>SUMIF(Master_Rack!$B$1:$B$265,Constraints!$C7,Master_Rack!$AR$1:$AR$265)</f>
        <v>0</v>
      </c>
      <c r="T7" s="28">
        <f>SUMIF(Master_Rack!$B$1:$B$265,Constraints!$C7,Master_Rack!$AU$1:$AU$265)</f>
        <v>0</v>
      </c>
      <c r="U7" s="28">
        <f>SUMIF(Master_Rack!$B$1:$B$265,Constraints!$C7,Master_Rack!$AX$1:$AX$265)</f>
        <v>0</v>
      </c>
      <c r="V7" s="45">
        <f t="shared" si="1"/>
        <v>60</v>
      </c>
      <c r="W7" s="45">
        <f>SUM($P7,Q7,$U7)</f>
        <v>60</v>
      </c>
      <c r="X7" s="45">
        <f t="shared" si="3"/>
        <v>60</v>
      </c>
      <c r="Y7" s="45">
        <f t="shared" si="4"/>
        <v>60</v>
      </c>
      <c r="Z7" s="45">
        <f t="shared" si="5"/>
        <v>60</v>
      </c>
      <c r="AA7" s="28">
        <f>COUNTIFS(Master_Rack!$B$1:$B$265,Constraints!$C7,Master_Rack!$AI$1:$AI$265, "&gt;0")</f>
        <v>6</v>
      </c>
      <c r="AB7" s="28">
        <f>COUNTIFS(Master_Rack!$B$1:$B$265,Constraints!$C7,Master_Rack!$AL$1:$AL$265, "&gt;0")</f>
        <v>0</v>
      </c>
      <c r="AC7" s="28">
        <f>COUNTIFS(Master_Rack!$B$1:$B$265,Constraints!$C7,Master_Rack!$AO$1:$AO$265, "&gt;0")</f>
        <v>0</v>
      </c>
      <c r="AD7" s="28">
        <f>COUNTIFS(Master_Rack!$B$1:$B$265,Constraints!$C7,Master_Rack!$AR$1:$AR$265, "&gt;0")</f>
        <v>0</v>
      </c>
      <c r="AE7" s="28">
        <f>COUNTIFS(Master_Rack!$B$1:$B$265,Constraints!$C7,Master_Rack!$AU$1:$AU$265, "&gt;0")</f>
        <v>0</v>
      </c>
      <c r="AF7" s="28">
        <f>COUNTIFS(Master_Rack!$B$1:$B$265,Constraints!$C7,Master_Rack!$AX$1:$AX$265, "&gt;0")</f>
        <v>0</v>
      </c>
      <c r="AG7" s="45">
        <f t="shared" si="6"/>
        <v>6</v>
      </c>
      <c r="AH7" s="45">
        <f t="shared" si="7"/>
        <v>6</v>
      </c>
      <c r="AI7" s="45">
        <f t="shared" si="8"/>
        <v>6</v>
      </c>
      <c r="AJ7" s="45">
        <f t="shared" si="9"/>
        <v>6</v>
      </c>
      <c r="AK7" s="45">
        <f t="shared" si="10"/>
        <v>6</v>
      </c>
      <c r="AL7" s="45"/>
      <c r="AP7" s="58"/>
      <c r="AQ7" s="58"/>
      <c r="AR7" s="58"/>
      <c r="AS7" s="58"/>
    </row>
    <row r="8" spans="1:51" s="39" customFormat="1" x14ac:dyDescent="0.2">
      <c r="A8" s="45" t="s">
        <v>6</v>
      </c>
      <c r="B8" s="39" t="s">
        <v>6</v>
      </c>
      <c r="C8" s="28" t="s">
        <v>472</v>
      </c>
      <c r="D8" s="28">
        <f>SUMIF(Master_Rack!$B$1:$B$265,Constraints!$C8,Master_Rack!$L$1:$L$265)</f>
        <v>90</v>
      </c>
      <c r="E8" s="28"/>
      <c r="F8" s="72"/>
      <c r="G8" s="72"/>
      <c r="H8" s="72"/>
      <c r="I8" s="72"/>
      <c r="J8" s="72"/>
      <c r="K8" t="s">
        <v>455</v>
      </c>
      <c r="L8" s="58"/>
      <c r="M8" s="58"/>
      <c r="N8" s="58"/>
      <c r="O8" s="58"/>
      <c r="P8" s="28">
        <f>SUMIF(Master_Rack!$B$1:$B$265,Constraints!$C8,Master_Rack!$AI$1:$AI$265)</f>
        <v>0</v>
      </c>
      <c r="Q8" s="28">
        <f>SUMIF(Master_Rack!$B$1:$B$265,Constraints!$C8,Master_Rack!$AL$1:$AL$265)</f>
        <v>0</v>
      </c>
      <c r="R8" s="28">
        <f>SUMIF(Master_Rack!$B$1:$B$265,Constraints!$C8,Master_Rack!$AO$1:$AO$265)</f>
        <v>0</v>
      </c>
      <c r="S8" s="28">
        <f>SUMIF(Master_Rack!$B$1:$B$265,Constraints!$C8,Master_Rack!$AR$1:$AR$265)</f>
        <v>0</v>
      </c>
      <c r="T8" s="28">
        <f>SUMIF(Master_Rack!$B$1:$B$265,Constraints!$C8,Master_Rack!$AU$1:$AU$265)</f>
        <v>0</v>
      </c>
      <c r="U8" s="28">
        <f>SUMIF(Master_Rack!$B$1:$B$265,Constraints!$C8,Master_Rack!$AX$1:$AX$265)</f>
        <v>0</v>
      </c>
      <c r="V8" s="45">
        <f t="shared" si="1"/>
        <v>0</v>
      </c>
      <c r="W8" s="45">
        <f t="shared" si="2"/>
        <v>0</v>
      </c>
      <c r="X8" s="45">
        <f t="shared" si="3"/>
        <v>0</v>
      </c>
      <c r="Y8" s="45">
        <f t="shared" si="4"/>
        <v>0</v>
      </c>
      <c r="Z8" s="45">
        <f t="shared" si="5"/>
        <v>0</v>
      </c>
      <c r="AA8" s="28">
        <f>COUNTIFS(Master_Rack!$B$1:$B$265,Constraints!$C8,Master_Rack!$AI$1:$AI$265, "&gt;0")</f>
        <v>0</v>
      </c>
      <c r="AB8" s="28">
        <f>COUNTIFS(Master_Rack!$B$1:$B$265,Constraints!$C8,Master_Rack!$AL$1:$AL$265, "&gt;0")</f>
        <v>0</v>
      </c>
      <c r="AC8" s="28">
        <f>COUNTIFS(Master_Rack!$B$1:$B$265,Constraints!$C8,Master_Rack!$AO$1:$AO$265, "&gt;0")</f>
        <v>0</v>
      </c>
      <c r="AD8" s="28">
        <f>COUNTIFS(Master_Rack!$B$1:$B$265,Constraints!$C8,Master_Rack!$AR$1:$AR$265, "&gt;0")</f>
        <v>0</v>
      </c>
      <c r="AE8" s="28">
        <f>COUNTIFS(Master_Rack!$B$1:$B$265,Constraints!$C8,Master_Rack!$AU$1:$AU$265, "&gt;0")</f>
        <v>0</v>
      </c>
      <c r="AF8" s="28">
        <f>COUNTIFS(Master_Rack!$B$1:$B$265,Constraints!$C8,Master_Rack!$AX$1:$AX$265, "&gt;0")</f>
        <v>0</v>
      </c>
      <c r="AG8" s="45">
        <f t="shared" si="6"/>
        <v>0</v>
      </c>
      <c r="AH8" s="45">
        <f t="shared" si="7"/>
        <v>0</v>
      </c>
      <c r="AI8" s="45">
        <f t="shared" si="8"/>
        <v>0</v>
      </c>
      <c r="AJ8" s="45">
        <f t="shared" si="9"/>
        <v>0</v>
      </c>
      <c r="AK8" s="45">
        <f t="shared" si="10"/>
        <v>0</v>
      </c>
      <c r="AL8" s="45"/>
      <c r="AP8" s="58"/>
      <c r="AQ8" s="58"/>
      <c r="AR8" s="58"/>
      <c r="AS8" s="58"/>
    </row>
    <row r="9" spans="1:51" s="39" customFormat="1" x14ac:dyDescent="0.2">
      <c r="A9" s="45" t="s">
        <v>6</v>
      </c>
      <c r="B9" s="39" t="s">
        <v>6</v>
      </c>
      <c r="C9" s="28" t="s">
        <v>473</v>
      </c>
      <c r="D9" s="28">
        <f>SUMIF(Master_Rack!$B$1:$B$265,Constraints!$C9,Master_Rack!$L$1:$L$265)</f>
        <v>90</v>
      </c>
      <c r="E9" s="28"/>
      <c r="F9" s="72"/>
      <c r="G9" s="72"/>
      <c r="H9" s="72"/>
      <c r="I9" s="72"/>
      <c r="J9" s="72"/>
      <c r="K9" t="s">
        <v>455</v>
      </c>
      <c r="L9" s="58"/>
      <c r="M9" s="58"/>
      <c r="N9" s="58"/>
      <c r="O9" s="58"/>
      <c r="P9" s="28">
        <f>SUMIF(Master_Rack!$B$1:$B$265,Constraints!$C9,Master_Rack!$AI$1:$AI$265)</f>
        <v>0</v>
      </c>
      <c r="Q9" s="28">
        <f>SUMIF(Master_Rack!$B$1:$B$265,Constraints!$C9,Master_Rack!$AL$1:$AL$265)</f>
        <v>0</v>
      </c>
      <c r="R9" s="28">
        <f>SUMIF(Master_Rack!$B$1:$B$265,Constraints!$C9,Master_Rack!$AO$1:$AO$265)</f>
        <v>0</v>
      </c>
      <c r="S9" s="28">
        <f>SUMIF(Master_Rack!$B$1:$B$265,Constraints!$C9,Master_Rack!$AR$1:$AR$265)</f>
        <v>0</v>
      </c>
      <c r="T9" s="28">
        <f>SUMIF(Master_Rack!$B$1:$B$265,Constraints!$C9,Master_Rack!$AU$1:$AU$265)</f>
        <v>0</v>
      </c>
      <c r="U9" s="28">
        <f>SUMIF(Master_Rack!$B$1:$B$265,Constraints!$C9,Master_Rack!$AX$1:$AX$265)</f>
        <v>0</v>
      </c>
      <c r="V9" s="45">
        <f t="shared" si="1"/>
        <v>0</v>
      </c>
      <c r="W9" s="45">
        <f t="shared" si="2"/>
        <v>0</v>
      </c>
      <c r="X9" s="45">
        <f t="shared" si="3"/>
        <v>0</v>
      </c>
      <c r="Y9" s="45">
        <f t="shared" si="4"/>
        <v>0</v>
      </c>
      <c r="Z9" s="45">
        <f t="shared" si="5"/>
        <v>0</v>
      </c>
      <c r="AA9" s="28">
        <f>COUNTIFS(Master_Rack!$B$1:$B$265,Constraints!$C9,Master_Rack!$AI$1:$AI$265, "&gt;0")</f>
        <v>0</v>
      </c>
      <c r="AB9" s="28">
        <f>COUNTIFS(Master_Rack!$B$1:$B$265,Constraints!$C9,Master_Rack!$AL$1:$AL$265, "&gt;0")</f>
        <v>0</v>
      </c>
      <c r="AC9" s="28">
        <f>COUNTIFS(Master_Rack!$B$1:$B$265,Constraints!$C9,Master_Rack!$AO$1:$AO$265, "&gt;0")</f>
        <v>0</v>
      </c>
      <c r="AD9" s="28">
        <f>COUNTIFS(Master_Rack!$B$1:$B$265,Constraints!$C9,Master_Rack!$AR$1:$AR$265, "&gt;0")</f>
        <v>0</v>
      </c>
      <c r="AE9" s="28">
        <f>COUNTIFS(Master_Rack!$B$1:$B$265,Constraints!$C9,Master_Rack!$AU$1:$AU$265, "&gt;0")</f>
        <v>0</v>
      </c>
      <c r="AF9" s="28">
        <f>COUNTIFS(Master_Rack!$B$1:$B$265,Constraints!$C9,Master_Rack!$AX$1:$AX$265, "&gt;0")</f>
        <v>0</v>
      </c>
      <c r="AG9" s="45">
        <f t="shared" si="6"/>
        <v>0</v>
      </c>
      <c r="AH9" s="45">
        <f t="shared" si="7"/>
        <v>0</v>
      </c>
      <c r="AI9" s="45">
        <f t="shared" si="8"/>
        <v>0</v>
      </c>
      <c r="AJ9" s="45">
        <f t="shared" si="9"/>
        <v>0</v>
      </c>
      <c r="AK9" s="45">
        <f t="shared" si="10"/>
        <v>0</v>
      </c>
      <c r="AL9" s="45"/>
      <c r="AP9" s="58"/>
      <c r="AQ9" s="58"/>
      <c r="AR9" s="58"/>
      <c r="AS9" s="58"/>
    </row>
    <row r="10" spans="1:51" s="39" customFormat="1" x14ac:dyDescent="0.2">
      <c r="A10" s="45" t="s">
        <v>6</v>
      </c>
      <c r="B10" s="39" t="s">
        <v>6</v>
      </c>
      <c r="C10" s="28" t="s">
        <v>84</v>
      </c>
      <c r="D10" s="28">
        <f>SUMIF(Master_Rack!$B$1:$B$265,Constraints!$C10,Master_Rack!$L$1:$L$265)</f>
        <v>360</v>
      </c>
      <c r="E10" s="28"/>
      <c r="F10" s="72"/>
      <c r="G10" s="72"/>
      <c r="H10" s="72"/>
      <c r="I10" s="72"/>
      <c r="J10" s="72"/>
      <c r="K10" t="s">
        <v>385</v>
      </c>
      <c r="L10" s="58"/>
      <c r="M10" s="58"/>
      <c r="N10" s="58"/>
      <c r="O10" s="58"/>
      <c r="P10" s="28">
        <f>SUMIF(Master_Rack!$B$1:$B$265,Constraints!$C10,Master_Rack!$AI$1:$AI$265)</f>
        <v>0</v>
      </c>
      <c r="Q10" s="28">
        <f>SUMIF(Master_Rack!$B$1:$B$265,Constraints!$C10,Master_Rack!$AL$1:$AL$265)</f>
        <v>360</v>
      </c>
      <c r="R10" s="28">
        <f>SUMIF(Master_Rack!$B$1:$B$265,Constraints!$C10,Master_Rack!$AO$1:$AO$265)</f>
        <v>240</v>
      </c>
      <c r="S10" s="28">
        <f>SUMIF(Master_Rack!$B$1:$B$265,Constraints!$C10,Master_Rack!$AR$1:$AR$265)</f>
        <v>0</v>
      </c>
      <c r="T10" s="28">
        <f>SUMIF(Master_Rack!$B$1:$B$265,Constraints!$C10,Master_Rack!$AU$1:$AU$265)</f>
        <v>0</v>
      </c>
      <c r="U10" s="28">
        <f>SUMIF(Master_Rack!$B$1:$B$265,Constraints!$C10,Master_Rack!$AX$1:$AX$265)</f>
        <v>0</v>
      </c>
      <c r="V10" s="45">
        <f t="shared" si="1"/>
        <v>0</v>
      </c>
      <c r="W10" s="45">
        <f t="shared" si="2"/>
        <v>360</v>
      </c>
      <c r="X10" s="45">
        <f t="shared" si="3"/>
        <v>240</v>
      </c>
      <c r="Y10" s="45">
        <f t="shared" si="4"/>
        <v>0</v>
      </c>
      <c r="Z10" s="45">
        <f t="shared" si="5"/>
        <v>0</v>
      </c>
      <c r="AA10" s="28">
        <f>COUNTIFS(Master_Rack!$B$1:$B$265,Constraints!$C10,Master_Rack!$AI$1:$AI$265, "&gt;0")</f>
        <v>0</v>
      </c>
      <c r="AB10" s="28">
        <f>COUNTIFS(Master_Rack!$B$1:$B$265,Constraints!$C10,Master_Rack!$AL$1:$AL$265, "&gt;0")</f>
        <v>12</v>
      </c>
      <c r="AC10" s="28">
        <f>COUNTIFS(Master_Rack!$B$1:$B$265,Constraints!$C10,Master_Rack!$AO$1:$AO$265, "&gt;0")</f>
        <v>8</v>
      </c>
      <c r="AD10" s="28">
        <f>COUNTIFS(Master_Rack!$B$1:$B$265,Constraints!$C10,Master_Rack!$AR$1:$AR$265, "&gt;0")</f>
        <v>0</v>
      </c>
      <c r="AE10" s="28">
        <f>COUNTIFS(Master_Rack!$B$1:$B$265,Constraints!$C10,Master_Rack!$AU$1:$AU$265, "&gt;0")</f>
        <v>0</v>
      </c>
      <c r="AF10" s="28">
        <f>COUNTIFS(Master_Rack!$B$1:$B$265,Constraints!$C10,Master_Rack!$AX$1:$AX$265, "&gt;0")</f>
        <v>0</v>
      </c>
      <c r="AG10" s="45">
        <f t="shared" si="6"/>
        <v>0</v>
      </c>
      <c r="AH10" s="45">
        <f t="shared" si="7"/>
        <v>12</v>
      </c>
      <c r="AI10" s="45">
        <f t="shared" si="8"/>
        <v>8</v>
      </c>
      <c r="AJ10" s="45">
        <f t="shared" si="9"/>
        <v>0</v>
      </c>
      <c r="AK10" s="45">
        <f t="shared" si="10"/>
        <v>0</v>
      </c>
      <c r="AL10" s="45"/>
      <c r="AP10" s="58"/>
      <c r="AQ10" s="58"/>
      <c r="AR10" s="58"/>
      <c r="AS10" s="58"/>
    </row>
    <row r="11" spans="1:51" s="39" customFormat="1" x14ac:dyDescent="0.2">
      <c r="A11" s="45" t="s">
        <v>6</v>
      </c>
      <c r="B11" s="39" t="s">
        <v>6</v>
      </c>
      <c r="C11" s="28" t="s">
        <v>97</v>
      </c>
      <c r="D11" s="28">
        <f>SUMIF(Master_Rack!$B$1:$B$265,Constraints!$C11,Master_Rack!$L$1:$L$265)</f>
        <v>360</v>
      </c>
      <c r="E11" s="28"/>
      <c r="F11" s="72"/>
      <c r="G11" s="72"/>
      <c r="H11" s="72"/>
      <c r="I11" s="72"/>
      <c r="J11" s="72"/>
      <c r="K11" t="s">
        <v>385</v>
      </c>
      <c r="L11" s="58"/>
      <c r="M11" s="58"/>
      <c r="N11" s="58"/>
      <c r="O11" s="58"/>
      <c r="P11" s="28">
        <f>SUMIF(Master_Rack!$B$1:$B$265,Constraints!$C11,Master_Rack!$AI$1:$AI$265)</f>
        <v>0</v>
      </c>
      <c r="Q11" s="28">
        <f>SUMIF(Master_Rack!$B$1:$B$265,Constraints!$C11,Master_Rack!$AL$1:$AL$265)</f>
        <v>120</v>
      </c>
      <c r="R11" s="28">
        <f>SUMIF(Master_Rack!$B$1:$B$265,Constraints!$C11,Master_Rack!$AO$1:$AO$265)</f>
        <v>300</v>
      </c>
      <c r="S11" s="28">
        <f>SUMIF(Master_Rack!$B$1:$B$265,Constraints!$C11,Master_Rack!$AR$1:$AR$265)</f>
        <v>0</v>
      </c>
      <c r="T11" s="28">
        <f>SUMIF(Master_Rack!$B$1:$B$265,Constraints!$C11,Master_Rack!$AU$1:$AU$265)</f>
        <v>0</v>
      </c>
      <c r="U11" s="28">
        <f>SUMIF(Master_Rack!$B$1:$B$265,Constraints!$C11,Master_Rack!$AX$1:$AX$265)</f>
        <v>0</v>
      </c>
      <c r="V11" s="45">
        <f t="shared" si="1"/>
        <v>0</v>
      </c>
      <c r="W11" s="45">
        <f t="shared" si="2"/>
        <v>120</v>
      </c>
      <c r="X11" s="45">
        <f t="shared" si="3"/>
        <v>300</v>
      </c>
      <c r="Y11" s="45">
        <f t="shared" si="4"/>
        <v>0</v>
      </c>
      <c r="Z11" s="45">
        <f t="shared" si="5"/>
        <v>0</v>
      </c>
      <c r="AA11" s="28">
        <f>COUNTIFS(Master_Rack!$B$1:$B$265,Constraints!$C11,Master_Rack!$AI$1:$AI$265, "&gt;0")</f>
        <v>0</v>
      </c>
      <c r="AB11" s="28">
        <f>COUNTIFS(Master_Rack!$B$1:$B$265,Constraints!$C11,Master_Rack!$AL$1:$AL$265, "&gt;0")</f>
        <v>4</v>
      </c>
      <c r="AC11" s="28">
        <f>COUNTIFS(Master_Rack!$B$1:$B$265,Constraints!$C11,Master_Rack!$AO$1:$AO$265, "&gt;0")</f>
        <v>10</v>
      </c>
      <c r="AD11" s="28">
        <f>COUNTIFS(Master_Rack!$B$1:$B$265,Constraints!$C11,Master_Rack!$AR$1:$AR$265, "&gt;0")</f>
        <v>0</v>
      </c>
      <c r="AE11" s="28">
        <f>COUNTIFS(Master_Rack!$B$1:$B$265,Constraints!$C11,Master_Rack!$AU$1:$AU$265, "&gt;0")</f>
        <v>0</v>
      </c>
      <c r="AF11" s="28">
        <f>COUNTIFS(Master_Rack!$B$1:$B$265,Constraints!$C11,Master_Rack!$AX$1:$AX$265, "&gt;0")</f>
        <v>0</v>
      </c>
      <c r="AG11" s="45">
        <f t="shared" si="6"/>
        <v>0</v>
      </c>
      <c r="AH11" s="45">
        <f t="shared" si="7"/>
        <v>4</v>
      </c>
      <c r="AI11" s="45">
        <f t="shared" si="8"/>
        <v>10</v>
      </c>
      <c r="AJ11" s="45">
        <f t="shared" si="9"/>
        <v>0</v>
      </c>
      <c r="AK11" s="45">
        <f t="shared" si="10"/>
        <v>0</v>
      </c>
      <c r="AL11" s="45"/>
      <c r="AP11" s="58"/>
      <c r="AQ11" s="58"/>
      <c r="AR11" s="58"/>
      <c r="AS11" s="58"/>
    </row>
    <row r="12" spans="1:51" s="39" customFormat="1" x14ac:dyDescent="0.2">
      <c r="A12" s="45" t="s">
        <v>6</v>
      </c>
      <c r="B12" s="39" t="s">
        <v>6</v>
      </c>
      <c r="C12" s="28" t="s">
        <v>111</v>
      </c>
      <c r="D12" s="28">
        <f>SUMIF(Master_Rack!$B$1:$B$265,Constraints!$C12,Master_Rack!$L$1:$L$265)</f>
        <v>360</v>
      </c>
      <c r="E12" s="28"/>
      <c r="F12" s="72"/>
      <c r="G12" s="72"/>
      <c r="H12" s="72"/>
      <c r="I12" s="72"/>
      <c r="J12" s="72"/>
      <c r="K12" t="s">
        <v>385</v>
      </c>
      <c r="L12" s="58"/>
      <c r="M12" s="58"/>
      <c r="N12" s="58"/>
      <c r="O12" s="58"/>
      <c r="P12" s="28">
        <f>SUMIF(Master_Rack!$B$1:$B$265,Constraints!$C12,Master_Rack!$AI$1:$AI$265)</f>
        <v>0</v>
      </c>
      <c r="Q12" s="28">
        <f>SUMIF(Master_Rack!$B$1:$B$265,Constraints!$C12,Master_Rack!$AL$1:$AL$265)</f>
        <v>360</v>
      </c>
      <c r="R12" s="28">
        <f>SUMIF(Master_Rack!$B$1:$B$265,Constraints!$C12,Master_Rack!$AO$1:$AO$265)</f>
        <v>240</v>
      </c>
      <c r="S12" s="28">
        <f>SUMIF(Master_Rack!$B$1:$B$265,Constraints!$C12,Master_Rack!$AR$1:$AR$265)</f>
        <v>0</v>
      </c>
      <c r="T12" s="28">
        <f>SUMIF(Master_Rack!$B$1:$B$265,Constraints!$C12,Master_Rack!$AU$1:$AU$265)</f>
        <v>0</v>
      </c>
      <c r="U12" s="28">
        <f>SUMIF(Master_Rack!$B$1:$B$265,Constraints!$C12,Master_Rack!$AX$1:$AX$265)</f>
        <v>0</v>
      </c>
      <c r="V12" s="45">
        <f t="shared" si="1"/>
        <v>0</v>
      </c>
      <c r="W12" s="45">
        <f t="shared" si="2"/>
        <v>360</v>
      </c>
      <c r="X12" s="45">
        <f t="shared" si="3"/>
        <v>240</v>
      </c>
      <c r="Y12" s="45">
        <f t="shared" si="4"/>
        <v>0</v>
      </c>
      <c r="Z12" s="45">
        <f t="shared" si="5"/>
        <v>0</v>
      </c>
      <c r="AA12" s="28">
        <f>COUNTIFS(Master_Rack!$B$1:$B$265,Constraints!$C12,Master_Rack!$AI$1:$AI$265, "&gt;0")</f>
        <v>0</v>
      </c>
      <c r="AB12" s="28">
        <f>COUNTIFS(Master_Rack!$B$1:$B$265,Constraints!$C12,Master_Rack!$AL$1:$AL$265, "&gt;0")</f>
        <v>12</v>
      </c>
      <c r="AC12" s="28">
        <f>COUNTIFS(Master_Rack!$B$1:$B$265,Constraints!$C12,Master_Rack!$AO$1:$AO$265, "&gt;0")</f>
        <v>8</v>
      </c>
      <c r="AD12" s="28">
        <f>COUNTIFS(Master_Rack!$B$1:$B$265,Constraints!$C12,Master_Rack!$AR$1:$AR$265, "&gt;0")</f>
        <v>0</v>
      </c>
      <c r="AE12" s="28">
        <f>COUNTIFS(Master_Rack!$B$1:$B$265,Constraints!$C12,Master_Rack!$AU$1:$AU$265, "&gt;0")</f>
        <v>0</v>
      </c>
      <c r="AF12" s="28">
        <f>COUNTIFS(Master_Rack!$B$1:$B$265,Constraints!$C12,Master_Rack!$AX$1:$AX$265, "&gt;0")</f>
        <v>0</v>
      </c>
      <c r="AG12" s="45">
        <f t="shared" si="6"/>
        <v>0</v>
      </c>
      <c r="AH12" s="45">
        <f t="shared" si="7"/>
        <v>12</v>
      </c>
      <c r="AI12" s="45">
        <f t="shared" si="8"/>
        <v>8</v>
      </c>
      <c r="AJ12" s="45">
        <f t="shared" si="9"/>
        <v>0</v>
      </c>
      <c r="AK12" s="45">
        <f t="shared" si="10"/>
        <v>0</v>
      </c>
      <c r="AL12" s="45"/>
      <c r="AP12" s="58"/>
      <c r="AQ12" s="58"/>
      <c r="AR12" s="58"/>
      <c r="AS12" s="58"/>
    </row>
    <row r="13" spans="1:51" s="39" customFormat="1" x14ac:dyDescent="0.2">
      <c r="A13" s="45" t="s">
        <v>6</v>
      </c>
      <c r="B13" s="39" t="s">
        <v>6</v>
      </c>
      <c r="C13" s="28" t="s">
        <v>124</v>
      </c>
      <c r="D13" s="28">
        <f>SUMIF(Master_Rack!$B$1:$B$265,Constraints!$C13,Master_Rack!$L$1:$L$265)</f>
        <v>360</v>
      </c>
      <c r="E13" s="28"/>
      <c r="F13" s="72"/>
      <c r="G13" s="72"/>
      <c r="H13" s="72"/>
      <c r="I13" s="72"/>
      <c r="J13" s="72"/>
      <c r="K13" t="s">
        <v>385</v>
      </c>
      <c r="L13" s="58"/>
      <c r="M13" s="58"/>
      <c r="N13" s="58"/>
      <c r="O13" s="58"/>
      <c r="P13" s="28">
        <f>SUMIF(Master_Rack!$B$1:$B$265,Constraints!$C13,Master_Rack!$AI$1:$AI$265)</f>
        <v>0</v>
      </c>
      <c r="Q13" s="28">
        <f>SUMIF(Master_Rack!$B$1:$B$265,Constraints!$C13,Master_Rack!$AL$1:$AL$265)</f>
        <v>360</v>
      </c>
      <c r="R13" s="28">
        <f>SUMIF(Master_Rack!$B$1:$B$265,Constraints!$C13,Master_Rack!$AO$1:$AO$265)</f>
        <v>120</v>
      </c>
      <c r="S13" s="28">
        <f>SUMIF(Master_Rack!$B$1:$B$265,Constraints!$C13,Master_Rack!$AR$1:$AR$265)</f>
        <v>0</v>
      </c>
      <c r="T13" s="28">
        <f>SUMIF(Master_Rack!$B$1:$B$265,Constraints!$C13,Master_Rack!$AU$1:$AU$265)</f>
        <v>0</v>
      </c>
      <c r="U13" s="28">
        <f>SUMIF(Master_Rack!$B$1:$B$265,Constraints!$C13,Master_Rack!$AX$1:$AX$265)</f>
        <v>0</v>
      </c>
      <c r="V13" s="45">
        <f t="shared" si="1"/>
        <v>0</v>
      </c>
      <c r="W13" s="45">
        <f t="shared" si="2"/>
        <v>360</v>
      </c>
      <c r="X13" s="45">
        <f t="shared" si="3"/>
        <v>120</v>
      </c>
      <c r="Y13" s="45">
        <f t="shared" si="4"/>
        <v>0</v>
      </c>
      <c r="Z13" s="45">
        <f t="shared" si="5"/>
        <v>0</v>
      </c>
      <c r="AA13" s="28">
        <f>COUNTIFS(Master_Rack!$B$1:$B$265,Constraints!$C13,Master_Rack!$AI$1:$AI$265, "&gt;0")</f>
        <v>0</v>
      </c>
      <c r="AB13" s="28">
        <f>COUNTIFS(Master_Rack!$B$1:$B$265,Constraints!$C13,Master_Rack!$AL$1:$AL$265, "&gt;0")</f>
        <v>12</v>
      </c>
      <c r="AC13" s="28">
        <f>COUNTIFS(Master_Rack!$B$1:$B$265,Constraints!$C13,Master_Rack!$AO$1:$AO$265, "&gt;0")</f>
        <v>4</v>
      </c>
      <c r="AD13" s="28">
        <f>COUNTIFS(Master_Rack!$B$1:$B$265,Constraints!$C13,Master_Rack!$AR$1:$AR$265, "&gt;0")</f>
        <v>0</v>
      </c>
      <c r="AE13" s="28">
        <f>COUNTIFS(Master_Rack!$B$1:$B$265,Constraints!$C13,Master_Rack!$AU$1:$AU$265, "&gt;0")</f>
        <v>0</v>
      </c>
      <c r="AF13" s="28">
        <f>COUNTIFS(Master_Rack!$B$1:$B$265,Constraints!$C13,Master_Rack!$AX$1:$AX$265, "&gt;0")</f>
        <v>0</v>
      </c>
      <c r="AG13" s="45">
        <f t="shared" si="6"/>
        <v>0</v>
      </c>
      <c r="AH13" s="45">
        <f t="shared" si="7"/>
        <v>12</v>
      </c>
      <c r="AI13" s="45">
        <f t="shared" si="8"/>
        <v>4</v>
      </c>
      <c r="AJ13" s="45">
        <f t="shared" si="9"/>
        <v>0</v>
      </c>
      <c r="AK13" s="45">
        <f t="shared" si="10"/>
        <v>0</v>
      </c>
      <c r="AL13" s="45"/>
      <c r="AP13" s="58"/>
      <c r="AQ13" s="58"/>
      <c r="AR13" s="58"/>
      <c r="AS13" s="58"/>
    </row>
    <row r="14" spans="1:51" s="39" customFormat="1" x14ac:dyDescent="0.2">
      <c r="A14" s="45" t="s">
        <v>6</v>
      </c>
      <c r="B14" s="39" t="s">
        <v>6</v>
      </c>
      <c r="C14" s="28" t="s">
        <v>138</v>
      </c>
      <c r="D14" s="28">
        <f>SUMIF(Master_Rack!$B$1:$B$265,Constraints!$C14,Master_Rack!$L$1:$L$265)</f>
        <v>360</v>
      </c>
      <c r="E14" s="28"/>
      <c r="F14" s="72"/>
      <c r="G14" s="72"/>
      <c r="H14" s="72"/>
      <c r="I14" s="72"/>
      <c r="J14" s="72"/>
      <c r="K14" t="s">
        <v>385</v>
      </c>
      <c r="L14" s="58"/>
      <c r="M14" s="58"/>
      <c r="N14" s="58"/>
      <c r="O14" s="58"/>
      <c r="P14" s="28">
        <f>SUMIF(Master_Rack!$B$1:$B$265,Constraints!$C14,Master_Rack!$AI$1:$AI$265)</f>
        <v>0</v>
      </c>
      <c r="Q14" s="28">
        <f>SUMIF(Master_Rack!$B$1:$B$265,Constraints!$C14,Master_Rack!$AL$1:$AL$265)</f>
        <v>360</v>
      </c>
      <c r="R14" s="28">
        <f>SUMIF(Master_Rack!$B$1:$B$265,Constraints!$C14,Master_Rack!$AO$1:$AO$265)</f>
        <v>360</v>
      </c>
      <c r="S14" s="28">
        <f>SUMIF(Master_Rack!$B$1:$B$265,Constraints!$C14,Master_Rack!$AR$1:$AR$265)</f>
        <v>0</v>
      </c>
      <c r="T14" s="28">
        <f>SUMIF(Master_Rack!$B$1:$B$265,Constraints!$C14,Master_Rack!$AU$1:$AU$265)</f>
        <v>0</v>
      </c>
      <c r="U14" s="28">
        <f>SUMIF(Master_Rack!$B$1:$B$265,Constraints!$C14,Master_Rack!$AX$1:$AX$265)</f>
        <v>0</v>
      </c>
      <c r="V14" s="45">
        <f t="shared" si="1"/>
        <v>0</v>
      </c>
      <c r="W14" s="45">
        <f t="shared" si="2"/>
        <v>360</v>
      </c>
      <c r="X14" s="45">
        <f t="shared" si="3"/>
        <v>360</v>
      </c>
      <c r="Y14" s="45">
        <f t="shared" si="4"/>
        <v>0</v>
      </c>
      <c r="Z14" s="45">
        <f t="shared" si="5"/>
        <v>0</v>
      </c>
      <c r="AA14" s="28">
        <f>COUNTIFS(Master_Rack!$B$1:$B$265,Constraints!$C14,Master_Rack!$AI$1:$AI$265, "&gt;0")</f>
        <v>0</v>
      </c>
      <c r="AB14" s="28">
        <f>COUNTIFS(Master_Rack!$B$1:$B$265,Constraints!$C14,Master_Rack!$AL$1:$AL$265, "&gt;0")</f>
        <v>12</v>
      </c>
      <c r="AC14" s="28">
        <f>COUNTIFS(Master_Rack!$B$1:$B$265,Constraints!$C14,Master_Rack!$AO$1:$AO$265, "&gt;0")</f>
        <v>12</v>
      </c>
      <c r="AD14" s="28">
        <f>COUNTIFS(Master_Rack!$B$1:$B$265,Constraints!$C14,Master_Rack!$AR$1:$AR$265, "&gt;0")</f>
        <v>0</v>
      </c>
      <c r="AE14" s="28">
        <f>COUNTIFS(Master_Rack!$B$1:$B$265,Constraints!$C14,Master_Rack!$AU$1:$AU$265, "&gt;0")</f>
        <v>0</v>
      </c>
      <c r="AF14" s="28">
        <f>COUNTIFS(Master_Rack!$B$1:$B$265,Constraints!$C14,Master_Rack!$AX$1:$AX$265, "&gt;0")</f>
        <v>0</v>
      </c>
      <c r="AG14" s="45">
        <f t="shared" si="6"/>
        <v>0</v>
      </c>
      <c r="AH14" s="45">
        <f t="shared" si="7"/>
        <v>12</v>
      </c>
      <c r="AI14" s="45">
        <f t="shared" si="8"/>
        <v>12</v>
      </c>
      <c r="AJ14" s="45">
        <f t="shared" si="9"/>
        <v>0</v>
      </c>
      <c r="AK14" s="45">
        <f t="shared" si="10"/>
        <v>0</v>
      </c>
      <c r="AL14" s="45"/>
      <c r="AP14" s="58"/>
      <c r="AQ14" s="58"/>
      <c r="AR14" s="58"/>
      <c r="AS14" s="58"/>
    </row>
    <row r="15" spans="1:51" s="39" customFormat="1" x14ac:dyDescent="0.2">
      <c r="A15" s="45" t="s">
        <v>6</v>
      </c>
      <c r="B15" s="39" t="s">
        <v>6</v>
      </c>
      <c r="C15" s="28" t="s">
        <v>151</v>
      </c>
      <c r="D15" s="28">
        <f>SUMIF(Master_Rack!$B$1:$B$265,Constraints!$C15,Master_Rack!$L$1:$L$265)</f>
        <v>360</v>
      </c>
      <c r="E15" s="28"/>
      <c r="F15" s="72"/>
      <c r="G15" s="72"/>
      <c r="H15" s="72"/>
      <c r="I15" s="72"/>
      <c r="J15" s="72"/>
      <c r="K15" t="s">
        <v>385</v>
      </c>
      <c r="L15" s="58"/>
      <c r="M15" s="58"/>
      <c r="N15" s="58"/>
      <c r="O15" s="58"/>
      <c r="P15" s="28">
        <f>SUMIF(Master_Rack!$B$1:$B$265,Constraints!$C15,Master_Rack!$AI$1:$AI$265)</f>
        <v>0</v>
      </c>
      <c r="Q15" s="28">
        <f>SUMIF(Master_Rack!$B$1:$B$265,Constraints!$C15,Master_Rack!$AL$1:$AL$265)</f>
        <v>0</v>
      </c>
      <c r="R15" s="28">
        <f>SUMIF(Master_Rack!$B$1:$B$265,Constraints!$C15,Master_Rack!$AO$1:$AO$265)</f>
        <v>300</v>
      </c>
      <c r="S15" s="28">
        <f>SUMIF(Master_Rack!$B$1:$B$265,Constraints!$C15,Master_Rack!$AR$1:$AR$265)</f>
        <v>0</v>
      </c>
      <c r="T15" s="28">
        <f>SUMIF(Master_Rack!$B$1:$B$265,Constraints!$C15,Master_Rack!$AU$1:$AU$265)</f>
        <v>0</v>
      </c>
      <c r="U15" s="28">
        <f>SUMIF(Master_Rack!$B$1:$B$265,Constraints!$C15,Master_Rack!$AX$1:$AX$265)</f>
        <v>0</v>
      </c>
      <c r="V15" s="45">
        <f t="shared" si="1"/>
        <v>0</v>
      </c>
      <c r="W15" s="45">
        <f t="shared" si="2"/>
        <v>0</v>
      </c>
      <c r="X15" s="45">
        <f t="shared" si="3"/>
        <v>300</v>
      </c>
      <c r="Y15" s="45">
        <f t="shared" si="4"/>
        <v>0</v>
      </c>
      <c r="Z15" s="45">
        <f t="shared" si="5"/>
        <v>0</v>
      </c>
      <c r="AA15" s="28">
        <f>COUNTIFS(Master_Rack!$B$1:$B$265,Constraints!$C15,Master_Rack!$AI$1:$AI$265, "&gt;0")</f>
        <v>0</v>
      </c>
      <c r="AB15" s="28">
        <f>COUNTIFS(Master_Rack!$B$1:$B$265,Constraints!$C15,Master_Rack!$AL$1:$AL$265, "&gt;0")</f>
        <v>0</v>
      </c>
      <c r="AC15" s="28">
        <f>COUNTIFS(Master_Rack!$B$1:$B$265,Constraints!$C15,Master_Rack!$AO$1:$AO$265, "&gt;0")</f>
        <v>10</v>
      </c>
      <c r="AD15" s="28">
        <f>COUNTIFS(Master_Rack!$B$1:$B$265,Constraints!$C15,Master_Rack!$AR$1:$AR$265, "&gt;0")</f>
        <v>0</v>
      </c>
      <c r="AE15" s="28">
        <f>COUNTIFS(Master_Rack!$B$1:$B$265,Constraints!$C15,Master_Rack!$AU$1:$AU$265, "&gt;0")</f>
        <v>0</v>
      </c>
      <c r="AF15" s="28">
        <f>COUNTIFS(Master_Rack!$B$1:$B$265,Constraints!$C15,Master_Rack!$AX$1:$AX$265, "&gt;0")</f>
        <v>0</v>
      </c>
      <c r="AG15" s="45">
        <f t="shared" si="6"/>
        <v>0</v>
      </c>
      <c r="AH15" s="45">
        <f t="shared" si="7"/>
        <v>0</v>
      </c>
      <c r="AI15" s="45">
        <f t="shared" si="8"/>
        <v>10</v>
      </c>
      <c r="AJ15" s="45">
        <f t="shared" si="9"/>
        <v>0</v>
      </c>
      <c r="AK15" s="45">
        <f t="shared" si="10"/>
        <v>0</v>
      </c>
      <c r="AL15" s="45"/>
      <c r="AP15" s="58"/>
      <c r="AQ15" s="58"/>
      <c r="AR15" s="58"/>
      <c r="AS15" s="58"/>
    </row>
    <row r="16" spans="1:51" s="39" customFormat="1" x14ac:dyDescent="0.2">
      <c r="A16" s="45" t="s">
        <v>6</v>
      </c>
      <c r="B16" s="39" t="s">
        <v>6</v>
      </c>
      <c r="C16" s="28" t="s">
        <v>165</v>
      </c>
      <c r="D16" s="28">
        <f>SUMIF(Master_Rack!$B$1:$B$265,Constraints!$C16,Master_Rack!$L$1:$L$265)</f>
        <v>540</v>
      </c>
      <c r="E16" s="28"/>
      <c r="F16" s="72"/>
      <c r="G16" s="72"/>
      <c r="H16" s="72"/>
      <c r="I16" s="72"/>
      <c r="J16" s="72"/>
      <c r="K16" t="s">
        <v>385</v>
      </c>
      <c r="L16" s="58"/>
      <c r="M16" s="58"/>
      <c r="N16" s="58"/>
      <c r="O16" s="58"/>
      <c r="P16" s="28">
        <f>SUMIF(Master_Rack!$B$1:$B$265,Constraints!$C16,Master_Rack!$AI$1:$AI$265)</f>
        <v>0</v>
      </c>
      <c r="Q16" s="28">
        <f>SUMIF(Master_Rack!$B$1:$B$265,Constraints!$C16,Master_Rack!$AL$1:$AL$265)</f>
        <v>0</v>
      </c>
      <c r="R16" s="28">
        <f>SUMIF(Master_Rack!$B$1:$B$265,Constraints!$C16,Master_Rack!$AO$1:$AO$265)</f>
        <v>0</v>
      </c>
      <c r="S16" s="28">
        <f>SUMIF(Master_Rack!$B$1:$B$265,Constraints!$C16,Master_Rack!$AR$1:$AR$265)</f>
        <v>240</v>
      </c>
      <c r="T16" s="28">
        <f>SUMIF(Master_Rack!$B$1:$B$265,Constraints!$C16,Master_Rack!$AU$1:$AU$265)</f>
        <v>360</v>
      </c>
      <c r="U16" s="28">
        <f>SUMIF(Master_Rack!$B$1:$B$265,Constraints!$C16,Master_Rack!$AX$1:$AX$265)</f>
        <v>0</v>
      </c>
      <c r="V16" s="45">
        <f t="shared" si="1"/>
        <v>0</v>
      </c>
      <c r="W16" s="45">
        <f t="shared" si="2"/>
        <v>0</v>
      </c>
      <c r="X16" s="45">
        <f t="shared" si="3"/>
        <v>0</v>
      </c>
      <c r="Y16" s="45">
        <f t="shared" si="4"/>
        <v>240</v>
      </c>
      <c r="Z16" s="45">
        <f t="shared" si="5"/>
        <v>360</v>
      </c>
      <c r="AA16" s="28">
        <f>COUNTIFS(Master_Rack!$B$1:$B$265,Constraints!$C16,Master_Rack!$AI$1:$AI$265, "&gt;0")</f>
        <v>0</v>
      </c>
      <c r="AB16" s="28">
        <f>COUNTIFS(Master_Rack!$B$1:$B$265,Constraints!$C16,Master_Rack!$AL$1:$AL$265, "&gt;0")</f>
        <v>0</v>
      </c>
      <c r="AC16" s="28">
        <f>COUNTIFS(Master_Rack!$B$1:$B$265,Constraints!$C16,Master_Rack!$AO$1:$AO$265, "&gt;0")</f>
        <v>0</v>
      </c>
      <c r="AD16" s="28">
        <f>COUNTIFS(Master_Rack!$B$1:$B$265,Constraints!$C16,Master_Rack!$AR$1:$AR$265, "&gt;0")</f>
        <v>8</v>
      </c>
      <c r="AE16" s="28">
        <f>COUNTIFS(Master_Rack!$B$1:$B$265,Constraints!$C16,Master_Rack!$AU$1:$AU$265, "&gt;0")</f>
        <v>12</v>
      </c>
      <c r="AF16" s="28">
        <f>COUNTIFS(Master_Rack!$B$1:$B$265,Constraints!$C16,Master_Rack!$AX$1:$AX$265, "&gt;0")</f>
        <v>0</v>
      </c>
      <c r="AG16" s="45">
        <f t="shared" si="6"/>
        <v>0</v>
      </c>
      <c r="AH16" s="45">
        <f t="shared" si="7"/>
        <v>0</v>
      </c>
      <c r="AI16" s="45">
        <f t="shared" si="8"/>
        <v>0</v>
      </c>
      <c r="AJ16" s="45">
        <f t="shared" si="9"/>
        <v>8</v>
      </c>
      <c r="AK16" s="45">
        <f t="shared" si="10"/>
        <v>12</v>
      </c>
      <c r="AL16" s="45"/>
      <c r="AP16" s="58"/>
      <c r="AQ16" s="58"/>
      <c r="AR16" s="58"/>
      <c r="AS16" s="58"/>
    </row>
    <row r="17" spans="1:50" s="39" customFormat="1" x14ac:dyDescent="0.2">
      <c r="A17" s="45" t="s">
        <v>6</v>
      </c>
      <c r="B17" s="39" t="s">
        <v>6</v>
      </c>
      <c r="C17" s="28" t="s">
        <v>178</v>
      </c>
      <c r="D17" s="28">
        <f>SUMIF(Master_Rack!$B$1:$B$265,Constraints!$C17,Master_Rack!$L$1:$L$265)</f>
        <v>540</v>
      </c>
      <c r="E17" s="28"/>
      <c r="F17" s="72"/>
      <c r="G17" s="72"/>
      <c r="H17" s="72"/>
      <c r="I17" s="72"/>
      <c r="J17" s="72"/>
      <c r="K17" t="s">
        <v>385</v>
      </c>
      <c r="L17" s="58"/>
      <c r="M17" s="58"/>
      <c r="N17" s="58"/>
      <c r="O17" s="58"/>
      <c r="P17" s="28">
        <f>SUMIF(Master_Rack!$B$1:$B$265,Constraints!$C17,Master_Rack!$AI$1:$AI$265)</f>
        <v>0</v>
      </c>
      <c r="Q17" s="28">
        <f>SUMIF(Master_Rack!$B$1:$B$265,Constraints!$C17,Master_Rack!$AL$1:$AL$265)</f>
        <v>0</v>
      </c>
      <c r="R17" s="28">
        <f>SUMIF(Master_Rack!$B$1:$B$265,Constraints!$C17,Master_Rack!$AO$1:$AO$265)</f>
        <v>0</v>
      </c>
      <c r="S17" s="28">
        <f>SUMIF(Master_Rack!$B$1:$B$265,Constraints!$C17,Master_Rack!$AR$1:$AR$265)</f>
        <v>240</v>
      </c>
      <c r="T17" s="28">
        <f>SUMIF(Master_Rack!$B$1:$B$265,Constraints!$C17,Master_Rack!$AU$1:$AU$265)</f>
        <v>360</v>
      </c>
      <c r="U17" s="28">
        <f>SUMIF(Master_Rack!$B$1:$B$265,Constraints!$C17,Master_Rack!$AX$1:$AX$265)</f>
        <v>0</v>
      </c>
      <c r="V17" s="45">
        <f t="shared" si="1"/>
        <v>0</v>
      </c>
      <c r="W17" s="45">
        <f t="shared" si="2"/>
        <v>0</v>
      </c>
      <c r="X17" s="45">
        <f t="shared" si="3"/>
        <v>0</v>
      </c>
      <c r="Y17" s="45">
        <f t="shared" si="4"/>
        <v>240</v>
      </c>
      <c r="Z17" s="45">
        <f t="shared" si="5"/>
        <v>360</v>
      </c>
      <c r="AA17" s="28">
        <f>COUNTIFS(Master_Rack!$B$1:$B$265,Constraints!$C17,Master_Rack!$AI$1:$AI$265, "&gt;0")</f>
        <v>0</v>
      </c>
      <c r="AB17" s="28">
        <f>COUNTIFS(Master_Rack!$B$1:$B$265,Constraints!$C17,Master_Rack!$AL$1:$AL$265, "&gt;0")</f>
        <v>0</v>
      </c>
      <c r="AC17" s="28">
        <f>COUNTIFS(Master_Rack!$B$1:$B$265,Constraints!$C17,Master_Rack!$AO$1:$AO$265, "&gt;0")</f>
        <v>0</v>
      </c>
      <c r="AD17" s="28">
        <f>COUNTIFS(Master_Rack!$B$1:$B$265,Constraints!$C17,Master_Rack!$AR$1:$AR$265, "&gt;0")</f>
        <v>8</v>
      </c>
      <c r="AE17" s="28">
        <f>COUNTIFS(Master_Rack!$B$1:$B$265,Constraints!$C17,Master_Rack!$AU$1:$AU$265, "&gt;0")</f>
        <v>12</v>
      </c>
      <c r="AF17" s="28">
        <f>COUNTIFS(Master_Rack!$B$1:$B$265,Constraints!$C17,Master_Rack!$AX$1:$AX$265, "&gt;0")</f>
        <v>0</v>
      </c>
      <c r="AG17" s="45">
        <f t="shared" si="6"/>
        <v>0</v>
      </c>
      <c r="AH17" s="45">
        <f t="shared" si="7"/>
        <v>0</v>
      </c>
      <c r="AI17" s="45">
        <f t="shared" si="8"/>
        <v>0</v>
      </c>
      <c r="AJ17" s="45">
        <f t="shared" si="9"/>
        <v>8</v>
      </c>
      <c r="AK17" s="45">
        <f t="shared" si="10"/>
        <v>12</v>
      </c>
      <c r="AL17" s="45"/>
      <c r="AP17" s="58"/>
      <c r="AQ17" s="58"/>
      <c r="AR17" s="58"/>
      <c r="AS17" s="58"/>
    </row>
    <row r="18" spans="1:50" s="39" customFormat="1" x14ac:dyDescent="0.2">
      <c r="A18" s="45" t="s">
        <v>6</v>
      </c>
      <c r="B18" s="39" t="s">
        <v>6</v>
      </c>
      <c r="C18" s="28" t="s">
        <v>192</v>
      </c>
      <c r="D18" s="28">
        <f>SUMIF(Master_Rack!$B$1:$B$265,Constraints!$C18,Master_Rack!$L$1:$L$265)</f>
        <v>540</v>
      </c>
      <c r="E18" s="28"/>
      <c r="F18" s="72"/>
      <c r="G18" s="72"/>
      <c r="H18" s="72"/>
      <c r="I18" s="72"/>
      <c r="J18" s="72"/>
      <c r="K18" t="s">
        <v>385</v>
      </c>
      <c r="L18" s="58"/>
      <c r="M18" s="58"/>
      <c r="N18" s="58"/>
      <c r="O18" s="58"/>
      <c r="P18" s="28">
        <f>SUMIF(Master_Rack!$B$1:$B$265,Constraints!$C18,Master_Rack!$AI$1:$AI$265)</f>
        <v>0</v>
      </c>
      <c r="Q18" s="28">
        <f>SUMIF(Master_Rack!$B$1:$B$265,Constraints!$C18,Master_Rack!$AL$1:$AL$265)</f>
        <v>0</v>
      </c>
      <c r="R18" s="28">
        <f>SUMIF(Master_Rack!$B$1:$B$265,Constraints!$C18,Master_Rack!$AO$1:$AO$265)</f>
        <v>0</v>
      </c>
      <c r="S18" s="28">
        <f>SUMIF(Master_Rack!$B$1:$B$265,Constraints!$C18,Master_Rack!$AR$1:$AR$265)</f>
        <v>360</v>
      </c>
      <c r="T18" s="28">
        <f>SUMIF(Master_Rack!$B$1:$B$265,Constraints!$C18,Master_Rack!$AU$1:$AU$265)</f>
        <v>360</v>
      </c>
      <c r="U18" s="28">
        <f>SUMIF(Master_Rack!$B$1:$B$265,Constraints!$C18,Master_Rack!$AX$1:$AX$265)</f>
        <v>0</v>
      </c>
      <c r="V18" s="45">
        <f t="shared" si="1"/>
        <v>0</v>
      </c>
      <c r="W18" s="45">
        <f t="shared" si="2"/>
        <v>0</v>
      </c>
      <c r="X18" s="45">
        <f t="shared" si="3"/>
        <v>0</v>
      </c>
      <c r="Y18" s="45">
        <f t="shared" si="4"/>
        <v>360</v>
      </c>
      <c r="Z18" s="45">
        <f t="shared" si="5"/>
        <v>360</v>
      </c>
      <c r="AA18" s="28">
        <f>COUNTIFS(Master_Rack!$B$1:$B$265,Constraints!$C18,Master_Rack!$AI$1:$AI$265, "&gt;0")</f>
        <v>0</v>
      </c>
      <c r="AB18" s="28">
        <f>COUNTIFS(Master_Rack!$B$1:$B$265,Constraints!$C18,Master_Rack!$AL$1:$AL$265, "&gt;0")</f>
        <v>0</v>
      </c>
      <c r="AC18" s="28">
        <f>COUNTIFS(Master_Rack!$B$1:$B$265,Constraints!$C18,Master_Rack!$AO$1:$AO$265, "&gt;0")</f>
        <v>0</v>
      </c>
      <c r="AD18" s="28">
        <f>COUNTIFS(Master_Rack!$B$1:$B$265,Constraints!$C18,Master_Rack!$AR$1:$AR$265, "&gt;0")</f>
        <v>12</v>
      </c>
      <c r="AE18" s="28">
        <f>COUNTIFS(Master_Rack!$B$1:$B$265,Constraints!$C18,Master_Rack!$AU$1:$AU$265, "&gt;0")</f>
        <v>12</v>
      </c>
      <c r="AF18" s="28">
        <f>COUNTIFS(Master_Rack!$B$1:$B$265,Constraints!$C18,Master_Rack!$AX$1:$AX$265, "&gt;0")</f>
        <v>0</v>
      </c>
      <c r="AG18" s="45">
        <f t="shared" si="6"/>
        <v>0</v>
      </c>
      <c r="AH18" s="45">
        <f t="shared" si="7"/>
        <v>0</v>
      </c>
      <c r="AI18" s="45">
        <f t="shared" si="8"/>
        <v>0</v>
      </c>
      <c r="AJ18" s="45">
        <f t="shared" si="9"/>
        <v>12</v>
      </c>
      <c r="AK18" s="45">
        <f t="shared" si="10"/>
        <v>12</v>
      </c>
      <c r="AL18" s="45"/>
      <c r="AP18" s="58"/>
      <c r="AQ18" s="58"/>
      <c r="AR18" s="58"/>
      <c r="AS18" s="58"/>
    </row>
    <row r="19" spans="1:50" s="39" customFormat="1" x14ac:dyDescent="0.2">
      <c r="A19" s="45" t="s">
        <v>6</v>
      </c>
      <c r="B19" s="39" t="s">
        <v>6</v>
      </c>
      <c r="C19" s="28" t="s">
        <v>205</v>
      </c>
      <c r="D19" s="28">
        <f>SUMIF(Master_Rack!$B$1:$B$265,Constraints!$C19,Master_Rack!$L$1:$L$265)</f>
        <v>540</v>
      </c>
      <c r="E19" s="28"/>
      <c r="F19" s="72"/>
      <c r="G19" s="72"/>
      <c r="H19" s="72"/>
      <c r="I19" s="72"/>
      <c r="J19" s="72"/>
      <c r="K19" t="s">
        <v>385</v>
      </c>
      <c r="L19" s="58"/>
      <c r="M19" s="58"/>
      <c r="N19" s="58"/>
      <c r="O19" s="58"/>
      <c r="P19" s="28">
        <f>SUMIF(Master_Rack!$B$1:$B$265,Constraints!$C19,Master_Rack!$AI$1:$AI$265)</f>
        <v>0</v>
      </c>
      <c r="Q19" s="28">
        <f>SUMIF(Master_Rack!$B$1:$B$265,Constraints!$C19,Master_Rack!$AL$1:$AL$265)</f>
        <v>0</v>
      </c>
      <c r="R19" s="28">
        <f>SUMIF(Master_Rack!$B$1:$B$265,Constraints!$C19,Master_Rack!$AO$1:$AO$265)</f>
        <v>0</v>
      </c>
      <c r="S19" s="28">
        <f>SUMIF(Master_Rack!$B$1:$B$265,Constraints!$C19,Master_Rack!$AR$1:$AR$265)</f>
        <v>360</v>
      </c>
      <c r="T19" s="28">
        <f>SUMIF(Master_Rack!$B$1:$B$265,Constraints!$C19,Master_Rack!$AU$1:$AU$265)</f>
        <v>0</v>
      </c>
      <c r="U19" s="28">
        <f>SUMIF(Master_Rack!$B$1:$B$265,Constraints!$C19,Master_Rack!$AX$1:$AX$265)</f>
        <v>0</v>
      </c>
      <c r="V19" s="45">
        <f t="shared" si="1"/>
        <v>0</v>
      </c>
      <c r="W19" s="45">
        <f t="shared" si="2"/>
        <v>0</v>
      </c>
      <c r="X19" s="45">
        <f t="shared" si="3"/>
        <v>0</v>
      </c>
      <c r="Y19" s="45">
        <f t="shared" si="4"/>
        <v>360</v>
      </c>
      <c r="Z19" s="45">
        <f t="shared" si="5"/>
        <v>0</v>
      </c>
      <c r="AA19" s="28">
        <f>COUNTIFS(Master_Rack!$B$1:$B$265,Constraints!$C19,Master_Rack!$AI$1:$AI$265, "&gt;0")</f>
        <v>0</v>
      </c>
      <c r="AB19" s="28">
        <f>COUNTIFS(Master_Rack!$B$1:$B$265,Constraints!$C19,Master_Rack!$AL$1:$AL$265, "&gt;0")</f>
        <v>0</v>
      </c>
      <c r="AC19" s="28">
        <f>COUNTIFS(Master_Rack!$B$1:$B$265,Constraints!$C19,Master_Rack!$AO$1:$AO$265, "&gt;0")</f>
        <v>0</v>
      </c>
      <c r="AD19" s="28">
        <f>COUNTIFS(Master_Rack!$B$1:$B$265,Constraints!$C19,Master_Rack!$AR$1:$AR$265, "&gt;0")</f>
        <v>12</v>
      </c>
      <c r="AE19" s="28">
        <f>COUNTIFS(Master_Rack!$B$1:$B$265,Constraints!$C19,Master_Rack!$AU$1:$AU$265, "&gt;0")</f>
        <v>0</v>
      </c>
      <c r="AF19" s="28">
        <f>COUNTIFS(Master_Rack!$B$1:$B$265,Constraints!$C19,Master_Rack!$AX$1:$AX$265, "&gt;0")</f>
        <v>0</v>
      </c>
      <c r="AG19" s="45">
        <f t="shared" si="6"/>
        <v>0</v>
      </c>
      <c r="AH19" s="45">
        <f t="shared" si="7"/>
        <v>0</v>
      </c>
      <c r="AI19" s="45">
        <f t="shared" si="8"/>
        <v>0</v>
      </c>
      <c r="AJ19" s="45">
        <f t="shared" si="9"/>
        <v>12</v>
      </c>
      <c r="AK19" s="45">
        <f t="shared" si="10"/>
        <v>0</v>
      </c>
      <c r="AL19" s="45"/>
      <c r="AP19" s="58"/>
      <c r="AQ19" s="58"/>
      <c r="AR19" s="58"/>
      <c r="AS19" s="58"/>
    </row>
    <row r="20" spans="1:50" s="39" customFormat="1" x14ac:dyDescent="0.2">
      <c r="A20" s="45" t="s">
        <v>6</v>
      </c>
      <c r="B20" s="39" t="s">
        <v>6</v>
      </c>
      <c r="C20" s="28" t="s">
        <v>219</v>
      </c>
      <c r="D20" s="28">
        <f>SUMIF(Master_Rack!$B$1:$B$265,Constraints!$C20,Master_Rack!$L$1:$L$265)</f>
        <v>540</v>
      </c>
      <c r="E20" s="28"/>
      <c r="F20" s="72"/>
      <c r="G20" s="72"/>
      <c r="H20" s="72"/>
      <c r="I20" s="72"/>
      <c r="J20" s="72"/>
      <c r="K20" t="s">
        <v>385</v>
      </c>
      <c r="L20" s="58"/>
      <c r="M20" s="58"/>
      <c r="N20" s="58"/>
      <c r="O20" s="58"/>
      <c r="P20" s="28">
        <f>SUMIF(Master_Rack!$B$1:$B$265,Constraints!$C20,Master_Rack!$AI$1:$AI$265)</f>
        <v>0</v>
      </c>
      <c r="Q20" s="28">
        <f>SUMIF(Master_Rack!$B$1:$B$265,Constraints!$C20,Master_Rack!$AL$1:$AL$265)</f>
        <v>0</v>
      </c>
      <c r="R20" s="28">
        <f>SUMIF(Master_Rack!$B$1:$B$265,Constraints!$C20,Master_Rack!$AO$1:$AO$265)</f>
        <v>0</v>
      </c>
      <c r="S20" s="28">
        <f>SUMIF(Master_Rack!$B$1:$B$265,Constraints!$C20,Master_Rack!$AR$1:$AR$265)</f>
        <v>360</v>
      </c>
      <c r="T20" s="28">
        <f>SUMIF(Master_Rack!$B$1:$B$265,Constraints!$C20,Master_Rack!$AU$1:$AU$265)</f>
        <v>360</v>
      </c>
      <c r="U20" s="28">
        <f>SUMIF(Master_Rack!$B$1:$B$265,Constraints!$C20,Master_Rack!$AX$1:$AX$265)</f>
        <v>0</v>
      </c>
      <c r="V20" s="45">
        <f t="shared" si="1"/>
        <v>0</v>
      </c>
      <c r="W20" s="45">
        <f t="shared" si="2"/>
        <v>0</v>
      </c>
      <c r="X20" s="45">
        <f t="shared" si="3"/>
        <v>0</v>
      </c>
      <c r="Y20" s="45">
        <f t="shared" si="4"/>
        <v>360</v>
      </c>
      <c r="Z20" s="45">
        <f t="shared" si="5"/>
        <v>360</v>
      </c>
      <c r="AA20" s="28">
        <f>COUNTIFS(Master_Rack!$B$1:$B$265,Constraints!$C20,Master_Rack!$AI$1:$AI$265, "&gt;0")</f>
        <v>0</v>
      </c>
      <c r="AB20" s="28">
        <f>COUNTIFS(Master_Rack!$B$1:$B$265,Constraints!$C20,Master_Rack!$AL$1:$AL$265, "&gt;0")</f>
        <v>0</v>
      </c>
      <c r="AC20" s="28">
        <f>COUNTIFS(Master_Rack!$B$1:$B$265,Constraints!$C20,Master_Rack!$AO$1:$AO$265, "&gt;0")</f>
        <v>0</v>
      </c>
      <c r="AD20" s="28">
        <f>COUNTIFS(Master_Rack!$B$1:$B$265,Constraints!$C20,Master_Rack!$AR$1:$AR$265, "&gt;0")</f>
        <v>12</v>
      </c>
      <c r="AE20" s="28">
        <f>COUNTIFS(Master_Rack!$B$1:$B$265,Constraints!$C20,Master_Rack!$AU$1:$AU$265, "&gt;0")</f>
        <v>12</v>
      </c>
      <c r="AF20" s="28">
        <f>COUNTIFS(Master_Rack!$B$1:$B$265,Constraints!$C20,Master_Rack!$AX$1:$AX$265, "&gt;0")</f>
        <v>0</v>
      </c>
      <c r="AG20" s="45">
        <f t="shared" si="6"/>
        <v>0</v>
      </c>
      <c r="AH20" s="45">
        <f t="shared" si="7"/>
        <v>0</v>
      </c>
      <c r="AI20" s="45">
        <f t="shared" si="8"/>
        <v>0</v>
      </c>
      <c r="AJ20" s="45">
        <f t="shared" si="9"/>
        <v>12</v>
      </c>
      <c r="AK20" s="45">
        <f t="shared" si="10"/>
        <v>12</v>
      </c>
      <c r="AL20" s="45"/>
      <c r="AP20" s="58"/>
      <c r="AQ20" s="58"/>
      <c r="AR20" s="58"/>
      <c r="AS20" s="58"/>
    </row>
    <row r="21" spans="1:50" s="39" customFormat="1" x14ac:dyDescent="0.2">
      <c r="A21" s="45" t="s">
        <v>6</v>
      </c>
      <c r="B21" s="39" t="s">
        <v>6</v>
      </c>
      <c r="C21" s="28" t="s">
        <v>232</v>
      </c>
      <c r="D21" s="28">
        <f>SUMIF(Master_Rack!$B$1:$B$265,Constraints!$C21,Master_Rack!$L$1:$L$265)</f>
        <v>540</v>
      </c>
      <c r="E21" s="28"/>
      <c r="F21" s="72"/>
      <c r="G21" s="72"/>
      <c r="H21" s="72"/>
      <c r="I21" s="72"/>
      <c r="J21" s="72"/>
      <c r="K21" t="s">
        <v>385</v>
      </c>
      <c r="L21" s="58"/>
      <c r="M21" s="58"/>
      <c r="N21" s="58"/>
      <c r="O21" s="58"/>
      <c r="P21" s="28">
        <f>SUMIF(Master_Rack!$B$1:$B$265,Constraints!$C21,Master_Rack!$AI$1:$AI$265)</f>
        <v>0</v>
      </c>
      <c r="Q21" s="28">
        <f>SUMIF(Master_Rack!$B$1:$B$265,Constraints!$C21,Master_Rack!$AL$1:$AL$265)</f>
        <v>0</v>
      </c>
      <c r="R21" s="28">
        <f>SUMIF(Master_Rack!$B$1:$B$265,Constraints!$C21,Master_Rack!$AO$1:$AO$265)</f>
        <v>0</v>
      </c>
      <c r="S21" s="28">
        <f>SUMIF(Master_Rack!$B$1:$B$265,Constraints!$C21,Master_Rack!$AR$1:$AR$265)</f>
        <v>0</v>
      </c>
      <c r="T21" s="28">
        <f>SUMIF(Master_Rack!$B$1:$B$265,Constraints!$C21,Master_Rack!$AU$1:$AU$265)</f>
        <v>120</v>
      </c>
      <c r="U21" s="28">
        <f>SUMIF(Master_Rack!$B$1:$B$265,Constraints!$C21,Master_Rack!$AX$1:$AX$265)</f>
        <v>0</v>
      </c>
      <c r="V21" s="45">
        <f t="shared" si="1"/>
        <v>0</v>
      </c>
      <c r="W21" s="45">
        <f t="shared" si="2"/>
        <v>0</v>
      </c>
      <c r="X21" s="45">
        <f t="shared" si="3"/>
        <v>0</v>
      </c>
      <c r="Y21" s="45">
        <f t="shared" si="4"/>
        <v>0</v>
      </c>
      <c r="Z21" s="45">
        <f t="shared" si="5"/>
        <v>120</v>
      </c>
      <c r="AA21" s="28">
        <f>COUNTIFS(Master_Rack!$B$1:$B$265,Constraints!$C21,Master_Rack!$AI$1:$AI$265, "&gt;0")</f>
        <v>0</v>
      </c>
      <c r="AB21" s="28">
        <f>COUNTIFS(Master_Rack!$B$1:$B$265,Constraints!$C21,Master_Rack!$AL$1:$AL$265, "&gt;0")</f>
        <v>0</v>
      </c>
      <c r="AC21" s="28">
        <f>COUNTIFS(Master_Rack!$B$1:$B$265,Constraints!$C21,Master_Rack!$AO$1:$AO$265, "&gt;0")</f>
        <v>0</v>
      </c>
      <c r="AD21" s="28">
        <f>COUNTIFS(Master_Rack!$B$1:$B$265,Constraints!$C21,Master_Rack!$AR$1:$AR$265, "&gt;0")</f>
        <v>0</v>
      </c>
      <c r="AE21" s="28">
        <f>COUNTIFS(Master_Rack!$B$1:$B$265,Constraints!$C21,Master_Rack!$AU$1:$AU$265, "&gt;0")</f>
        <v>4</v>
      </c>
      <c r="AF21" s="28">
        <f>COUNTIFS(Master_Rack!$B$1:$B$265,Constraints!$C21,Master_Rack!$AX$1:$AX$265, "&gt;0")</f>
        <v>0</v>
      </c>
      <c r="AG21" s="45">
        <f t="shared" si="6"/>
        <v>0</v>
      </c>
      <c r="AH21" s="45">
        <f t="shared" si="7"/>
        <v>0</v>
      </c>
      <c r="AI21" s="45">
        <f t="shared" si="8"/>
        <v>0</v>
      </c>
      <c r="AJ21" s="45">
        <f t="shared" si="9"/>
        <v>0</v>
      </c>
      <c r="AK21" s="45">
        <f t="shared" si="10"/>
        <v>4</v>
      </c>
      <c r="AL21" s="45"/>
      <c r="AP21" s="58"/>
      <c r="AQ21" s="58"/>
      <c r="AR21" s="58"/>
      <c r="AS21" s="58"/>
    </row>
    <row r="22" spans="1:50" s="39" customFormat="1" x14ac:dyDescent="0.2">
      <c r="A22" s="45" t="s">
        <v>6</v>
      </c>
      <c r="B22" s="39" t="s">
        <v>6</v>
      </c>
      <c r="C22" s="28" t="s">
        <v>38</v>
      </c>
      <c r="D22" s="28">
        <f>SUMIF(Master_Rack!$B$1:$B$265,Constraints!$C22,Master_Rack!$L$1:$L$265)</f>
        <v>240</v>
      </c>
      <c r="E22" s="28"/>
      <c r="F22" s="72"/>
      <c r="G22" s="72"/>
      <c r="H22" s="72"/>
      <c r="I22" s="72"/>
      <c r="J22" s="72"/>
      <c r="K22" t="s">
        <v>386</v>
      </c>
      <c r="L22" s="58"/>
      <c r="M22" s="58"/>
      <c r="N22" s="58"/>
      <c r="O22" s="58"/>
      <c r="P22" s="28">
        <f>SUMIF(Master_Rack!$B$1:$B$265,Constraints!$C22,Master_Rack!$AI$1:$AI$265)</f>
        <v>0</v>
      </c>
      <c r="Q22" s="28">
        <f>SUMIF(Master_Rack!$B$1:$B$265,Constraints!$C22,Master_Rack!$AL$1:$AL$265)</f>
        <v>0</v>
      </c>
      <c r="R22" s="28">
        <f>SUMIF(Master_Rack!$B$1:$B$265,Constraints!$C22,Master_Rack!$AO$1:$AO$265)</f>
        <v>0</v>
      </c>
      <c r="S22" s="28">
        <f>SUMIF(Master_Rack!$B$1:$B$265,Constraints!$C22,Master_Rack!$AR$1:$AR$265)</f>
        <v>0</v>
      </c>
      <c r="T22" s="28">
        <f>SUMIF(Master_Rack!$B$1:$B$265,Constraints!$C22,Master_Rack!$AU$1:$AU$265)</f>
        <v>0</v>
      </c>
      <c r="U22" s="28">
        <f>SUMIF(Master_Rack!$B$1:$B$265,Constraints!$C22,Master_Rack!$AX$1:$AX$265)</f>
        <v>0</v>
      </c>
      <c r="V22" s="45">
        <f t="shared" si="1"/>
        <v>0</v>
      </c>
      <c r="W22" s="45">
        <f t="shared" si="2"/>
        <v>0</v>
      </c>
      <c r="X22" s="45">
        <f t="shared" si="3"/>
        <v>0</v>
      </c>
      <c r="Y22" s="45">
        <f t="shared" si="4"/>
        <v>0</v>
      </c>
      <c r="Z22" s="45">
        <f t="shared" si="5"/>
        <v>0</v>
      </c>
      <c r="AA22" s="28">
        <f>COUNTIFS(Master_Rack!$B$1:$B$265,Constraints!$C22,Master_Rack!$AI$1:$AI$265, "&gt;0")</f>
        <v>0</v>
      </c>
      <c r="AB22" s="28">
        <f>COUNTIFS(Master_Rack!$B$1:$B$265,Constraints!$C22,Master_Rack!$AL$1:$AL$265, "&gt;0")</f>
        <v>0</v>
      </c>
      <c r="AC22" s="28">
        <f>COUNTIFS(Master_Rack!$B$1:$B$265,Constraints!$C22,Master_Rack!$AO$1:$AO$265, "&gt;0")</f>
        <v>0</v>
      </c>
      <c r="AD22" s="28">
        <f>COUNTIFS(Master_Rack!$B$1:$B$265,Constraints!$C22,Master_Rack!$AR$1:$AR$265, "&gt;0")</f>
        <v>0</v>
      </c>
      <c r="AE22" s="28">
        <f>COUNTIFS(Master_Rack!$B$1:$B$265,Constraints!$C22,Master_Rack!$AU$1:$AU$265, "&gt;0")</f>
        <v>0</v>
      </c>
      <c r="AF22" s="28">
        <f>COUNTIFS(Master_Rack!$B$1:$B$265,Constraints!$C22,Master_Rack!$AX$1:$AX$265, "&gt;0")</f>
        <v>0</v>
      </c>
      <c r="AG22" s="45">
        <f t="shared" si="6"/>
        <v>0</v>
      </c>
      <c r="AH22" s="45">
        <f t="shared" si="7"/>
        <v>0</v>
      </c>
      <c r="AI22" s="45">
        <f t="shared" si="8"/>
        <v>0</v>
      </c>
      <c r="AJ22" s="45">
        <f t="shared" si="9"/>
        <v>0</v>
      </c>
      <c r="AK22" s="45">
        <f t="shared" si="10"/>
        <v>0</v>
      </c>
      <c r="AL22" s="45"/>
      <c r="AP22" s="58"/>
      <c r="AQ22" s="58"/>
      <c r="AR22" s="58"/>
      <c r="AS22" s="58"/>
    </row>
    <row r="23" spans="1:50" s="39" customFormat="1" x14ac:dyDescent="0.2">
      <c r="A23" s="45" t="s">
        <v>6</v>
      </c>
      <c r="B23" s="39" t="s">
        <v>6</v>
      </c>
      <c r="C23" s="28" t="s">
        <v>302</v>
      </c>
      <c r="D23" s="28">
        <f>SUMIF(Master_Rack!$B$1:$B$265,Constraints!$C23,Master_Rack!$L$1:$L$265)</f>
        <v>240</v>
      </c>
      <c r="E23" s="28"/>
      <c r="F23" s="72"/>
      <c r="G23" s="72"/>
      <c r="H23" s="72"/>
      <c r="I23" s="72"/>
      <c r="J23" s="72"/>
      <c r="K23" t="s">
        <v>386</v>
      </c>
      <c r="L23" s="58"/>
      <c r="M23" s="58"/>
      <c r="N23" s="58"/>
      <c r="O23" s="58"/>
      <c r="P23" s="28">
        <f>SUMIF(Master_Rack!$B$1:$B$265,Constraints!$C23,Master_Rack!$AI$1:$AI$265)</f>
        <v>0</v>
      </c>
      <c r="Q23" s="28">
        <f>SUMIF(Master_Rack!$B$1:$B$265,Constraints!$C23,Master_Rack!$AL$1:$AL$265)</f>
        <v>0</v>
      </c>
      <c r="R23" s="28">
        <f>SUMIF(Master_Rack!$B$1:$B$265,Constraints!$C23,Master_Rack!$AO$1:$AO$265)</f>
        <v>0</v>
      </c>
      <c r="S23" s="28">
        <f>SUMIF(Master_Rack!$B$1:$B$265,Constraints!$C23,Master_Rack!$AR$1:$AR$265)</f>
        <v>0</v>
      </c>
      <c r="T23" s="28">
        <f>SUMIF(Master_Rack!$B$1:$B$265,Constraints!$C23,Master_Rack!$AU$1:$AU$265)</f>
        <v>0</v>
      </c>
      <c r="U23" s="28">
        <f>SUMIF(Master_Rack!$B$1:$B$265,Constraints!$C23,Master_Rack!$AX$1:$AX$265)</f>
        <v>0</v>
      </c>
      <c r="V23" s="45">
        <f t="shared" si="1"/>
        <v>0</v>
      </c>
      <c r="W23" s="45">
        <f t="shared" si="2"/>
        <v>0</v>
      </c>
      <c r="X23" s="45">
        <f t="shared" si="3"/>
        <v>0</v>
      </c>
      <c r="Y23" s="45">
        <f t="shared" si="4"/>
        <v>0</v>
      </c>
      <c r="Z23" s="45">
        <f t="shared" si="5"/>
        <v>0</v>
      </c>
      <c r="AA23" s="28">
        <f>COUNTIFS(Master_Rack!$B$1:$B$265,Constraints!$C23,Master_Rack!$AI$1:$AI$265, "&gt;0")</f>
        <v>0</v>
      </c>
      <c r="AB23" s="28">
        <f>COUNTIFS(Master_Rack!$B$1:$B$265,Constraints!$C23,Master_Rack!$AL$1:$AL$265, "&gt;0")</f>
        <v>0</v>
      </c>
      <c r="AC23" s="28">
        <f>COUNTIFS(Master_Rack!$B$1:$B$265,Constraints!$C23,Master_Rack!$AO$1:$AO$265, "&gt;0")</f>
        <v>0</v>
      </c>
      <c r="AD23" s="28">
        <f>COUNTIFS(Master_Rack!$B$1:$B$265,Constraints!$C23,Master_Rack!$AR$1:$AR$265, "&gt;0")</f>
        <v>0</v>
      </c>
      <c r="AE23" s="28">
        <f>COUNTIFS(Master_Rack!$B$1:$B$265,Constraints!$C23,Master_Rack!$AU$1:$AU$265, "&gt;0")</f>
        <v>0</v>
      </c>
      <c r="AF23" s="28">
        <f>COUNTIFS(Master_Rack!$B$1:$B$265,Constraints!$C23,Master_Rack!$AX$1:$AX$265, "&gt;0")</f>
        <v>0</v>
      </c>
      <c r="AG23" s="45">
        <f t="shared" si="6"/>
        <v>0</v>
      </c>
      <c r="AH23" s="45">
        <f t="shared" si="7"/>
        <v>0</v>
      </c>
      <c r="AI23" s="45">
        <f t="shared" si="8"/>
        <v>0</v>
      </c>
      <c r="AJ23" s="45">
        <f t="shared" si="9"/>
        <v>0</v>
      </c>
      <c r="AK23" s="45">
        <f t="shared" si="10"/>
        <v>0</v>
      </c>
      <c r="AL23" s="45"/>
      <c r="AP23" s="58"/>
      <c r="AQ23" s="58"/>
      <c r="AR23" s="58"/>
      <c r="AS23" s="58"/>
    </row>
    <row r="24" spans="1:50" s="39" customFormat="1" x14ac:dyDescent="0.2">
      <c r="A24" s="45" t="s">
        <v>6</v>
      </c>
      <c r="B24" s="39" t="s">
        <v>6</v>
      </c>
      <c r="C24" s="28" t="s">
        <v>379</v>
      </c>
      <c r="D24" s="28">
        <f>SUMIF(Master_Rack!$B$1:$B$265,Constraints!$C24,Master_Rack!$L$1:$L$265)</f>
        <v>720</v>
      </c>
      <c r="E24" s="28"/>
      <c r="F24" s="72"/>
      <c r="G24" s="72"/>
      <c r="H24" s="72"/>
      <c r="I24" s="72"/>
      <c r="J24" s="72"/>
      <c r="K24" t="s">
        <v>387</v>
      </c>
      <c r="L24" s="58"/>
      <c r="M24" s="58"/>
      <c r="N24" s="58"/>
      <c r="O24" s="58"/>
      <c r="P24" s="28">
        <f>SUMIF(Master_Rack!$B$1:$B$265,Constraints!$C24,Master_Rack!$AI$1:$AI$265)</f>
        <v>0</v>
      </c>
      <c r="Q24" s="28">
        <f>SUMIF(Master_Rack!$B$1:$B$265,Constraints!$C24,Master_Rack!$AL$1:$AL$265)</f>
        <v>0</v>
      </c>
      <c r="R24" s="28">
        <f>SUMIF(Master_Rack!$B$1:$B$265,Constraints!$C24,Master_Rack!$AO$1:$AO$265)</f>
        <v>0</v>
      </c>
      <c r="S24" s="28">
        <f>SUMIF(Master_Rack!$B$1:$B$265,Constraints!$C24,Master_Rack!$AR$1:$AR$265)</f>
        <v>0</v>
      </c>
      <c r="T24" s="28">
        <f>SUMIF(Master_Rack!$B$1:$B$265,Constraints!$C24,Master_Rack!$AU$1:$AU$265)</f>
        <v>0</v>
      </c>
      <c r="U24" s="28">
        <f>SUMIF(Master_Rack!$B$1:$B$265,Constraints!$C24,Master_Rack!$AX$1:$AX$265)</f>
        <v>0</v>
      </c>
      <c r="V24" s="45">
        <f t="shared" si="1"/>
        <v>0</v>
      </c>
      <c r="W24" s="45">
        <f t="shared" si="2"/>
        <v>0</v>
      </c>
      <c r="X24" s="45">
        <f t="shared" si="3"/>
        <v>0</v>
      </c>
      <c r="Y24" s="45">
        <f t="shared" si="4"/>
        <v>0</v>
      </c>
      <c r="Z24" s="45">
        <f t="shared" si="5"/>
        <v>0</v>
      </c>
      <c r="AA24" s="28">
        <f>COUNTIFS(Master_Rack!$B$1:$B$265,Constraints!$C24,Master_Rack!$AI$1:$AI$265, "&gt;0")</f>
        <v>0</v>
      </c>
      <c r="AB24" s="28">
        <f>COUNTIFS(Master_Rack!$B$1:$B$265,Constraints!$C24,Master_Rack!$AL$1:$AL$265, "&gt;0")</f>
        <v>0</v>
      </c>
      <c r="AC24" s="28">
        <f>COUNTIFS(Master_Rack!$B$1:$B$265,Constraints!$C24,Master_Rack!$AO$1:$AO$265, "&gt;0")</f>
        <v>0</v>
      </c>
      <c r="AD24" s="28">
        <f>COUNTIFS(Master_Rack!$B$1:$B$265,Constraints!$C24,Master_Rack!$AR$1:$AR$265, "&gt;0")</f>
        <v>0</v>
      </c>
      <c r="AE24" s="28">
        <f>COUNTIFS(Master_Rack!$B$1:$B$265,Constraints!$C24,Master_Rack!$AU$1:$AU$265, "&gt;0")</f>
        <v>0</v>
      </c>
      <c r="AF24" s="28">
        <f>COUNTIFS(Master_Rack!$B$1:$B$265,Constraints!$C24,Master_Rack!$AX$1:$AX$265, "&gt;0")</f>
        <v>0</v>
      </c>
      <c r="AG24" s="45">
        <f t="shared" si="6"/>
        <v>0</v>
      </c>
      <c r="AH24" s="45">
        <f t="shared" si="7"/>
        <v>0</v>
      </c>
      <c r="AI24" s="45">
        <f t="shared" si="8"/>
        <v>0</v>
      </c>
      <c r="AJ24" s="45">
        <f t="shared" si="9"/>
        <v>0</v>
      </c>
      <c r="AK24" s="45">
        <f t="shared" si="10"/>
        <v>0</v>
      </c>
      <c r="AL24" s="45"/>
      <c r="AP24" s="58"/>
      <c r="AQ24" s="58"/>
      <c r="AR24" s="58"/>
      <c r="AS24" s="58"/>
    </row>
    <row r="25" spans="1:50" s="39" customFormat="1" x14ac:dyDescent="0.2">
      <c r="A25" s="45" t="s">
        <v>6</v>
      </c>
      <c r="B25" s="39" t="s">
        <v>6</v>
      </c>
      <c r="C25" s="28" t="s">
        <v>380</v>
      </c>
      <c r="D25" s="28">
        <f>SUMIF(Master_Rack!$B$1:$B$265,Constraints!$C25,Master_Rack!$L$1:$L$265)</f>
        <v>720</v>
      </c>
      <c r="E25" s="28"/>
      <c r="F25" s="72"/>
      <c r="G25" s="72"/>
      <c r="H25" s="72"/>
      <c r="I25" s="72"/>
      <c r="J25" s="72"/>
      <c r="K25" t="s">
        <v>387</v>
      </c>
      <c r="L25" s="58"/>
      <c r="M25" s="58"/>
      <c r="N25" s="58"/>
      <c r="O25" s="58"/>
      <c r="P25" s="28">
        <f>SUMIF(Master_Rack!$B$1:$B$265,Constraints!$C25,Master_Rack!$AI$1:$AI$265)</f>
        <v>0</v>
      </c>
      <c r="Q25" s="28">
        <f>SUMIF(Master_Rack!$B$1:$B$265,Constraints!$C25,Master_Rack!$AL$1:$AL$265)</f>
        <v>0</v>
      </c>
      <c r="R25" s="28">
        <f>SUMIF(Master_Rack!$B$1:$B$265,Constraints!$C25,Master_Rack!$AO$1:$AO$265)</f>
        <v>0</v>
      </c>
      <c r="S25" s="28">
        <f>SUMIF(Master_Rack!$B$1:$B$265,Constraints!$C25,Master_Rack!$AR$1:$AR$265)</f>
        <v>0</v>
      </c>
      <c r="T25" s="28">
        <f>SUMIF(Master_Rack!$B$1:$B$265,Constraints!$C25,Master_Rack!$AU$1:$AU$265)</f>
        <v>0</v>
      </c>
      <c r="U25" s="28">
        <f>SUMIF(Master_Rack!$B$1:$B$265,Constraints!$C25,Master_Rack!$AX$1:$AX$265)</f>
        <v>0</v>
      </c>
      <c r="V25" s="45">
        <f t="shared" si="1"/>
        <v>0</v>
      </c>
      <c r="W25" s="45">
        <f t="shared" si="2"/>
        <v>0</v>
      </c>
      <c r="X25" s="45">
        <f t="shared" si="3"/>
        <v>0</v>
      </c>
      <c r="Y25" s="45">
        <f t="shared" si="4"/>
        <v>0</v>
      </c>
      <c r="Z25" s="45">
        <f t="shared" si="5"/>
        <v>0</v>
      </c>
      <c r="AA25" s="28">
        <f>COUNTIFS(Master_Rack!$B$1:$B$265,Constraints!$C25,Master_Rack!$AI$1:$AI$265, "&gt;0")</f>
        <v>0</v>
      </c>
      <c r="AB25" s="28">
        <f>COUNTIFS(Master_Rack!$B$1:$B$265,Constraints!$C25,Master_Rack!$AL$1:$AL$265, "&gt;0")</f>
        <v>0</v>
      </c>
      <c r="AC25" s="28">
        <f>COUNTIFS(Master_Rack!$B$1:$B$265,Constraints!$C25,Master_Rack!$AO$1:$AO$265, "&gt;0")</f>
        <v>0</v>
      </c>
      <c r="AD25" s="28">
        <f>COUNTIFS(Master_Rack!$B$1:$B$265,Constraints!$C25,Master_Rack!$AR$1:$AR$265, "&gt;0")</f>
        <v>0</v>
      </c>
      <c r="AE25" s="28">
        <f>COUNTIFS(Master_Rack!$B$1:$B$265,Constraints!$C25,Master_Rack!$AU$1:$AU$265, "&gt;0")</f>
        <v>0</v>
      </c>
      <c r="AF25" s="28">
        <f>COUNTIFS(Master_Rack!$B$1:$B$265,Constraints!$C25,Master_Rack!$AX$1:$AX$265, "&gt;0")</f>
        <v>0</v>
      </c>
      <c r="AG25" s="45">
        <f t="shared" si="6"/>
        <v>0</v>
      </c>
      <c r="AH25" s="45">
        <f t="shared" si="7"/>
        <v>0</v>
      </c>
      <c r="AI25" s="45">
        <f t="shared" si="8"/>
        <v>0</v>
      </c>
      <c r="AJ25" s="45">
        <f t="shared" si="9"/>
        <v>0</v>
      </c>
      <c r="AK25" s="45">
        <f t="shared" si="10"/>
        <v>0</v>
      </c>
      <c r="AL25" s="45"/>
      <c r="AP25" s="58"/>
      <c r="AQ25" s="58"/>
      <c r="AR25" s="58"/>
      <c r="AS25" s="58"/>
    </row>
    <row r="26" spans="1:50" s="39" customFormat="1" x14ac:dyDescent="0.2">
      <c r="A26" s="45" t="s">
        <v>6</v>
      </c>
      <c r="B26" s="39" t="s">
        <v>6</v>
      </c>
      <c r="C26" s="28" t="s">
        <v>381</v>
      </c>
      <c r="D26" s="28">
        <f>SUMIF(Master_Rack!$B$1:$B$265,Constraints!$C26,Master_Rack!$L$1:$L$265)</f>
        <v>720</v>
      </c>
      <c r="E26" s="28"/>
      <c r="F26" s="72"/>
      <c r="G26" s="72"/>
      <c r="H26" s="72"/>
      <c r="I26" s="72"/>
      <c r="J26" s="72"/>
      <c r="K26" t="s">
        <v>388</v>
      </c>
      <c r="L26" s="58"/>
      <c r="M26" s="58"/>
      <c r="N26" s="58"/>
      <c r="O26" s="58"/>
      <c r="P26" s="28">
        <f>SUMIF(Master_Rack!$B$1:$B$265,Constraints!$C26,Master_Rack!$AI$1:$AI$265)</f>
        <v>0</v>
      </c>
      <c r="Q26" s="28">
        <f>SUMIF(Master_Rack!$B$1:$B$265,Constraints!$C26,Master_Rack!$AL$1:$AL$265)</f>
        <v>0</v>
      </c>
      <c r="R26" s="28">
        <f>SUMIF(Master_Rack!$B$1:$B$265,Constraints!$C26,Master_Rack!$AO$1:$AO$265)</f>
        <v>0</v>
      </c>
      <c r="S26" s="28">
        <f>SUMIF(Master_Rack!$B$1:$B$265,Constraints!$C26,Master_Rack!$AR$1:$AR$265)</f>
        <v>0</v>
      </c>
      <c r="T26" s="28">
        <f>SUMIF(Master_Rack!$B$1:$B$265,Constraints!$C26,Master_Rack!$AU$1:$AU$265)</f>
        <v>0</v>
      </c>
      <c r="U26" s="28">
        <f>SUMIF(Master_Rack!$B$1:$B$265,Constraints!$C26,Master_Rack!$AX$1:$AX$265)</f>
        <v>720</v>
      </c>
      <c r="V26" s="45">
        <f t="shared" si="1"/>
        <v>720</v>
      </c>
      <c r="W26" s="45">
        <f t="shared" si="2"/>
        <v>720</v>
      </c>
      <c r="X26" s="45">
        <f t="shared" si="3"/>
        <v>720</v>
      </c>
      <c r="Y26" s="45">
        <f t="shared" si="4"/>
        <v>720</v>
      </c>
      <c r="Z26" s="45">
        <f t="shared" si="5"/>
        <v>720</v>
      </c>
      <c r="AA26" s="28">
        <f>COUNTIFS(Master_Rack!$B$1:$B$265,Constraints!$C26,Master_Rack!$AI$1:$AI$265, "&gt;0")</f>
        <v>0</v>
      </c>
      <c r="AB26" s="28">
        <f>COUNTIFS(Master_Rack!$B$1:$B$265,Constraints!$C26,Master_Rack!$AL$1:$AL$265, "&gt;0")</f>
        <v>0</v>
      </c>
      <c r="AC26" s="28">
        <f>COUNTIFS(Master_Rack!$B$1:$B$265,Constraints!$C26,Master_Rack!$AO$1:$AO$265, "&gt;0")</f>
        <v>0</v>
      </c>
      <c r="AD26" s="28">
        <f>COUNTIFS(Master_Rack!$B$1:$B$265,Constraints!$C26,Master_Rack!$AR$1:$AR$265, "&gt;0")</f>
        <v>0</v>
      </c>
      <c r="AE26" s="28">
        <f>COUNTIFS(Master_Rack!$B$1:$B$265,Constraints!$C26,Master_Rack!$AU$1:$AU$265, "&gt;0")</f>
        <v>0</v>
      </c>
      <c r="AF26" s="28">
        <f>COUNTIFS(Master_Rack!$B$1:$B$265,Constraints!$C26,Master_Rack!$AX$1:$AX$265, "&gt;0")</f>
        <v>12</v>
      </c>
      <c r="AG26" s="45">
        <f t="shared" si="6"/>
        <v>12</v>
      </c>
      <c r="AH26" s="45">
        <f t="shared" si="7"/>
        <v>12</v>
      </c>
      <c r="AI26" s="45">
        <f t="shared" si="8"/>
        <v>12</v>
      </c>
      <c r="AJ26" s="45">
        <f t="shared" si="9"/>
        <v>12</v>
      </c>
      <c r="AK26" s="45">
        <f t="shared" si="10"/>
        <v>12</v>
      </c>
      <c r="AL26" s="45"/>
      <c r="AP26" s="58"/>
      <c r="AQ26" s="58"/>
      <c r="AR26" s="58"/>
      <c r="AS26" s="58"/>
    </row>
    <row r="27" spans="1:50" s="39" customFormat="1" x14ac:dyDescent="0.2">
      <c r="A27" s="45" t="s">
        <v>6</v>
      </c>
      <c r="B27" s="39" t="s">
        <v>6</v>
      </c>
      <c r="C27" s="28" t="s">
        <v>382</v>
      </c>
      <c r="D27" s="28">
        <f>SUMIF(Master_Rack!$B$1:$B$265,Constraints!$C27,Master_Rack!$L$1:$L$265)</f>
        <v>720</v>
      </c>
      <c r="E27" s="28"/>
      <c r="F27" s="72"/>
      <c r="G27" s="72"/>
      <c r="H27" s="72"/>
      <c r="I27" s="72"/>
      <c r="J27" s="72"/>
      <c r="K27" t="s">
        <v>388</v>
      </c>
      <c r="L27" s="58"/>
      <c r="M27" s="58"/>
      <c r="N27" s="58"/>
      <c r="O27" s="58"/>
      <c r="P27" s="28">
        <f>SUMIF(Master_Rack!$B$1:$B$265,Constraints!$C27,Master_Rack!$AI$1:$AI$265)</f>
        <v>0</v>
      </c>
      <c r="Q27" s="28">
        <f>SUMIF(Master_Rack!$B$1:$B$265,Constraints!$C27,Master_Rack!$AL$1:$AL$265)</f>
        <v>0</v>
      </c>
      <c r="R27" s="28">
        <f>SUMIF(Master_Rack!$B$1:$B$265,Constraints!$C27,Master_Rack!$AO$1:$AO$265)</f>
        <v>0</v>
      </c>
      <c r="S27" s="28">
        <f>SUMIF(Master_Rack!$B$1:$B$265,Constraints!$C27,Master_Rack!$AR$1:$AR$265)</f>
        <v>0</v>
      </c>
      <c r="T27" s="28">
        <f>SUMIF(Master_Rack!$B$1:$B$265,Constraints!$C27,Master_Rack!$AU$1:$AU$265)</f>
        <v>0</v>
      </c>
      <c r="U27" s="28">
        <f>SUMIF(Master_Rack!$B$1:$B$265,Constraints!$C27,Master_Rack!$AX$1:$AX$265)</f>
        <v>675</v>
      </c>
      <c r="V27" s="45">
        <f t="shared" si="1"/>
        <v>675</v>
      </c>
      <c r="W27" s="45">
        <f t="shared" si="2"/>
        <v>675</v>
      </c>
      <c r="X27" s="45">
        <f t="shared" si="3"/>
        <v>675</v>
      </c>
      <c r="Y27" s="45">
        <f t="shared" si="4"/>
        <v>675</v>
      </c>
      <c r="Z27" s="45">
        <f t="shared" si="5"/>
        <v>675</v>
      </c>
      <c r="AA27" s="28">
        <f>COUNTIFS(Master_Rack!$B$1:$B$265,Constraints!$C27,Master_Rack!$AI$1:$AI$265, "&gt;0")</f>
        <v>0</v>
      </c>
      <c r="AB27" s="28">
        <f>COUNTIFS(Master_Rack!$B$1:$B$265,Constraints!$C27,Master_Rack!$AL$1:$AL$265, "&gt;0")</f>
        <v>0</v>
      </c>
      <c r="AC27" s="28">
        <f>COUNTIFS(Master_Rack!$B$1:$B$265,Constraints!$C27,Master_Rack!$AO$1:$AO$265, "&gt;0")</f>
        <v>0</v>
      </c>
      <c r="AD27" s="28">
        <f>COUNTIFS(Master_Rack!$B$1:$B$265,Constraints!$C27,Master_Rack!$AR$1:$AR$265, "&gt;0")</f>
        <v>0</v>
      </c>
      <c r="AE27" s="28">
        <f>COUNTIFS(Master_Rack!$B$1:$B$265,Constraints!$C27,Master_Rack!$AU$1:$AU$265, "&gt;0")</f>
        <v>0</v>
      </c>
      <c r="AF27" s="28">
        <f>COUNTIFS(Master_Rack!$B$1:$B$265,Constraints!$C27,Master_Rack!$AX$1:$AX$265, "&gt;0")</f>
        <v>12</v>
      </c>
      <c r="AG27" s="45">
        <f t="shared" si="6"/>
        <v>12</v>
      </c>
      <c r="AH27" s="45">
        <f t="shared" si="7"/>
        <v>12</v>
      </c>
      <c r="AI27" s="45">
        <f t="shared" si="8"/>
        <v>12</v>
      </c>
      <c r="AJ27" s="45">
        <f t="shared" si="9"/>
        <v>12</v>
      </c>
      <c r="AK27" s="45">
        <f t="shared" si="10"/>
        <v>12</v>
      </c>
      <c r="AL27" s="45"/>
      <c r="AP27" s="58"/>
      <c r="AQ27" s="58"/>
      <c r="AR27" s="58"/>
      <c r="AS27" s="58"/>
    </row>
    <row r="28" spans="1:50" s="39" customFormat="1" x14ac:dyDescent="0.2">
      <c r="A28" s="45" t="s">
        <v>627</v>
      </c>
      <c r="B28" s="39" t="s">
        <v>530</v>
      </c>
      <c r="C28" s="28" t="s">
        <v>448</v>
      </c>
      <c r="D28" s="28">
        <f>SUMIF(Master_Rack!$R$1:$R$265,Constraints!$C28,Master_Rack!$L$1:$L$265)</f>
        <v>180</v>
      </c>
      <c r="E28" t="s">
        <v>664</v>
      </c>
      <c r="F28" s="45">
        <v>230</v>
      </c>
      <c r="G28" s="45"/>
      <c r="H28" s="45"/>
      <c r="I28" s="71" t="s">
        <v>663</v>
      </c>
      <c r="J28" s="45">
        <v>288</v>
      </c>
      <c r="K28" s="45" t="s">
        <v>455</v>
      </c>
      <c r="L28" s="45"/>
      <c r="M28" s="45"/>
      <c r="N28" s="45"/>
      <c r="O28" s="45"/>
      <c r="P28" s="28">
        <f>SUMIF(Master_Rack!$R$1:$R$265,Constraints!$C28,Master_Rack!$AI$1:$AI$265)</f>
        <v>120</v>
      </c>
      <c r="Q28" s="28">
        <f>SUMIF(Master_Rack!$R$1:$R$265,Constraints!$C28,Master_Rack!$AL$1:$AL$265)</f>
        <v>0</v>
      </c>
      <c r="R28" s="28">
        <f>SUMIF(Master_Rack!$R$1:$R$265,Constraints!$C28,Master_Rack!$AO$1:$AO$265)</f>
        <v>0</v>
      </c>
      <c r="S28" s="28">
        <f>SUMIF(Master_Rack!$R$1:$R$265,Constraints!$C28,Master_Rack!$AR$1:$AR$265)</f>
        <v>0</v>
      </c>
      <c r="T28" s="28">
        <f>SUMIF(Master_Rack!$R$1:$R$265,Constraints!$C28,Master_Rack!$AU$1:$AU$265)</f>
        <v>0</v>
      </c>
      <c r="U28" s="28">
        <f>SUMIF(Master_Rack!$R$1:$R$265,Constraints!$C28,Master_Rack!$AX$1:$AX$265)</f>
        <v>0</v>
      </c>
      <c r="V28" s="45">
        <f t="shared" ref="V28:V59" si="11">SUM(P28,U28)</f>
        <v>120</v>
      </c>
      <c r="W28" s="45">
        <f>SUM($P28,Q28,$U28)</f>
        <v>120</v>
      </c>
      <c r="X28" s="45">
        <f>SUM($P28,R28,$U28)</f>
        <v>120</v>
      </c>
      <c r="Y28" s="45">
        <f>SUM($P28,S28,$U28)</f>
        <v>120</v>
      </c>
      <c r="Z28" s="45">
        <f>SUM($P28,T28,$U28)</f>
        <v>120</v>
      </c>
      <c r="AA28" s="28">
        <f>COUNTIFS(Master_Rack!$R$1:$R$265,Constraints!$C28,Master_Rack!$AI$1:$AI$265, "&gt;0")</f>
        <v>9</v>
      </c>
      <c r="AB28" s="28">
        <f>COUNTIFS(Master_Rack!$R$1:$R$265,Constraints!$C28,Master_Rack!$AL$1:$AL$265, "&gt;0")</f>
        <v>0</v>
      </c>
      <c r="AC28" s="28">
        <f>COUNTIFS(Master_Rack!$R$1:$R$265,Constraints!$C28,Master_Rack!$AO$1:$AO$265, "&gt;0")</f>
        <v>0</v>
      </c>
      <c r="AD28" s="28">
        <f>COUNTIFS(Master_Rack!$R$1:$R$265,Constraints!$C28,Master_Rack!$AR$1:$AR$265, "&gt;0")</f>
        <v>0</v>
      </c>
      <c r="AE28" s="28">
        <f>COUNTIFS(Master_Rack!$R$1:$R$265,Constraints!$C28,Master_Rack!$AU$1:$AU$265, "&gt;0")</f>
        <v>0</v>
      </c>
      <c r="AF28" s="28">
        <f>COUNTIFS(Master_Rack!$R$1:$R$265,Constraints!$C28,Master_Rack!$AX$1:$AX$265, "&gt;0")</f>
        <v>0</v>
      </c>
      <c r="AG28" s="45">
        <f t="shared" si="6"/>
        <v>9</v>
      </c>
      <c r="AH28" s="45">
        <f t="shared" si="7"/>
        <v>9</v>
      </c>
      <c r="AI28" s="45">
        <f t="shared" si="8"/>
        <v>9</v>
      </c>
      <c r="AJ28" s="45">
        <f t="shared" si="9"/>
        <v>9</v>
      </c>
      <c r="AK28" s="45">
        <f t="shared" si="10"/>
        <v>9</v>
      </c>
      <c r="AL28" s="45"/>
      <c r="AP28" s="58"/>
      <c r="AQ28" s="58"/>
      <c r="AR28" s="58"/>
      <c r="AS28" s="58"/>
      <c r="AT28" s="45">
        <v>54</v>
      </c>
      <c r="AU28" s="45"/>
      <c r="AV28"/>
      <c r="AW28">
        <v>12</v>
      </c>
      <c r="AX28" s="45"/>
    </row>
    <row r="29" spans="1:50" s="39" customFormat="1" x14ac:dyDescent="0.2">
      <c r="A29" s="45" t="s">
        <v>627</v>
      </c>
      <c r="B29" s="39" t="s">
        <v>530</v>
      </c>
      <c r="C29" s="28" t="s">
        <v>449</v>
      </c>
      <c r="D29" s="28">
        <f>SUMIF(Master_Rack!$R$1:$R$265,Constraints!$C29,Master_Rack!$L$1:$L$265)</f>
        <v>180</v>
      </c>
      <c r="E29" t="s">
        <v>664</v>
      </c>
      <c r="F29" s="45">
        <v>230</v>
      </c>
      <c r="G29" s="45"/>
      <c r="H29" s="45"/>
      <c r="I29" s="71" t="s">
        <v>663</v>
      </c>
      <c r="J29" s="45">
        <v>288</v>
      </c>
      <c r="K29" s="45" t="s">
        <v>455</v>
      </c>
      <c r="L29" s="45"/>
      <c r="M29" s="45"/>
      <c r="N29" s="45"/>
      <c r="O29" s="45"/>
      <c r="P29" s="28">
        <f>SUMIF(Master_Rack!$R$1:$R$265,Constraints!$C29,Master_Rack!$AI$1:$AI$265)</f>
        <v>120</v>
      </c>
      <c r="Q29" s="28">
        <f>SUMIF(Master_Rack!$R$1:$R$265,Constraints!$C29,Master_Rack!$AL$1:$AL$265)</f>
        <v>0</v>
      </c>
      <c r="R29" s="28">
        <f>SUMIF(Master_Rack!$R$1:$R$265,Constraints!$C29,Master_Rack!$AO$1:$AO$265)</f>
        <v>0</v>
      </c>
      <c r="S29" s="28">
        <f>SUMIF(Master_Rack!$R$1:$R$265,Constraints!$C29,Master_Rack!$AR$1:$AR$265)</f>
        <v>0</v>
      </c>
      <c r="T29" s="28">
        <f>SUMIF(Master_Rack!$R$1:$R$265,Constraints!$C29,Master_Rack!$AU$1:$AU$265)</f>
        <v>0</v>
      </c>
      <c r="U29" s="28">
        <f>SUMIF(Master_Rack!$R$1:$R$265,Constraints!$C29,Master_Rack!$AX$1:$AX$265)</f>
        <v>0</v>
      </c>
      <c r="V29" s="45">
        <f t="shared" si="11"/>
        <v>120</v>
      </c>
      <c r="W29" s="45">
        <f t="shared" ref="W29:W60" si="12">SUM($P29,Q29,$U29)</f>
        <v>120</v>
      </c>
      <c r="X29" s="45">
        <f t="shared" ref="X29:X60" si="13">SUM($P29,R29,$U29)</f>
        <v>120</v>
      </c>
      <c r="Y29" s="45">
        <f t="shared" ref="Y29:Y60" si="14">SUM($P29,S29,$U29)</f>
        <v>120</v>
      </c>
      <c r="Z29" s="45">
        <f t="shared" ref="Z29:Z86" si="15">SUM($P29,T29,$U29)</f>
        <v>120</v>
      </c>
      <c r="AA29" s="28">
        <f>COUNTIFS(Master_Rack!$R$1:$R$265,Constraints!$C29,Master_Rack!$AI$1:$AI$265, "&gt;0")</f>
        <v>9</v>
      </c>
      <c r="AB29" s="28">
        <f>COUNTIFS(Master_Rack!$R$1:$R$265,Constraints!$C29,Master_Rack!$AL$1:$AL$265, "&gt;0")</f>
        <v>0</v>
      </c>
      <c r="AC29" s="28">
        <f>COUNTIFS(Master_Rack!$R$1:$R$265,Constraints!$C29,Master_Rack!$AO$1:$AO$265, "&gt;0")</f>
        <v>0</v>
      </c>
      <c r="AD29" s="28">
        <f>COUNTIFS(Master_Rack!$R$1:$R$265,Constraints!$C29,Master_Rack!$AR$1:$AR$265, "&gt;0")</f>
        <v>0</v>
      </c>
      <c r="AE29" s="28">
        <f>COUNTIFS(Master_Rack!$R$1:$R$265,Constraints!$C29,Master_Rack!$AU$1:$AU$265, "&gt;0")</f>
        <v>0</v>
      </c>
      <c r="AF29" s="28">
        <f>COUNTIFS(Master_Rack!$R$1:$R$265,Constraints!$C29,Master_Rack!$AX$1:$AX$265, "&gt;0")</f>
        <v>0</v>
      </c>
      <c r="AG29" s="45">
        <f t="shared" si="6"/>
        <v>9</v>
      </c>
      <c r="AH29" s="45">
        <f t="shared" si="7"/>
        <v>9</v>
      </c>
      <c r="AI29" s="45">
        <f t="shared" si="8"/>
        <v>9</v>
      </c>
      <c r="AJ29" s="45">
        <f t="shared" si="9"/>
        <v>9</v>
      </c>
      <c r="AK29" s="45">
        <f t="shared" si="10"/>
        <v>9</v>
      </c>
      <c r="AL29" s="45"/>
      <c r="AP29" s="58"/>
      <c r="AQ29" s="58"/>
      <c r="AR29" s="58"/>
      <c r="AS29" s="58"/>
      <c r="AT29" s="45">
        <v>54</v>
      </c>
      <c r="AU29" s="45"/>
      <c r="AV29"/>
      <c r="AW29">
        <v>12</v>
      </c>
      <c r="AX29" s="45"/>
    </row>
    <row r="30" spans="1:50" s="39" customFormat="1" x14ac:dyDescent="0.2">
      <c r="A30" s="45" t="s">
        <v>627</v>
      </c>
      <c r="B30" s="39" t="s">
        <v>530</v>
      </c>
      <c r="C30" s="28" t="s">
        <v>450</v>
      </c>
      <c r="D30" s="28">
        <f>SUMIF(Master_Rack!$R$1:$R$265,Constraints!$C30,Master_Rack!$L$1:$L$265)</f>
        <v>180</v>
      </c>
      <c r="E30" t="s">
        <v>664</v>
      </c>
      <c r="F30" s="45">
        <v>230</v>
      </c>
      <c r="G30" s="45"/>
      <c r="H30" s="45"/>
      <c r="I30" s="71" t="s">
        <v>663</v>
      </c>
      <c r="J30" s="45">
        <v>288</v>
      </c>
      <c r="K30" s="45" t="s">
        <v>455</v>
      </c>
      <c r="L30" s="45"/>
      <c r="M30" s="45"/>
      <c r="N30" s="45"/>
      <c r="O30" s="45"/>
      <c r="P30" s="28">
        <f>SUMIF(Master_Rack!$R$1:$R$265,Constraints!$C30,Master_Rack!$AI$1:$AI$265)</f>
        <v>105</v>
      </c>
      <c r="Q30" s="28">
        <f>SUMIF(Master_Rack!$R$1:$R$265,Constraints!$C30,Master_Rack!$AL$1:$AL$265)</f>
        <v>0</v>
      </c>
      <c r="R30" s="28">
        <f>SUMIF(Master_Rack!$R$1:$R$265,Constraints!$C30,Master_Rack!$AO$1:$AO$265)</f>
        <v>0</v>
      </c>
      <c r="S30" s="28">
        <f>SUMIF(Master_Rack!$R$1:$R$265,Constraints!$C30,Master_Rack!$AR$1:$AR$265)</f>
        <v>0</v>
      </c>
      <c r="T30" s="28">
        <f>SUMIF(Master_Rack!$R$1:$R$265,Constraints!$C30,Master_Rack!$AU$1:$AU$265)</f>
        <v>0</v>
      </c>
      <c r="U30" s="28">
        <f>SUMIF(Master_Rack!$R$1:$R$265,Constraints!$C30,Master_Rack!$AX$1:$AX$265)</f>
        <v>0</v>
      </c>
      <c r="V30" s="45">
        <f t="shared" si="11"/>
        <v>105</v>
      </c>
      <c r="W30" s="45">
        <f t="shared" si="12"/>
        <v>105</v>
      </c>
      <c r="X30" s="45">
        <f t="shared" si="13"/>
        <v>105</v>
      </c>
      <c r="Y30" s="45">
        <f t="shared" si="14"/>
        <v>105</v>
      </c>
      <c r="Z30" s="45">
        <f t="shared" si="15"/>
        <v>105</v>
      </c>
      <c r="AA30" s="28">
        <f>COUNTIFS(Master_Rack!$R$1:$R$265,Constraints!$C30,Master_Rack!$AI$1:$AI$265, "&gt;0")</f>
        <v>9</v>
      </c>
      <c r="AB30" s="28">
        <f>COUNTIFS(Master_Rack!$R$1:$R$265,Constraints!$C30,Master_Rack!$AL$1:$AL$265, "&gt;0")</f>
        <v>0</v>
      </c>
      <c r="AC30" s="28">
        <f>COUNTIFS(Master_Rack!$R$1:$R$265,Constraints!$C30,Master_Rack!$AO$1:$AO$265, "&gt;0")</f>
        <v>0</v>
      </c>
      <c r="AD30" s="28">
        <f>COUNTIFS(Master_Rack!$R$1:$R$265,Constraints!$C30,Master_Rack!$AR$1:$AR$265, "&gt;0")</f>
        <v>0</v>
      </c>
      <c r="AE30" s="28">
        <f>COUNTIFS(Master_Rack!$R$1:$R$265,Constraints!$C30,Master_Rack!$AU$1:$AU$265, "&gt;0")</f>
        <v>0</v>
      </c>
      <c r="AF30" s="28">
        <f>COUNTIFS(Master_Rack!$R$1:$R$265,Constraints!$C30,Master_Rack!$AX$1:$AX$265, "&gt;0")</f>
        <v>0</v>
      </c>
      <c r="AG30" s="45">
        <f t="shared" si="6"/>
        <v>9</v>
      </c>
      <c r="AH30" s="45">
        <f t="shared" si="7"/>
        <v>9</v>
      </c>
      <c r="AI30" s="45">
        <f t="shared" si="8"/>
        <v>9</v>
      </c>
      <c r="AJ30" s="45">
        <f t="shared" si="9"/>
        <v>9</v>
      </c>
      <c r="AK30" s="45">
        <f t="shared" si="10"/>
        <v>9</v>
      </c>
      <c r="AL30" s="45"/>
      <c r="AP30" s="58"/>
      <c r="AQ30" s="58"/>
      <c r="AR30" s="58"/>
      <c r="AS30" s="58"/>
      <c r="AT30" s="45">
        <v>54</v>
      </c>
      <c r="AU30" s="45"/>
      <c r="AV30"/>
      <c r="AW30">
        <v>12</v>
      </c>
      <c r="AX30" s="45"/>
    </row>
    <row r="31" spans="1:50" s="39" customFormat="1" x14ac:dyDescent="0.2">
      <c r="A31" s="45" t="s">
        <v>627</v>
      </c>
      <c r="B31" s="39" t="s">
        <v>530</v>
      </c>
      <c r="C31" s="28" t="s">
        <v>451</v>
      </c>
      <c r="D31" s="28">
        <f>SUMIF(Master_Rack!$R$1:$R$265,Constraints!$C31,Master_Rack!$L$1:$L$265)</f>
        <v>180</v>
      </c>
      <c r="E31" t="s">
        <v>664</v>
      </c>
      <c r="F31" s="45">
        <v>230</v>
      </c>
      <c r="G31" s="45"/>
      <c r="H31" s="45"/>
      <c r="I31" s="71" t="s">
        <v>663</v>
      </c>
      <c r="J31" s="45">
        <v>288</v>
      </c>
      <c r="K31" s="45" t="s">
        <v>455</v>
      </c>
      <c r="L31" s="45"/>
      <c r="M31" s="45"/>
      <c r="N31" s="45"/>
      <c r="O31" s="45"/>
      <c r="P31" s="28">
        <f>SUMIF(Master_Rack!$R$1:$R$265,Constraints!$C31,Master_Rack!$AI$1:$AI$265)</f>
        <v>105</v>
      </c>
      <c r="Q31" s="28">
        <f>SUMIF(Master_Rack!$R$1:$R$265,Constraints!$C31,Master_Rack!$AL$1:$AL$265)</f>
        <v>0</v>
      </c>
      <c r="R31" s="28">
        <f>SUMIF(Master_Rack!$R$1:$R$265,Constraints!$C31,Master_Rack!$AO$1:$AO$265)</f>
        <v>0</v>
      </c>
      <c r="S31" s="28">
        <f>SUMIF(Master_Rack!$R$1:$R$265,Constraints!$C31,Master_Rack!$AR$1:$AR$265)</f>
        <v>0</v>
      </c>
      <c r="T31" s="28">
        <f>SUMIF(Master_Rack!$R$1:$R$265,Constraints!$C31,Master_Rack!$AU$1:$AU$265)</f>
        <v>0</v>
      </c>
      <c r="U31" s="28">
        <f>SUMIF(Master_Rack!$R$1:$R$265,Constraints!$C31,Master_Rack!$AX$1:$AX$265)</f>
        <v>0</v>
      </c>
      <c r="V31" s="45">
        <f t="shared" si="11"/>
        <v>105</v>
      </c>
      <c r="W31" s="45">
        <f t="shared" si="12"/>
        <v>105</v>
      </c>
      <c r="X31" s="45">
        <f t="shared" si="13"/>
        <v>105</v>
      </c>
      <c r="Y31" s="45">
        <f t="shared" si="14"/>
        <v>105</v>
      </c>
      <c r="Z31" s="45">
        <f t="shared" si="15"/>
        <v>105</v>
      </c>
      <c r="AA31" s="28">
        <f>COUNTIFS(Master_Rack!$R$1:$R$265,Constraints!$C31,Master_Rack!$AI$1:$AI$265, "&gt;0")</f>
        <v>9</v>
      </c>
      <c r="AB31" s="28">
        <f>COUNTIFS(Master_Rack!$R$1:$R$265,Constraints!$C31,Master_Rack!$AL$1:$AL$265, "&gt;0")</f>
        <v>0</v>
      </c>
      <c r="AC31" s="28">
        <f>COUNTIFS(Master_Rack!$R$1:$R$265,Constraints!$C31,Master_Rack!$AO$1:$AO$265, "&gt;0")</f>
        <v>0</v>
      </c>
      <c r="AD31" s="28">
        <f>COUNTIFS(Master_Rack!$R$1:$R$265,Constraints!$C31,Master_Rack!$AR$1:$AR$265, "&gt;0")</f>
        <v>0</v>
      </c>
      <c r="AE31" s="28">
        <f>COUNTIFS(Master_Rack!$R$1:$R$265,Constraints!$C31,Master_Rack!$AU$1:$AU$265, "&gt;0")</f>
        <v>0</v>
      </c>
      <c r="AF31" s="28">
        <f>COUNTIFS(Master_Rack!$R$1:$R$265,Constraints!$C31,Master_Rack!$AX$1:$AX$265, "&gt;0")</f>
        <v>0</v>
      </c>
      <c r="AG31" s="45">
        <f t="shared" si="6"/>
        <v>9</v>
      </c>
      <c r="AH31" s="45">
        <f t="shared" si="7"/>
        <v>9</v>
      </c>
      <c r="AI31" s="45">
        <f t="shared" si="8"/>
        <v>9</v>
      </c>
      <c r="AJ31" s="45">
        <f t="shared" si="9"/>
        <v>9</v>
      </c>
      <c r="AK31" s="45">
        <f t="shared" si="10"/>
        <v>9</v>
      </c>
      <c r="AL31" s="45"/>
      <c r="AP31" s="58"/>
      <c r="AQ31" s="58"/>
      <c r="AR31" s="58"/>
      <c r="AS31" s="58"/>
      <c r="AT31" s="45">
        <v>54</v>
      </c>
      <c r="AU31" s="45"/>
      <c r="AV31"/>
      <c r="AW31">
        <v>12</v>
      </c>
      <c r="AX31" s="45"/>
    </row>
    <row r="32" spans="1:50" x14ac:dyDescent="0.2">
      <c r="A32" s="45" t="s">
        <v>627</v>
      </c>
      <c r="B32" s="39" t="s">
        <v>530</v>
      </c>
      <c r="C32" s="28" t="s">
        <v>27</v>
      </c>
      <c r="D32" s="28">
        <f>SUMIF(Master_Rack!$R$1:$R$265,Constraints!$C32,Master_Rack!$L$1:$L$265)</f>
        <v>1260</v>
      </c>
      <c r="E32" t="s">
        <v>664</v>
      </c>
      <c r="F32" s="129">
        <v>920</v>
      </c>
      <c r="G32" s="41"/>
      <c r="H32" s="41"/>
      <c r="I32" s="71" t="s">
        <v>663</v>
      </c>
      <c r="J32" s="45">
        <v>1150</v>
      </c>
      <c r="K32" s="45" t="s">
        <v>385</v>
      </c>
      <c r="L32" s="41"/>
      <c r="M32" s="41"/>
      <c r="N32" s="41"/>
      <c r="O32" s="41"/>
      <c r="P32" s="28">
        <f>SUMIF(Master_Rack!$R$1:$R$265,Constraints!$C32,Master_Rack!$AI$1:$AI$265)</f>
        <v>0</v>
      </c>
      <c r="Q32" s="64">
        <f>SUMIF(Master_Rack!$R$1:$R$265,Constraints!$C32,Master_Rack!$AL$1:$AL$265)</f>
        <v>960</v>
      </c>
      <c r="R32" s="28">
        <f>SUMIF(Master_Rack!$R$1:$R$265,Constraints!$C32,Master_Rack!$AO$1:$AO$265)</f>
        <v>660</v>
      </c>
      <c r="S32" s="28">
        <f>SUMIF(Master_Rack!$R$1:$R$265,Constraints!$C32,Master_Rack!$AR$1:$AR$265)</f>
        <v>0</v>
      </c>
      <c r="T32" s="28">
        <f>SUMIF(Master_Rack!$R$1:$R$265,Constraints!$C32,Master_Rack!$AU$1:$AU$265)</f>
        <v>120</v>
      </c>
      <c r="U32" s="28">
        <f>SUMIF(Master_Rack!$R$1:$R$265,Constraints!$C32,Master_Rack!$AX$1:$AX$265)</f>
        <v>0</v>
      </c>
      <c r="V32" s="45">
        <f t="shared" si="11"/>
        <v>0</v>
      </c>
      <c r="W32" s="45">
        <f t="shared" si="12"/>
        <v>960</v>
      </c>
      <c r="X32" s="45">
        <f t="shared" si="13"/>
        <v>660</v>
      </c>
      <c r="Y32" s="45">
        <f t="shared" si="14"/>
        <v>0</v>
      </c>
      <c r="Z32" s="45">
        <f t="shared" si="15"/>
        <v>120</v>
      </c>
      <c r="AA32" s="28">
        <f>COUNTIFS(Master_Rack!$R$1:$R$265,Constraints!$C32,Master_Rack!$AI$1:$AI$265, "&gt;0")</f>
        <v>0</v>
      </c>
      <c r="AB32" s="28">
        <f>COUNTIFS(Master_Rack!$R$1:$R$265,Constraints!$C32,Master_Rack!$AL$1:$AL$265, "&gt;0")</f>
        <v>32</v>
      </c>
      <c r="AC32" s="28">
        <f>COUNTIFS(Master_Rack!$R$1:$R$265,Constraints!$C32,Master_Rack!$AO$1:$AO$265, "&gt;0")</f>
        <v>22</v>
      </c>
      <c r="AD32" s="28">
        <f>COUNTIFS(Master_Rack!$R$1:$R$265,Constraints!$C32,Master_Rack!$AR$1:$AR$265, "&gt;0")</f>
        <v>0</v>
      </c>
      <c r="AE32" s="28">
        <f>COUNTIFS(Master_Rack!$R$1:$R$265,Constraints!$C32,Master_Rack!$AU$1:$AU$265, "&gt;0")</f>
        <v>4</v>
      </c>
      <c r="AF32" s="28">
        <f>COUNTIFS(Master_Rack!$R$1:$R$265,Constraints!$C32,Master_Rack!$AX$1:$AX$265, "&gt;0")</f>
        <v>0</v>
      </c>
      <c r="AG32" s="45">
        <f t="shared" si="6"/>
        <v>0</v>
      </c>
      <c r="AH32" s="45">
        <f t="shared" si="7"/>
        <v>32</v>
      </c>
      <c r="AI32" s="45">
        <f t="shared" si="8"/>
        <v>22</v>
      </c>
      <c r="AJ32" s="45">
        <f t="shared" si="9"/>
        <v>0</v>
      </c>
      <c r="AK32" s="45">
        <f t="shared" si="10"/>
        <v>4</v>
      </c>
      <c r="AL32" s="45"/>
      <c r="AT32" s="45">
        <v>120</v>
      </c>
      <c r="AU32" s="45"/>
      <c r="AW32">
        <v>40</v>
      </c>
      <c r="AX32" s="45"/>
    </row>
    <row r="33" spans="1:50" x14ac:dyDescent="0.2">
      <c r="A33" s="45" t="s">
        <v>627</v>
      </c>
      <c r="B33" s="39" t="s">
        <v>530</v>
      </c>
      <c r="C33" s="28" t="s">
        <v>30</v>
      </c>
      <c r="D33" s="28">
        <f>SUMIF(Master_Rack!$R$1:$R$265,Constraints!$C33,Master_Rack!$L$1:$L$265)</f>
        <v>1260</v>
      </c>
      <c r="E33" t="s">
        <v>664</v>
      </c>
      <c r="F33" s="129">
        <v>920</v>
      </c>
      <c r="G33" s="41"/>
      <c r="H33" s="41"/>
      <c r="I33" s="71" t="s">
        <v>663</v>
      </c>
      <c r="J33" s="45">
        <v>1150</v>
      </c>
      <c r="K33" s="45" t="s">
        <v>385</v>
      </c>
      <c r="L33" s="41"/>
      <c r="M33" s="41"/>
      <c r="N33" s="41"/>
      <c r="O33" s="41"/>
      <c r="P33" s="28">
        <f>SUMIF(Master_Rack!$R$1:$R$265,Constraints!$C33,Master_Rack!$AI$1:$AI$265)</f>
        <v>0</v>
      </c>
      <c r="Q33" s="28">
        <f>SUMIF(Master_Rack!$R$1:$R$265,Constraints!$C33,Master_Rack!$AL$1:$AL$265)</f>
        <v>600</v>
      </c>
      <c r="R33" s="28">
        <f>SUMIF(Master_Rack!$R$1:$R$265,Constraints!$C33,Master_Rack!$AO$1:$AO$265)</f>
        <v>900</v>
      </c>
      <c r="S33" s="28">
        <f>SUMIF(Master_Rack!$R$1:$R$265,Constraints!$C33,Master_Rack!$AR$1:$AR$265)</f>
        <v>0</v>
      </c>
      <c r="T33" s="28">
        <f>SUMIF(Master_Rack!$R$1:$R$265,Constraints!$C33,Master_Rack!$AU$1:$AU$265)</f>
        <v>120</v>
      </c>
      <c r="U33" s="28">
        <f>SUMIF(Master_Rack!$R$1:$R$265,Constraints!$C33,Master_Rack!$AX$1:$AX$265)</f>
        <v>0</v>
      </c>
      <c r="V33" s="45">
        <f t="shared" si="11"/>
        <v>0</v>
      </c>
      <c r="W33" s="45">
        <f t="shared" si="12"/>
        <v>600</v>
      </c>
      <c r="X33" s="45">
        <f t="shared" si="13"/>
        <v>900</v>
      </c>
      <c r="Y33" s="45">
        <f t="shared" si="14"/>
        <v>0</v>
      </c>
      <c r="Z33" s="45">
        <f t="shared" si="15"/>
        <v>120</v>
      </c>
      <c r="AA33" s="28">
        <f>COUNTIFS(Master_Rack!$R$1:$R$265,Constraints!$C33,Master_Rack!$AI$1:$AI$265, "&gt;0")</f>
        <v>0</v>
      </c>
      <c r="AB33" s="28">
        <f>COUNTIFS(Master_Rack!$R$1:$R$265,Constraints!$C33,Master_Rack!$AL$1:$AL$265, "&gt;0")</f>
        <v>20</v>
      </c>
      <c r="AC33" s="28">
        <f>COUNTIFS(Master_Rack!$R$1:$R$265,Constraints!$C33,Master_Rack!$AO$1:$AO$265, "&gt;0")</f>
        <v>30</v>
      </c>
      <c r="AD33" s="28">
        <f>COUNTIFS(Master_Rack!$R$1:$R$265,Constraints!$C33,Master_Rack!$AR$1:$AR$265, "&gt;0")</f>
        <v>0</v>
      </c>
      <c r="AE33" s="28">
        <f>COUNTIFS(Master_Rack!$R$1:$R$265,Constraints!$C33,Master_Rack!$AU$1:$AU$265, "&gt;0")</f>
        <v>4</v>
      </c>
      <c r="AF33" s="28">
        <f>COUNTIFS(Master_Rack!$R$1:$R$265,Constraints!$C33,Master_Rack!$AX$1:$AX$265, "&gt;0")</f>
        <v>0</v>
      </c>
      <c r="AG33" s="45">
        <f t="shared" si="6"/>
        <v>0</v>
      </c>
      <c r="AH33" s="45">
        <f t="shared" si="7"/>
        <v>20</v>
      </c>
      <c r="AI33" s="45">
        <f t="shared" si="8"/>
        <v>30</v>
      </c>
      <c r="AJ33" s="45">
        <f t="shared" si="9"/>
        <v>0</v>
      </c>
      <c r="AK33" s="45">
        <f t="shared" si="10"/>
        <v>4</v>
      </c>
      <c r="AL33" s="45"/>
      <c r="AT33" s="45">
        <v>120</v>
      </c>
      <c r="AU33" s="45"/>
      <c r="AW33">
        <v>40</v>
      </c>
      <c r="AX33" s="45"/>
    </row>
    <row r="34" spans="1:50" x14ac:dyDescent="0.2">
      <c r="A34" s="45" t="s">
        <v>627</v>
      </c>
      <c r="B34" s="39" t="s">
        <v>530</v>
      </c>
      <c r="C34" s="28" t="s">
        <v>32</v>
      </c>
      <c r="D34" s="28">
        <f>SUMIF(Master_Rack!$R$1:$R$265,Constraints!$C34,Master_Rack!$L$1:$L$265)</f>
        <v>1440</v>
      </c>
      <c r="E34" t="s">
        <v>664</v>
      </c>
      <c r="F34" s="41">
        <v>920</v>
      </c>
      <c r="G34" s="41"/>
      <c r="H34" s="41"/>
      <c r="I34" s="71" t="s">
        <v>663</v>
      </c>
      <c r="J34" s="45">
        <v>1150</v>
      </c>
      <c r="K34" s="45" t="s">
        <v>385</v>
      </c>
      <c r="L34" s="41"/>
      <c r="M34" s="41"/>
      <c r="N34" s="41"/>
      <c r="O34" s="41"/>
      <c r="P34" s="28">
        <f>SUMIF(Master_Rack!$R$1:$R$265,Constraints!$C34,Master_Rack!$AI$1:$AI$265)</f>
        <v>0</v>
      </c>
      <c r="Q34" s="28">
        <f>SUMIF(Master_Rack!$R$1:$R$265,Constraints!$C34,Master_Rack!$AL$1:$AL$265)</f>
        <v>0</v>
      </c>
      <c r="R34" s="28">
        <f>SUMIF(Master_Rack!$R$1:$R$265,Constraints!$C34,Master_Rack!$AO$1:$AO$265)</f>
        <v>0</v>
      </c>
      <c r="S34" s="28">
        <f>SUMIF(Master_Rack!$R$1:$R$265,Constraints!$C34,Master_Rack!$AR$1:$AR$265)</f>
        <v>780</v>
      </c>
      <c r="T34" s="28">
        <f>SUMIF(Master_Rack!$R$1:$R$265,Constraints!$C34,Master_Rack!$AU$1:$AU$265)</f>
        <v>660</v>
      </c>
      <c r="U34" s="28">
        <f>SUMIF(Master_Rack!$R$1:$R$265,Constraints!$C34,Master_Rack!$AX$1:$AX$265)</f>
        <v>0</v>
      </c>
      <c r="V34" s="45">
        <f t="shared" si="11"/>
        <v>0</v>
      </c>
      <c r="W34" s="45">
        <f t="shared" si="12"/>
        <v>0</v>
      </c>
      <c r="X34" s="45">
        <f t="shared" si="13"/>
        <v>0</v>
      </c>
      <c r="Y34" s="45">
        <f t="shared" si="14"/>
        <v>780</v>
      </c>
      <c r="Z34" s="45">
        <f t="shared" si="15"/>
        <v>660</v>
      </c>
      <c r="AA34" s="28">
        <f>COUNTIFS(Master_Rack!$R$1:$R$265,Constraints!$C34,Master_Rack!$AI$1:$AI$265, "&gt;0")</f>
        <v>0</v>
      </c>
      <c r="AB34" s="28">
        <f>COUNTIFS(Master_Rack!$R$1:$R$265,Constraints!$C34,Master_Rack!$AL$1:$AL$265, "&gt;0")</f>
        <v>0</v>
      </c>
      <c r="AC34" s="28">
        <f>COUNTIFS(Master_Rack!$R$1:$R$265,Constraints!$C34,Master_Rack!$AO$1:$AO$265, "&gt;0")</f>
        <v>0</v>
      </c>
      <c r="AD34" s="28">
        <f>COUNTIFS(Master_Rack!$R$1:$R$265,Constraints!$C34,Master_Rack!$AR$1:$AR$265, "&gt;0")</f>
        <v>26</v>
      </c>
      <c r="AE34" s="28">
        <f>COUNTIFS(Master_Rack!$R$1:$R$265,Constraints!$C34,Master_Rack!$AU$1:$AU$265, "&gt;0")</f>
        <v>22</v>
      </c>
      <c r="AF34" s="28">
        <f>COUNTIFS(Master_Rack!$R$1:$R$265,Constraints!$C34,Master_Rack!$AX$1:$AX$265, "&gt;0")</f>
        <v>0</v>
      </c>
      <c r="AG34" s="45">
        <f t="shared" si="6"/>
        <v>0</v>
      </c>
      <c r="AH34" s="45">
        <f t="shared" si="7"/>
        <v>0</v>
      </c>
      <c r="AI34" s="45">
        <f t="shared" si="8"/>
        <v>0</v>
      </c>
      <c r="AJ34" s="45">
        <f t="shared" si="9"/>
        <v>26</v>
      </c>
      <c r="AK34" s="45">
        <f t="shared" si="10"/>
        <v>22</v>
      </c>
      <c r="AL34" s="45"/>
      <c r="AT34" s="45">
        <v>120</v>
      </c>
      <c r="AU34" s="45"/>
      <c r="AW34">
        <v>32</v>
      </c>
      <c r="AX34" s="45"/>
    </row>
    <row r="35" spans="1:50" x14ac:dyDescent="0.2">
      <c r="A35" s="45" t="s">
        <v>627</v>
      </c>
      <c r="B35" s="39" t="s">
        <v>530</v>
      </c>
      <c r="C35" s="28" t="s">
        <v>33</v>
      </c>
      <c r="D35" s="28">
        <f>SUMIF(Master_Rack!$R$1:$R$265,Constraints!$C35,Master_Rack!$L$1:$L$265)</f>
        <v>1440</v>
      </c>
      <c r="E35" t="s">
        <v>664</v>
      </c>
      <c r="F35" s="41">
        <v>920</v>
      </c>
      <c r="G35" s="41"/>
      <c r="H35" s="41"/>
      <c r="I35" s="71" t="s">
        <v>663</v>
      </c>
      <c r="J35" s="45">
        <v>1150</v>
      </c>
      <c r="K35" s="45" t="s">
        <v>385</v>
      </c>
      <c r="L35" s="41"/>
      <c r="M35" s="41"/>
      <c r="N35" s="41"/>
      <c r="O35" s="41"/>
      <c r="P35" s="28">
        <f>SUMIF(Master_Rack!$R$1:$R$265,Constraints!$C35,Master_Rack!$AI$1:$AI$265)</f>
        <v>0</v>
      </c>
      <c r="Q35" s="28">
        <f>SUMIF(Master_Rack!$R$1:$R$265,Constraints!$C35,Master_Rack!$AL$1:$AL$265)</f>
        <v>0</v>
      </c>
      <c r="R35" s="28">
        <f>SUMIF(Master_Rack!$R$1:$R$265,Constraints!$C35,Master_Rack!$AO$1:$AO$265)</f>
        <v>0</v>
      </c>
      <c r="S35" s="28">
        <f>SUMIF(Master_Rack!$R$1:$R$265,Constraints!$C35,Master_Rack!$AR$1:$AR$265)</f>
        <v>780</v>
      </c>
      <c r="T35" s="28">
        <f>SUMIF(Master_Rack!$R$1:$R$265,Constraints!$C35,Master_Rack!$AU$1:$AU$265)</f>
        <v>660</v>
      </c>
      <c r="U35" s="28">
        <f>SUMIF(Master_Rack!$R$1:$R$265,Constraints!$C35,Master_Rack!$AX$1:$AX$265)</f>
        <v>0</v>
      </c>
      <c r="V35" s="45">
        <f t="shared" si="11"/>
        <v>0</v>
      </c>
      <c r="W35" s="45">
        <f t="shared" si="12"/>
        <v>0</v>
      </c>
      <c r="X35" s="45">
        <f t="shared" si="13"/>
        <v>0</v>
      </c>
      <c r="Y35" s="45">
        <f t="shared" si="14"/>
        <v>780</v>
      </c>
      <c r="Z35" s="45">
        <f t="shared" si="15"/>
        <v>660</v>
      </c>
      <c r="AA35" s="28">
        <f>COUNTIFS(Master_Rack!$R$1:$R$265,Constraints!$C35,Master_Rack!$AI$1:$AI$265, "&gt;0")</f>
        <v>0</v>
      </c>
      <c r="AB35" s="28">
        <f>COUNTIFS(Master_Rack!$R$1:$R$265,Constraints!$C35,Master_Rack!$AL$1:$AL$265, "&gt;0")</f>
        <v>0</v>
      </c>
      <c r="AC35" s="28">
        <f>COUNTIFS(Master_Rack!$R$1:$R$265,Constraints!$C35,Master_Rack!$AO$1:$AO$265, "&gt;0")</f>
        <v>0</v>
      </c>
      <c r="AD35" s="28">
        <f>COUNTIFS(Master_Rack!$R$1:$R$265,Constraints!$C35,Master_Rack!$AR$1:$AR$265, "&gt;0")</f>
        <v>26</v>
      </c>
      <c r="AE35" s="28">
        <f>COUNTIFS(Master_Rack!$R$1:$R$265,Constraints!$C35,Master_Rack!$AU$1:$AU$265, "&gt;0")</f>
        <v>22</v>
      </c>
      <c r="AF35" s="28">
        <f>COUNTIFS(Master_Rack!$R$1:$R$265,Constraints!$C35,Master_Rack!$AX$1:$AX$265, "&gt;0")</f>
        <v>0</v>
      </c>
      <c r="AG35" s="45">
        <f t="shared" si="6"/>
        <v>0</v>
      </c>
      <c r="AH35" s="45">
        <f t="shared" si="7"/>
        <v>0</v>
      </c>
      <c r="AI35" s="45">
        <f t="shared" si="8"/>
        <v>0</v>
      </c>
      <c r="AJ35" s="45">
        <f t="shared" si="9"/>
        <v>26</v>
      </c>
      <c r="AK35" s="45">
        <f t="shared" si="10"/>
        <v>22</v>
      </c>
      <c r="AL35" s="45"/>
      <c r="AT35" s="45">
        <v>120</v>
      </c>
      <c r="AU35" s="45"/>
      <c r="AW35">
        <v>32</v>
      </c>
      <c r="AX35" s="45"/>
    </row>
    <row r="36" spans="1:50" x14ac:dyDescent="0.2">
      <c r="A36" s="45" t="s">
        <v>627</v>
      </c>
      <c r="B36" s="39" t="s">
        <v>530</v>
      </c>
      <c r="C36" s="28" t="s">
        <v>64</v>
      </c>
      <c r="D36" s="28">
        <f>SUMIF(Master_Rack!$R$1:$R$265,Constraints!$C36,Master_Rack!$L$1:$L$265)</f>
        <v>240</v>
      </c>
      <c r="E36" t="s">
        <v>664</v>
      </c>
      <c r="F36">
        <v>345</v>
      </c>
      <c r="I36" s="71" t="s">
        <v>663</v>
      </c>
      <c r="J36" s="45">
        <v>431</v>
      </c>
      <c r="K36" s="45" t="s">
        <v>386</v>
      </c>
      <c r="P36" s="28">
        <f>SUMIF(Master_Rack!$R$1:$R$265,Constraints!$C36,Master_Rack!$AI$1:$AI$265)</f>
        <v>0</v>
      </c>
      <c r="Q36" s="28">
        <f>SUMIF(Master_Rack!$R$1:$R$265,Constraints!$C36,Master_Rack!$AL$1:$AL$265)</f>
        <v>0</v>
      </c>
      <c r="R36" s="28">
        <f>SUMIF(Master_Rack!$R$1:$R$265,Constraints!$C36,Master_Rack!$AO$1:$AO$265)</f>
        <v>0</v>
      </c>
      <c r="S36" s="28">
        <f>SUMIF(Master_Rack!$R$1:$R$265,Constraints!$C36,Master_Rack!$AR$1:$AR$265)</f>
        <v>0</v>
      </c>
      <c r="T36" s="28">
        <f>SUMIF(Master_Rack!$R$1:$R$265,Constraints!$C36,Master_Rack!$AU$1:$AU$265)</f>
        <v>0</v>
      </c>
      <c r="U36" s="28">
        <f>SUMIF(Master_Rack!$R$1:$R$265,Constraints!$C36,Master_Rack!$AX$1:$AX$265)</f>
        <v>0</v>
      </c>
      <c r="V36" s="45">
        <f t="shared" si="11"/>
        <v>0</v>
      </c>
      <c r="W36" s="45">
        <f t="shared" si="12"/>
        <v>0</v>
      </c>
      <c r="X36" s="45">
        <f t="shared" si="13"/>
        <v>0</v>
      </c>
      <c r="Y36" s="45">
        <f t="shared" si="14"/>
        <v>0</v>
      </c>
      <c r="Z36" s="45">
        <f t="shared" si="15"/>
        <v>0</v>
      </c>
      <c r="AA36" s="28">
        <f>COUNTIFS(Master_Rack!$R$1:$R$265,Constraints!$C36,Master_Rack!$AI$1:$AI$265, "&gt;0")</f>
        <v>0</v>
      </c>
      <c r="AB36" s="28">
        <f>COUNTIFS(Master_Rack!$R$1:$R$265,Constraints!$C36,Master_Rack!$AL$1:$AL$265, "&gt;0")</f>
        <v>0</v>
      </c>
      <c r="AC36" s="28">
        <f>COUNTIFS(Master_Rack!$R$1:$R$265,Constraints!$C36,Master_Rack!$AO$1:$AO$265, "&gt;0")</f>
        <v>0</v>
      </c>
      <c r="AD36" s="28">
        <f>COUNTIFS(Master_Rack!$R$1:$R$265,Constraints!$C36,Master_Rack!$AR$1:$AR$265, "&gt;0")</f>
        <v>0</v>
      </c>
      <c r="AE36" s="28">
        <f>COUNTIFS(Master_Rack!$R$1:$R$265,Constraints!$C36,Master_Rack!$AU$1:$AU$265, "&gt;0")</f>
        <v>0</v>
      </c>
      <c r="AF36" s="28">
        <f>COUNTIFS(Master_Rack!$R$1:$R$265,Constraints!$C36,Master_Rack!$AX$1:$AX$265, "&gt;0")</f>
        <v>0</v>
      </c>
      <c r="AG36" s="45">
        <f t="shared" si="6"/>
        <v>0</v>
      </c>
      <c r="AH36" s="45">
        <f t="shared" si="7"/>
        <v>0</v>
      </c>
      <c r="AI36" s="45">
        <f t="shared" si="8"/>
        <v>0</v>
      </c>
      <c r="AJ36" s="45">
        <f t="shared" si="9"/>
        <v>0</v>
      </c>
      <c r="AK36" s="45">
        <f t="shared" si="10"/>
        <v>0</v>
      </c>
      <c r="AL36" s="45"/>
      <c r="AT36" s="45">
        <v>84</v>
      </c>
      <c r="AU36" s="45"/>
      <c r="AW36">
        <v>12</v>
      </c>
      <c r="AX36" s="45"/>
    </row>
    <row r="37" spans="1:50" x14ac:dyDescent="0.2">
      <c r="A37" s="45" t="s">
        <v>627</v>
      </c>
      <c r="B37" s="39" t="s">
        <v>530</v>
      </c>
      <c r="C37" s="28" t="s">
        <v>65</v>
      </c>
      <c r="D37" s="28">
        <f>SUMIF(Master_Rack!$R$1:$R$265,Constraints!$C37,Master_Rack!$L$1:$L$265)</f>
        <v>240</v>
      </c>
      <c r="E37" t="s">
        <v>664</v>
      </c>
      <c r="F37">
        <v>345</v>
      </c>
      <c r="I37" s="71" t="s">
        <v>663</v>
      </c>
      <c r="J37" s="45">
        <v>431</v>
      </c>
      <c r="K37" s="45" t="s">
        <v>386</v>
      </c>
      <c r="P37" s="28">
        <f>SUMIF(Master_Rack!$R$1:$R$265,Constraints!$C37,Master_Rack!$AI$1:$AI$265)</f>
        <v>0</v>
      </c>
      <c r="Q37" s="28">
        <f>SUMIF(Master_Rack!$R$1:$R$265,Constraints!$C37,Master_Rack!$AL$1:$AL$265)</f>
        <v>0</v>
      </c>
      <c r="R37" s="28">
        <f>SUMIF(Master_Rack!$R$1:$R$265,Constraints!$C37,Master_Rack!$AO$1:$AO$265)</f>
        <v>0</v>
      </c>
      <c r="S37" s="28">
        <f>SUMIF(Master_Rack!$R$1:$R$265,Constraints!$C37,Master_Rack!$AR$1:$AR$265)</f>
        <v>0</v>
      </c>
      <c r="T37" s="28">
        <f>SUMIF(Master_Rack!$R$1:$R$265,Constraints!$C37,Master_Rack!$AU$1:$AU$265)</f>
        <v>0</v>
      </c>
      <c r="U37" s="28">
        <f>SUMIF(Master_Rack!$R$1:$R$265,Constraints!$C37,Master_Rack!$AX$1:$AX$265)</f>
        <v>0</v>
      </c>
      <c r="V37" s="45">
        <f t="shared" si="11"/>
        <v>0</v>
      </c>
      <c r="W37" s="45">
        <f t="shared" si="12"/>
        <v>0</v>
      </c>
      <c r="X37" s="45">
        <f t="shared" si="13"/>
        <v>0</v>
      </c>
      <c r="Y37" s="45">
        <f t="shared" si="14"/>
        <v>0</v>
      </c>
      <c r="Z37" s="45">
        <f t="shared" si="15"/>
        <v>0</v>
      </c>
      <c r="AA37" s="28">
        <f>COUNTIFS(Master_Rack!$R$1:$R$265,Constraints!$C37,Master_Rack!$AI$1:$AI$265, "&gt;0")</f>
        <v>0</v>
      </c>
      <c r="AB37" s="28">
        <f>COUNTIFS(Master_Rack!$R$1:$R$265,Constraints!$C37,Master_Rack!$AL$1:$AL$265, "&gt;0")</f>
        <v>0</v>
      </c>
      <c r="AC37" s="28">
        <f>COUNTIFS(Master_Rack!$R$1:$R$265,Constraints!$C37,Master_Rack!$AO$1:$AO$265, "&gt;0")</f>
        <v>0</v>
      </c>
      <c r="AD37" s="28">
        <f>COUNTIFS(Master_Rack!$R$1:$R$265,Constraints!$C37,Master_Rack!$AR$1:$AR$265, "&gt;0")</f>
        <v>0</v>
      </c>
      <c r="AE37" s="28">
        <f>COUNTIFS(Master_Rack!$R$1:$R$265,Constraints!$C37,Master_Rack!$AU$1:$AU$265, "&gt;0")</f>
        <v>0</v>
      </c>
      <c r="AF37" s="28">
        <f>COUNTIFS(Master_Rack!$R$1:$R$265,Constraints!$C37,Master_Rack!$AX$1:$AX$265, "&gt;0")</f>
        <v>0</v>
      </c>
      <c r="AG37" s="45">
        <f t="shared" si="6"/>
        <v>0</v>
      </c>
      <c r="AH37" s="45">
        <f t="shared" si="7"/>
        <v>0</v>
      </c>
      <c r="AI37" s="45">
        <f t="shared" si="8"/>
        <v>0</v>
      </c>
      <c r="AJ37" s="45">
        <f t="shared" si="9"/>
        <v>0</v>
      </c>
      <c r="AK37" s="45">
        <f t="shared" si="10"/>
        <v>0</v>
      </c>
      <c r="AL37" s="45"/>
      <c r="AT37" s="45">
        <v>84</v>
      </c>
      <c r="AU37" s="45"/>
      <c r="AW37">
        <v>12</v>
      </c>
      <c r="AX37" s="45"/>
    </row>
    <row r="38" spans="1:50" x14ac:dyDescent="0.2">
      <c r="A38" s="45" t="s">
        <v>627</v>
      </c>
      <c r="B38" s="39" t="s">
        <v>530</v>
      </c>
      <c r="C38" s="28" t="s">
        <v>305</v>
      </c>
      <c r="D38" s="28">
        <f>SUMIF(Master_Rack!$R$1:$R$265,Constraints!$C38,Master_Rack!$L$1:$L$265)</f>
        <v>720</v>
      </c>
      <c r="E38" t="s">
        <v>664</v>
      </c>
      <c r="F38">
        <v>920</v>
      </c>
      <c r="I38" s="71" t="s">
        <v>663</v>
      </c>
      <c r="J38" s="45">
        <v>1150</v>
      </c>
      <c r="K38" s="45" t="s">
        <v>387</v>
      </c>
      <c r="P38" s="28">
        <f>SUMIF(Master_Rack!$R$1:$R$265,Constraints!$C38,Master_Rack!$AI$1:$AI$265)</f>
        <v>0</v>
      </c>
      <c r="Q38" s="28">
        <f>SUMIF(Master_Rack!$R$1:$R$265,Constraints!$C38,Master_Rack!$AL$1:$AL$265)</f>
        <v>0</v>
      </c>
      <c r="R38" s="28">
        <f>SUMIF(Master_Rack!$R$1:$R$265,Constraints!$C38,Master_Rack!$AO$1:$AO$265)</f>
        <v>0</v>
      </c>
      <c r="S38" s="28">
        <f>SUMIF(Master_Rack!$R$1:$R$265,Constraints!$C38,Master_Rack!$AR$1:$AR$265)</f>
        <v>0</v>
      </c>
      <c r="T38" s="28">
        <f>SUMIF(Master_Rack!$R$1:$R$265,Constraints!$C38,Master_Rack!$AU$1:$AU$265)</f>
        <v>0</v>
      </c>
      <c r="U38" s="28">
        <f>SUMIF(Master_Rack!$R$1:$R$265,Constraints!$C38,Master_Rack!$AX$1:$AX$265)</f>
        <v>0</v>
      </c>
      <c r="V38" s="45">
        <f t="shared" si="11"/>
        <v>0</v>
      </c>
      <c r="W38" s="45">
        <f t="shared" si="12"/>
        <v>0</v>
      </c>
      <c r="X38" s="45">
        <f t="shared" si="13"/>
        <v>0</v>
      </c>
      <c r="Y38" s="45">
        <f t="shared" si="14"/>
        <v>0</v>
      </c>
      <c r="Z38" s="45">
        <f t="shared" si="15"/>
        <v>0</v>
      </c>
      <c r="AA38" s="28">
        <f>COUNTIFS(Master_Rack!$R$1:$R$265,Constraints!$C38,Master_Rack!$AI$1:$AI$265, "&gt;0")</f>
        <v>0</v>
      </c>
      <c r="AB38" s="28">
        <f>COUNTIFS(Master_Rack!$R$1:$R$265,Constraints!$C38,Master_Rack!$AL$1:$AL$265, "&gt;0")</f>
        <v>0</v>
      </c>
      <c r="AC38" s="28">
        <f>COUNTIFS(Master_Rack!$R$1:$R$265,Constraints!$C38,Master_Rack!$AO$1:$AO$265, "&gt;0")</f>
        <v>0</v>
      </c>
      <c r="AD38" s="28">
        <f>COUNTIFS(Master_Rack!$R$1:$R$265,Constraints!$C38,Master_Rack!$AR$1:$AR$265, "&gt;0")</f>
        <v>0</v>
      </c>
      <c r="AE38" s="28">
        <f>COUNTIFS(Master_Rack!$R$1:$R$265,Constraints!$C38,Master_Rack!$AU$1:$AU$265, "&gt;0")</f>
        <v>0</v>
      </c>
      <c r="AF38" s="28">
        <f>COUNTIFS(Master_Rack!$R$1:$R$265,Constraints!$C38,Master_Rack!$AX$1:$AX$265, "&gt;0")</f>
        <v>0</v>
      </c>
      <c r="AG38" s="45">
        <f t="shared" si="6"/>
        <v>0</v>
      </c>
      <c r="AH38" s="45">
        <f t="shared" si="7"/>
        <v>0</v>
      </c>
      <c r="AI38" s="45">
        <f t="shared" si="8"/>
        <v>0</v>
      </c>
      <c r="AJ38" s="45">
        <f t="shared" si="9"/>
        <v>0</v>
      </c>
      <c r="AK38" s="45">
        <f t="shared" si="10"/>
        <v>0</v>
      </c>
      <c r="AL38" s="45"/>
      <c r="AT38" s="45">
        <v>84</v>
      </c>
      <c r="AU38" s="45"/>
      <c r="AW38">
        <v>12</v>
      </c>
      <c r="AX38" s="45"/>
    </row>
    <row r="39" spans="1:50" x14ac:dyDescent="0.2">
      <c r="A39" s="45" t="s">
        <v>627</v>
      </c>
      <c r="B39" s="39" t="s">
        <v>530</v>
      </c>
      <c r="C39" s="28" t="s">
        <v>307</v>
      </c>
      <c r="D39" s="28">
        <f>SUMIF(Master_Rack!$R$1:$R$265,Constraints!$C39,Master_Rack!$L$1:$L$265)</f>
        <v>720</v>
      </c>
      <c r="E39" t="s">
        <v>664</v>
      </c>
      <c r="F39">
        <v>920</v>
      </c>
      <c r="I39" s="71" t="s">
        <v>663</v>
      </c>
      <c r="J39" s="45">
        <v>1150</v>
      </c>
      <c r="K39" s="45" t="s">
        <v>387</v>
      </c>
      <c r="P39" s="28">
        <f>SUMIF(Master_Rack!$R$1:$R$265,Constraints!$C39,Master_Rack!$AI$1:$AI$265)</f>
        <v>0</v>
      </c>
      <c r="Q39" s="28">
        <f>SUMIF(Master_Rack!$R$1:$R$265,Constraints!$C39,Master_Rack!$AL$1:$AL$265)</f>
        <v>0</v>
      </c>
      <c r="R39" s="28">
        <f>SUMIF(Master_Rack!$R$1:$R$265,Constraints!$C39,Master_Rack!$AO$1:$AO$265)</f>
        <v>0</v>
      </c>
      <c r="S39" s="28">
        <f>SUMIF(Master_Rack!$R$1:$R$265,Constraints!$C39,Master_Rack!$AR$1:$AR$265)</f>
        <v>0</v>
      </c>
      <c r="T39" s="28">
        <f>SUMIF(Master_Rack!$R$1:$R$265,Constraints!$C39,Master_Rack!$AU$1:$AU$265)</f>
        <v>0</v>
      </c>
      <c r="U39" s="28">
        <f>SUMIF(Master_Rack!$R$1:$R$265,Constraints!$C39,Master_Rack!$AX$1:$AX$265)</f>
        <v>0</v>
      </c>
      <c r="V39" s="45">
        <f t="shared" si="11"/>
        <v>0</v>
      </c>
      <c r="W39" s="45">
        <f t="shared" si="12"/>
        <v>0</v>
      </c>
      <c r="X39" s="45">
        <f t="shared" si="13"/>
        <v>0</v>
      </c>
      <c r="Y39" s="45">
        <f t="shared" si="14"/>
        <v>0</v>
      </c>
      <c r="Z39" s="45">
        <f t="shared" si="15"/>
        <v>0</v>
      </c>
      <c r="AA39" s="28">
        <f>COUNTIFS(Master_Rack!$R$1:$R$265,Constraints!$C39,Master_Rack!$AI$1:$AI$265, "&gt;0")</f>
        <v>0</v>
      </c>
      <c r="AB39" s="28">
        <f>COUNTIFS(Master_Rack!$R$1:$R$265,Constraints!$C39,Master_Rack!$AL$1:$AL$265, "&gt;0")</f>
        <v>0</v>
      </c>
      <c r="AC39" s="28">
        <f>COUNTIFS(Master_Rack!$R$1:$R$265,Constraints!$C39,Master_Rack!$AO$1:$AO$265, "&gt;0")</f>
        <v>0</v>
      </c>
      <c r="AD39" s="28">
        <f>COUNTIFS(Master_Rack!$R$1:$R$265,Constraints!$C39,Master_Rack!$AR$1:$AR$265, "&gt;0")</f>
        <v>0</v>
      </c>
      <c r="AE39" s="28">
        <f>COUNTIFS(Master_Rack!$R$1:$R$265,Constraints!$C39,Master_Rack!$AU$1:$AU$265, "&gt;0")</f>
        <v>0</v>
      </c>
      <c r="AF39" s="28">
        <f>COUNTIFS(Master_Rack!$R$1:$R$265,Constraints!$C39,Master_Rack!$AX$1:$AX$265, "&gt;0")</f>
        <v>0</v>
      </c>
      <c r="AG39" s="45">
        <f t="shared" si="6"/>
        <v>0</v>
      </c>
      <c r="AH39" s="45">
        <f t="shared" si="7"/>
        <v>0</v>
      </c>
      <c r="AI39" s="45">
        <f t="shared" si="8"/>
        <v>0</v>
      </c>
      <c r="AJ39" s="45">
        <f t="shared" si="9"/>
        <v>0</v>
      </c>
      <c r="AK39" s="45">
        <f t="shared" si="10"/>
        <v>0</v>
      </c>
      <c r="AL39" s="45"/>
      <c r="AT39" s="45">
        <v>84</v>
      </c>
      <c r="AU39" s="45"/>
      <c r="AW39">
        <v>12</v>
      </c>
      <c r="AX39" s="45"/>
    </row>
    <row r="40" spans="1:50" x14ac:dyDescent="0.2">
      <c r="A40" s="45" t="s">
        <v>627</v>
      </c>
      <c r="B40" s="39" t="s">
        <v>530</v>
      </c>
      <c r="C40" s="28" t="s">
        <v>309</v>
      </c>
      <c r="D40" s="28">
        <f>SUMIF(Master_Rack!$R$1:$R$265,Constraints!$C40,Master_Rack!$L$1:$L$265)</f>
        <v>720</v>
      </c>
      <c r="E40" t="s">
        <v>664</v>
      </c>
      <c r="F40">
        <v>920</v>
      </c>
      <c r="I40" s="71" t="s">
        <v>663</v>
      </c>
      <c r="J40" s="45">
        <v>1150</v>
      </c>
      <c r="K40" s="45" t="s">
        <v>388</v>
      </c>
      <c r="P40" s="28">
        <f>SUMIF(Master_Rack!$R$1:$R$265,Constraints!$C40,Master_Rack!$AI$1:$AI$265)</f>
        <v>0</v>
      </c>
      <c r="Q40" s="28">
        <f>SUMIF(Master_Rack!$R$1:$R$265,Constraints!$C40,Master_Rack!$AL$1:$AL$265)</f>
        <v>0</v>
      </c>
      <c r="R40" s="28">
        <f>SUMIF(Master_Rack!$R$1:$R$265,Constraints!$C40,Master_Rack!$AO$1:$AO$265)</f>
        <v>0</v>
      </c>
      <c r="S40" s="28">
        <f>SUMIF(Master_Rack!$R$1:$R$265,Constraints!$C40,Master_Rack!$AR$1:$AR$265)</f>
        <v>0</v>
      </c>
      <c r="T40" s="28">
        <f>SUMIF(Master_Rack!$R$1:$R$265,Constraints!$C40,Master_Rack!$AU$1:$AU$265)</f>
        <v>0</v>
      </c>
      <c r="U40" s="28">
        <f>SUMIF(Master_Rack!$R$1:$R$265,Constraints!$C40,Master_Rack!$AX$1:$AX$265)</f>
        <v>720</v>
      </c>
      <c r="V40" s="45">
        <f t="shared" si="11"/>
        <v>720</v>
      </c>
      <c r="W40" s="45">
        <f t="shared" si="12"/>
        <v>720</v>
      </c>
      <c r="X40" s="45">
        <f t="shared" si="13"/>
        <v>720</v>
      </c>
      <c r="Y40" s="45">
        <f t="shared" si="14"/>
        <v>720</v>
      </c>
      <c r="Z40" s="45">
        <f t="shared" si="15"/>
        <v>720</v>
      </c>
      <c r="AA40" s="28">
        <f>COUNTIFS(Master_Rack!$R$1:$R$265,Constraints!$C40,Master_Rack!$AI$1:$AI$265, "&gt;0")</f>
        <v>0</v>
      </c>
      <c r="AB40" s="28">
        <f>COUNTIFS(Master_Rack!$R$1:$R$265,Constraints!$C40,Master_Rack!$AL$1:$AL$265, "&gt;0")</f>
        <v>0</v>
      </c>
      <c r="AC40" s="28">
        <f>COUNTIFS(Master_Rack!$R$1:$R$265,Constraints!$C40,Master_Rack!$AO$1:$AO$265, "&gt;0")</f>
        <v>0</v>
      </c>
      <c r="AD40" s="28">
        <f>COUNTIFS(Master_Rack!$R$1:$R$265,Constraints!$C40,Master_Rack!$AR$1:$AR$265, "&gt;0")</f>
        <v>0</v>
      </c>
      <c r="AE40" s="28">
        <f>COUNTIFS(Master_Rack!$R$1:$R$265,Constraints!$C40,Master_Rack!$AU$1:$AU$265, "&gt;0")</f>
        <v>0</v>
      </c>
      <c r="AF40" s="28">
        <f>COUNTIFS(Master_Rack!$R$1:$R$265,Constraints!$C40,Master_Rack!$AX$1:$AX$265, "&gt;0")</f>
        <v>12</v>
      </c>
      <c r="AG40" s="45">
        <f t="shared" si="6"/>
        <v>12</v>
      </c>
      <c r="AH40" s="45">
        <f t="shared" si="7"/>
        <v>12</v>
      </c>
      <c r="AI40" s="45">
        <f t="shared" si="8"/>
        <v>12</v>
      </c>
      <c r="AJ40" s="45">
        <f t="shared" si="9"/>
        <v>12</v>
      </c>
      <c r="AK40" s="45">
        <f t="shared" si="10"/>
        <v>12</v>
      </c>
      <c r="AL40" s="45"/>
      <c r="AT40" s="45">
        <v>84</v>
      </c>
      <c r="AU40" s="45"/>
      <c r="AW40">
        <v>12</v>
      </c>
      <c r="AX40" s="45"/>
    </row>
    <row r="41" spans="1:50" x14ac:dyDescent="0.2">
      <c r="A41" s="45" t="s">
        <v>627</v>
      </c>
      <c r="B41" s="39" t="s">
        <v>530</v>
      </c>
      <c r="C41" s="28" t="s">
        <v>311</v>
      </c>
      <c r="D41" s="28">
        <f>SUMIF(Master_Rack!$R$1:$R$265,Constraints!$C41,Master_Rack!$L$1:$L$265)</f>
        <v>720</v>
      </c>
      <c r="E41" t="s">
        <v>664</v>
      </c>
      <c r="F41">
        <v>920</v>
      </c>
      <c r="I41" s="71" t="s">
        <v>663</v>
      </c>
      <c r="J41" s="45">
        <v>1150</v>
      </c>
      <c r="K41" s="45" t="s">
        <v>388</v>
      </c>
      <c r="P41" s="28">
        <f>SUMIF(Master_Rack!$R$1:$R$265,Constraints!$C41,Master_Rack!$AI$1:$AI$265)</f>
        <v>0</v>
      </c>
      <c r="Q41" s="28">
        <f>SUMIF(Master_Rack!$R$1:$R$265,Constraints!$C41,Master_Rack!$AL$1:$AL$265)</f>
        <v>0</v>
      </c>
      <c r="R41" s="28">
        <f>SUMIF(Master_Rack!$R$1:$R$265,Constraints!$C41,Master_Rack!$AO$1:$AO$265)</f>
        <v>0</v>
      </c>
      <c r="S41" s="28">
        <f>SUMIF(Master_Rack!$R$1:$R$265,Constraints!$C41,Master_Rack!$AR$1:$AR$265)</f>
        <v>0</v>
      </c>
      <c r="T41" s="28">
        <f>SUMIF(Master_Rack!$R$1:$R$265,Constraints!$C41,Master_Rack!$AU$1:$AU$265)</f>
        <v>0</v>
      </c>
      <c r="U41" s="28">
        <f>SUMIF(Master_Rack!$R$1:$R$265,Constraints!$C41,Master_Rack!$AX$1:$AX$265)</f>
        <v>675</v>
      </c>
      <c r="V41" s="45">
        <f t="shared" si="11"/>
        <v>675</v>
      </c>
      <c r="W41" s="45">
        <f t="shared" si="12"/>
        <v>675</v>
      </c>
      <c r="X41" s="45">
        <f t="shared" si="13"/>
        <v>675</v>
      </c>
      <c r="Y41" s="45">
        <f t="shared" si="14"/>
        <v>675</v>
      </c>
      <c r="Z41" s="45">
        <f t="shared" si="15"/>
        <v>675</v>
      </c>
      <c r="AA41" s="28">
        <f>COUNTIFS(Master_Rack!$R$1:$R$265,Constraints!$C41,Master_Rack!$AI$1:$AI$265, "&gt;0")</f>
        <v>0</v>
      </c>
      <c r="AB41" s="28">
        <f>COUNTIFS(Master_Rack!$R$1:$R$265,Constraints!$C41,Master_Rack!$AL$1:$AL$265, "&gt;0")</f>
        <v>0</v>
      </c>
      <c r="AC41" s="28">
        <f>COUNTIFS(Master_Rack!$R$1:$R$265,Constraints!$C41,Master_Rack!$AO$1:$AO$265, "&gt;0")</f>
        <v>0</v>
      </c>
      <c r="AD41" s="28">
        <f>COUNTIFS(Master_Rack!$R$1:$R$265,Constraints!$C41,Master_Rack!$AR$1:$AR$265, "&gt;0")</f>
        <v>0</v>
      </c>
      <c r="AE41" s="28">
        <f>COUNTIFS(Master_Rack!$R$1:$R$265,Constraints!$C41,Master_Rack!$AU$1:$AU$265, "&gt;0")</f>
        <v>0</v>
      </c>
      <c r="AF41" s="28">
        <f>COUNTIFS(Master_Rack!$R$1:$R$265,Constraints!$C41,Master_Rack!$AX$1:$AX$265, "&gt;0")</f>
        <v>12</v>
      </c>
      <c r="AG41" s="45">
        <f t="shared" si="6"/>
        <v>12</v>
      </c>
      <c r="AH41" s="45">
        <f t="shared" si="7"/>
        <v>12</v>
      </c>
      <c r="AI41" s="45">
        <f t="shared" si="8"/>
        <v>12</v>
      </c>
      <c r="AJ41" s="45">
        <f t="shared" si="9"/>
        <v>12</v>
      </c>
      <c r="AK41" s="45">
        <f t="shared" si="10"/>
        <v>12</v>
      </c>
      <c r="AL41" s="45"/>
      <c r="AT41" s="45">
        <v>84</v>
      </c>
      <c r="AU41" s="45"/>
      <c r="AW41">
        <v>12</v>
      </c>
      <c r="AX41" s="45"/>
    </row>
    <row r="42" spans="1:50" x14ac:dyDescent="0.2">
      <c r="A42" s="45" t="s">
        <v>628</v>
      </c>
      <c r="B42" s="39" t="s">
        <v>530</v>
      </c>
      <c r="C42" s="28" t="s">
        <v>29</v>
      </c>
      <c r="D42" s="28">
        <f>SUMIF(Master_Rack!$S$1:$S$265,Constraints!$C42,Master_Rack!$L$1:$L$265)</f>
        <v>1350</v>
      </c>
      <c r="E42" t="s">
        <v>664</v>
      </c>
      <c r="F42">
        <v>1380</v>
      </c>
      <c r="I42" s="71" t="s">
        <v>663</v>
      </c>
      <c r="J42" s="45">
        <v>1725</v>
      </c>
      <c r="K42" s="45" t="s">
        <v>385</v>
      </c>
      <c r="P42" s="28">
        <f>SUMIF(Master_Rack!$S$1:$S$265,Constraints!$C42,Master_Rack!$AI$1:$AI$265)</f>
        <v>0</v>
      </c>
      <c r="Q42" s="28">
        <f>SUMIF(Master_Rack!$S$1:$S$265,Constraints!$C42,Master_Rack!$AL$1:$AL$265)</f>
        <v>360</v>
      </c>
      <c r="R42" s="28">
        <f>SUMIF(Master_Rack!$S$1:$S$265,Constraints!$C42,Master_Rack!$AO$1:$AO$265)</f>
        <v>360</v>
      </c>
      <c r="S42" s="28">
        <f>SUMIF(Master_Rack!$S$1:$S$265,Constraints!$C42,Master_Rack!$AR$1:$AR$265)</f>
        <v>420</v>
      </c>
      <c r="T42" s="28">
        <f>SUMIF(Master_Rack!$S$1:$S$265,Constraints!$C42,Master_Rack!$AU$1:$AU$265)</f>
        <v>540</v>
      </c>
      <c r="U42" s="28">
        <f>SUMIF(Master_Rack!$S$1:$S$265,Constraints!$C42,Master_Rack!$AX$1:$AX$265)</f>
        <v>0</v>
      </c>
      <c r="V42" s="45">
        <f t="shared" si="11"/>
        <v>0</v>
      </c>
      <c r="W42" s="45">
        <f t="shared" si="12"/>
        <v>360</v>
      </c>
      <c r="X42" s="45">
        <f t="shared" si="13"/>
        <v>360</v>
      </c>
      <c r="Y42" s="45">
        <f t="shared" si="14"/>
        <v>420</v>
      </c>
      <c r="Z42" s="45">
        <f t="shared" si="15"/>
        <v>540</v>
      </c>
      <c r="AA42" s="28">
        <f>COUNTIFS(Master_Rack!$R$1:$R$265,Constraints!$C42,Master_Rack!$AI$1:$AI$265, "&gt;0")</f>
        <v>0</v>
      </c>
      <c r="AB42" s="28">
        <f>COUNTIFS(Master_Rack!$R$1:$R$265,Constraints!$C42,Master_Rack!$AL$1:$AL$265, "&gt;0")</f>
        <v>0</v>
      </c>
      <c r="AC42" s="28">
        <f>COUNTIFS(Master_Rack!$R$1:$R$265,Constraints!$C42,Master_Rack!$AO$1:$AO$265, "&gt;0")</f>
        <v>0</v>
      </c>
      <c r="AD42" s="28">
        <f>COUNTIFS(Master_Rack!$R$1:$R$265,Constraints!$C42,Master_Rack!$AR$1:$AR$265, "&gt;0")</f>
        <v>0</v>
      </c>
      <c r="AE42" s="28">
        <f>COUNTIFS(Master_Rack!$R$1:$R$265,Constraints!$C42,Master_Rack!$AU$1:$AU$265, "&gt;0")</f>
        <v>0</v>
      </c>
      <c r="AF42" s="28">
        <f>COUNTIFS(Master_Rack!$R$1:$R$265,Constraints!$C42,Master_Rack!$AX$1:$AX$265, "&gt;0")</f>
        <v>0</v>
      </c>
      <c r="AG42" s="45">
        <f t="shared" si="6"/>
        <v>0</v>
      </c>
      <c r="AH42" s="45">
        <f t="shared" si="7"/>
        <v>0</v>
      </c>
      <c r="AI42" s="45">
        <f t="shared" si="8"/>
        <v>0</v>
      </c>
      <c r="AJ42" s="45">
        <f t="shared" si="9"/>
        <v>0</v>
      </c>
      <c r="AK42" s="45">
        <f t="shared" si="10"/>
        <v>0</v>
      </c>
      <c r="AL42" s="45"/>
      <c r="AT42" s="45">
        <v>120</v>
      </c>
      <c r="AU42" s="45"/>
      <c r="AW42">
        <v>36</v>
      </c>
      <c r="AX42" s="45"/>
    </row>
    <row r="43" spans="1:50" x14ac:dyDescent="0.2">
      <c r="A43" s="45" t="s">
        <v>628</v>
      </c>
      <c r="B43" s="39" t="s">
        <v>530</v>
      </c>
      <c r="C43" s="28" t="s">
        <v>28</v>
      </c>
      <c r="D43" s="28">
        <f>SUMIF(Master_Rack!$S$1:$S$265,Constraints!$C43,Master_Rack!$L$1:$L$265)</f>
        <v>1350</v>
      </c>
      <c r="E43" t="s">
        <v>664</v>
      </c>
      <c r="F43">
        <v>1380</v>
      </c>
      <c r="I43" s="71" t="s">
        <v>663</v>
      </c>
      <c r="J43" s="45">
        <v>1725</v>
      </c>
      <c r="K43" s="45" t="s">
        <v>385</v>
      </c>
      <c r="P43" s="28">
        <f>SUMIF(Master_Rack!$S$1:$S$265,Constraints!$C43,Master_Rack!$AI$1:$AI$265)</f>
        <v>0</v>
      </c>
      <c r="Q43" s="28">
        <f>SUMIF(Master_Rack!$S$1:$S$265,Constraints!$C43,Master_Rack!$AL$1:$AL$265)</f>
        <v>420</v>
      </c>
      <c r="R43" s="28">
        <f>SUMIF(Master_Rack!$S$1:$S$265,Constraints!$C43,Master_Rack!$AO$1:$AO$265)</f>
        <v>360</v>
      </c>
      <c r="S43" s="28">
        <f>SUMIF(Master_Rack!$S$1:$S$265,Constraints!$C43,Master_Rack!$AR$1:$AR$265)</f>
        <v>240</v>
      </c>
      <c r="T43" s="28">
        <f>SUMIF(Master_Rack!$S$1:$S$265,Constraints!$C43,Master_Rack!$AU$1:$AU$265)</f>
        <v>300</v>
      </c>
      <c r="U43" s="28">
        <f>SUMIF(Master_Rack!$S$1:$S$265,Constraints!$C43,Master_Rack!$AX$1:$AX$265)</f>
        <v>0</v>
      </c>
      <c r="V43" s="45">
        <f t="shared" si="11"/>
        <v>0</v>
      </c>
      <c r="W43" s="45">
        <f t="shared" si="12"/>
        <v>420</v>
      </c>
      <c r="X43" s="45">
        <f t="shared" si="13"/>
        <v>360</v>
      </c>
      <c r="Y43" s="45">
        <f t="shared" si="14"/>
        <v>240</v>
      </c>
      <c r="Z43" s="45">
        <f t="shared" si="15"/>
        <v>300</v>
      </c>
      <c r="AA43" s="28">
        <f>COUNTIFS(Master_Rack!$R$1:$R$265,Constraints!$C43,Master_Rack!$AI$1:$AI$265, "&gt;0")</f>
        <v>0</v>
      </c>
      <c r="AB43" s="28">
        <f>COUNTIFS(Master_Rack!$R$1:$R$265,Constraints!$C43,Master_Rack!$AL$1:$AL$265, "&gt;0")</f>
        <v>0</v>
      </c>
      <c r="AC43" s="28">
        <f>COUNTIFS(Master_Rack!$R$1:$R$265,Constraints!$C43,Master_Rack!$AO$1:$AO$265, "&gt;0")</f>
        <v>0</v>
      </c>
      <c r="AD43" s="28">
        <f>COUNTIFS(Master_Rack!$R$1:$R$265,Constraints!$C43,Master_Rack!$AR$1:$AR$265, "&gt;0")</f>
        <v>0</v>
      </c>
      <c r="AE43" s="28">
        <f>COUNTIFS(Master_Rack!$R$1:$R$265,Constraints!$C43,Master_Rack!$AU$1:$AU$265, "&gt;0")</f>
        <v>0</v>
      </c>
      <c r="AF43" s="28">
        <f>COUNTIFS(Master_Rack!$R$1:$R$265,Constraints!$C43,Master_Rack!$AX$1:$AX$265, "&gt;0")</f>
        <v>0</v>
      </c>
      <c r="AG43" s="45">
        <f t="shared" si="6"/>
        <v>0</v>
      </c>
      <c r="AH43" s="45">
        <f t="shared" si="7"/>
        <v>0</v>
      </c>
      <c r="AI43" s="45">
        <f t="shared" si="8"/>
        <v>0</v>
      </c>
      <c r="AJ43" s="45">
        <f t="shared" si="9"/>
        <v>0</v>
      </c>
      <c r="AK43" s="45">
        <f t="shared" si="10"/>
        <v>0</v>
      </c>
      <c r="AL43" s="45"/>
      <c r="AT43" s="45">
        <v>120</v>
      </c>
      <c r="AU43" s="45"/>
      <c r="AW43">
        <v>36</v>
      </c>
      <c r="AX43" s="45"/>
    </row>
    <row r="44" spans="1:50" x14ac:dyDescent="0.2">
      <c r="A44" s="45" t="s">
        <v>628</v>
      </c>
      <c r="B44" s="39" t="s">
        <v>530</v>
      </c>
      <c r="C44" s="28" t="s">
        <v>31</v>
      </c>
      <c r="D44" s="28">
        <f>SUMIF(Master_Rack!$S$1:$S$265,Constraints!$C44,Master_Rack!$L$1:$L$265)</f>
        <v>1080</v>
      </c>
      <c r="E44" t="s">
        <v>664</v>
      </c>
      <c r="F44">
        <v>920</v>
      </c>
      <c r="I44" s="71" t="s">
        <v>663</v>
      </c>
      <c r="J44" s="45">
        <v>1150</v>
      </c>
      <c r="K44" s="45" t="s">
        <v>385</v>
      </c>
      <c r="P44" s="28">
        <f>SUMIF(Master_Rack!$S$1:$S$265,Constraints!$C44,Master_Rack!$AI$1:$AI$265)</f>
        <v>0</v>
      </c>
      <c r="Q44" s="28">
        <f>SUMIF(Master_Rack!$S$1:$S$265,Constraints!$C44,Master_Rack!$AL$1:$AL$265)</f>
        <v>780</v>
      </c>
      <c r="R44" s="28">
        <f>SUMIF(Master_Rack!$S$1:$S$265,Constraints!$C44,Master_Rack!$AO$1:$AO$265)</f>
        <v>840</v>
      </c>
      <c r="S44" s="28">
        <f>SUMIF(Master_Rack!$S$1:$S$265,Constraints!$C44,Master_Rack!$AR$1:$AR$265)</f>
        <v>0</v>
      </c>
      <c r="T44" s="28">
        <f>SUMIF(Master_Rack!$S$1:$S$265,Constraints!$C44,Master_Rack!$AU$1:$AU$265)</f>
        <v>0</v>
      </c>
      <c r="U44" s="28">
        <f>SUMIF(Master_Rack!$S$1:$S$265,Constraints!$C44,Master_Rack!$AX$1:$AX$265)</f>
        <v>0</v>
      </c>
      <c r="V44" s="45">
        <f t="shared" si="11"/>
        <v>0</v>
      </c>
      <c r="W44" s="45">
        <f t="shared" si="12"/>
        <v>780</v>
      </c>
      <c r="X44" s="45">
        <f t="shared" si="13"/>
        <v>840</v>
      </c>
      <c r="Y44" s="45">
        <f t="shared" si="14"/>
        <v>0</v>
      </c>
      <c r="Z44" s="45">
        <f t="shared" si="15"/>
        <v>0</v>
      </c>
      <c r="AA44" s="28">
        <f>COUNTIFS(Master_Rack!$R$1:$R$265,Constraints!$C44,Master_Rack!$AI$1:$AI$265, "&gt;0")</f>
        <v>0</v>
      </c>
      <c r="AB44" s="28">
        <f>COUNTIFS(Master_Rack!$R$1:$R$265,Constraints!$C44,Master_Rack!$AL$1:$AL$265, "&gt;0")</f>
        <v>0</v>
      </c>
      <c r="AC44" s="28">
        <f>COUNTIFS(Master_Rack!$R$1:$R$265,Constraints!$C44,Master_Rack!$AO$1:$AO$265, "&gt;0")</f>
        <v>0</v>
      </c>
      <c r="AD44" s="28">
        <f>COUNTIFS(Master_Rack!$R$1:$R$265,Constraints!$C44,Master_Rack!$AR$1:$AR$265, "&gt;0")</f>
        <v>0</v>
      </c>
      <c r="AE44" s="28">
        <f>COUNTIFS(Master_Rack!$R$1:$R$265,Constraints!$C44,Master_Rack!$AU$1:$AU$265, "&gt;0")</f>
        <v>0</v>
      </c>
      <c r="AF44" s="28">
        <f>COUNTIFS(Master_Rack!$R$1:$R$265,Constraints!$C44,Master_Rack!$AX$1:$AX$265, "&gt;0")</f>
        <v>0</v>
      </c>
      <c r="AG44" s="45">
        <f t="shared" si="6"/>
        <v>0</v>
      </c>
      <c r="AH44" s="45">
        <f t="shared" si="7"/>
        <v>0</v>
      </c>
      <c r="AI44" s="45">
        <f t="shared" si="8"/>
        <v>0</v>
      </c>
      <c r="AJ44" s="45">
        <f t="shared" si="9"/>
        <v>0</v>
      </c>
      <c r="AK44" s="45">
        <f t="shared" si="10"/>
        <v>0</v>
      </c>
      <c r="AL44" s="45"/>
      <c r="AT44" s="45">
        <v>120</v>
      </c>
      <c r="AU44" s="45"/>
      <c r="AW44">
        <v>36</v>
      </c>
      <c r="AX44" s="45"/>
    </row>
    <row r="45" spans="1:50" x14ac:dyDescent="0.2">
      <c r="A45" s="45" t="s">
        <v>628</v>
      </c>
      <c r="B45" s="39" t="s">
        <v>530</v>
      </c>
      <c r="C45" s="28" t="s">
        <v>34</v>
      </c>
      <c r="D45" s="28">
        <f>SUMIF(Master_Rack!$S$1:$S$265,Constraints!$C45,Master_Rack!$L$1:$L$265)</f>
        <v>1620</v>
      </c>
      <c r="E45" t="s">
        <v>664</v>
      </c>
      <c r="F45" s="41">
        <v>1380</v>
      </c>
      <c r="G45" s="41"/>
      <c r="H45" s="41"/>
      <c r="I45" s="71" t="s">
        <v>663</v>
      </c>
      <c r="J45" s="45">
        <v>1725</v>
      </c>
      <c r="K45" s="45" t="s">
        <v>385</v>
      </c>
      <c r="L45" s="41"/>
      <c r="M45" s="41"/>
      <c r="N45" s="41"/>
      <c r="O45" s="41"/>
      <c r="P45" s="28">
        <f>SUMIF(Master_Rack!$S$1:$S$265,Constraints!$C45,Master_Rack!$AI$1:$AI$265)</f>
        <v>0</v>
      </c>
      <c r="Q45" s="28">
        <f>SUMIF(Master_Rack!$S$1:$S$265,Constraints!$C45,Master_Rack!$AL$1:$AL$265)</f>
        <v>0</v>
      </c>
      <c r="R45" s="28">
        <f>SUMIF(Master_Rack!$S$1:$S$265,Constraints!$C45,Master_Rack!$AO$1:$AO$265)</f>
        <v>0</v>
      </c>
      <c r="S45" s="28">
        <f>SUMIF(Master_Rack!$S$1:$S$265,Constraints!$C45,Master_Rack!$AR$1:$AR$265)</f>
        <v>900</v>
      </c>
      <c r="T45" s="28">
        <f>SUMIF(Master_Rack!$S$1:$S$265,Constraints!$C45,Master_Rack!$AU$1:$AU$265)</f>
        <v>720</v>
      </c>
      <c r="U45" s="28">
        <f>SUMIF(Master_Rack!$S$1:$S$265,Constraints!$C45,Master_Rack!$AX$1:$AX$265)</f>
        <v>0</v>
      </c>
      <c r="V45" s="45">
        <f t="shared" si="11"/>
        <v>0</v>
      </c>
      <c r="W45" s="45">
        <f t="shared" si="12"/>
        <v>0</v>
      </c>
      <c r="X45" s="45">
        <f t="shared" si="13"/>
        <v>0</v>
      </c>
      <c r="Y45" s="45">
        <f t="shared" si="14"/>
        <v>900</v>
      </c>
      <c r="Z45" s="45">
        <f t="shared" si="15"/>
        <v>720</v>
      </c>
      <c r="AA45" s="28">
        <f>COUNTIFS(Master_Rack!$R$1:$R$265,Constraints!$C45,Master_Rack!$AI$1:$AI$265, "&gt;0")</f>
        <v>0</v>
      </c>
      <c r="AB45" s="28">
        <f>COUNTIFS(Master_Rack!$R$1:$R$265,Constraints!$C45,Master_Rack!$AL$1:$AL$265, "&gt;0")</f>
        <v>0</v>
      </c>
      <c r="AC45" s="28">
        <f>COUNTIFS(Master_Rack!$R$1:$R$265,Constraints!$C45,Master_Rack!$AO$1:$AO$265, "&gt;0")</f>
        <v>0</v>
      </c>
      <c r="AD45" s="28">
        <f>COUNTIFS(Master_Rack!$R$1:$R$265,Constraints!$C45,Master_Rack!$AR$1:$AR$265, "&gt;0")</f>
        <v>0</v>
      </c>
      <c r="AE45" s="28">
        <f>COUNTIFS(Master_Rack!$R$1:$R$265,Constraints!$C45,Master_Rack!$AU$1:$AU$265, "&gt;0")</f>
        <v>0</v>
      </c>
      <c r="AF45" s="28">
        <f>COUNTIFS(Master_Rack!$R$1:$R$265,Constraints!$C45,Master_Rack!$AX$1:$AX$265, "&gt;0")</f>
        <v>0</v>
      </c>
      <c r="AG45" s="45">
        <f t="shared" si="6"/>
        <v>0</v>
      </c>
      <c r="AH45" s="45">
        <f t="shared" si="7"/>
        <v>0</v>
      </c>
      <c r="AI45" s="45">
        <f t="shared" si="8"/>
        <v>0</v>
      </c>
      <c r="AJ45" s="45">
        <f t="shared" si="9"/>
        <v>0</v>
      </c>
      <c r="AK45" s="45">
        <f t="shared" si="10"/>
        <v>0</v>
      </c>
      <c r="AL45" s="45"/>
      <c r="AT45" s="45">
        <v>120</v>
      </c>
      <c r="AU45" s="45"/>
      <c r="AW45">
        <v>36</v>
      </c>
      <c r="AX45" s="45"/>
    </row>
    <row r="46" spans="1:50" x14ac:dyDescent="0.2">
      <c r="A46" s="45" t="s">
        <v>628</v>
      </c>
      <c r="B46" s="39" t="s">
        <v>530</v>
      </c>
      <c r="C46" s="28" t="s">
        <v>66</v>
      </c>
      <c r="D46" s="28">
        <f>SUMIF(Master_Rack!$S$1:$S$265,Constraints!$C46,Master_Rack!$L$1:$L$265)</f>
        <v>240</v>
      </c>
      <c r="E46" t="s">
        <v>664</v>
      </c>
      <c r="F46">
        <v>345</v>
      </c>
      <c r="I46" s="71" t="s">
        <v>663</v>
      </c>
      <c r="J46" s="45">
        <v>431</v>
      </c>
      <c r="K46" s="45" t="s">
        <v>386</v>
      </c>
      <c r="P46" s="28">
        <f>SUMIF(Master_Rack!$S$1:$S$265,Constraints!$C46,Master_Rack!$AI$1:$AI$265)</f>
        <v>0</v>
      </c>
      <c r="Q46" s="28">
        <f>SUMIF(Master_Rack!$S$1:$S$265,Constraints!$C46,Master_Rack!$AL$1:$AL$265)</f>
        <v>0</v>
      </c>
      <c r="R46" s="28">
        <f>SUMIF(Master_Rack!$S$1:$S$265,Constraints!$C46,Master_Rack!$AO$1:$AO$265)</f>
        <v>0</v>
      </c>
      <c r="S46" s="28">
        <f>SUMIF(Master_Rack!$S$1:$S$265,Constraints!$C46,Master_Rack!$AR$1:$AR$265)</f>
        <v>0</v>
      </c>
      <c r="T46" s="28">
        <f>SUMIF(Master_Rack!$S$1:$S$265,Constraints!$C46,Master_Rack!$AU$1:$AU$265)</f>
        <v>0</v>
      </c>
      <c r="U46" s="28">
        <f>SUMIF(Master_Rack!$S$1:$S$265,Constraints!$C46,Master_Rack!$AX$1:$AX$265)</f>
        <v>0</v>
      </c>
      <c r="V46" s="45">
        <f t="shared" si="11"/>
        <v>0</v>
      </c>
      <c r="W46" s="45">
        <f t="shared" si="12"/>
        <v>0</v>
      </c>
      <c r="X46" s="45">
        <f t="shared" si="13"/>
        <v>0</v>
      </c>
      <c r="Y46" s="45">
        <f t="shared" si="14"/>
        <v>0</v>
      </c>
      <c r="Z46" s="45">
        <f t="shared" si="15"/>
        <v>0</v>
      </c>
      <c r="AA46" s="28">
        <f>COUNTIFS(Master_Rack!$R$1:$R$265,Constraints!$C46,Master_Rack!$AI$1:$AI$265, "&gt;0")</f>
        <v>0</v>
      </c>
      <c r="AB46" s="28">
        <f>COUNTIFS(Master_Rack!$R$1:$R$265,Constraints!$C46,Master_Rack!$AL$1:$AL$265, "&gt;0")</f>
        <v>0</v>
      </c>
      <c r="AC46" s="28">
        <f>COUNTIFS(Master_Rack!$R$1:$R$265,Constraints!$C46,Master_Rack!$AO$1:$AO$265, "&gt;0")</f>
        <v>0</v>
      </c>
      <c r="AD46" s="28">
        <f>COUNTIFS(Master_Rack!$R$1:$R$265,Constraints!$C46,Master_Rack!$AR$1:$AR$265, "&gt;0")</f>
        <v>0</v>
      </c>
      <c r="AE46" s="28">
        <f>COUNTIFS(Master_Rack!$R$1:$R$265,Constraints!$C46,Master_Rack!$AU$1:$AU$265, "&gt;0")</f>
        <v>0</v>
      </c>
      <c r="AF46" s="28">
        <f>COUNTIFS(Master_Rack!$R$1:$R$265,Constraints!$C46,Master_Rack!$AX$1:$AX$265, "&gt;0")</f>
        <v>0</v>
      </c>
      <c r="AG46" s="45">
        <f t="shared" si="6"/>
        <v>0</v>
      </c>
      <c r="AH46" s="45">
        <f t="shared" si="7"/>
        <v>0</v>
      </c>
      <c r="AI46" s="45">
        <f t="shared" si="8"/>
        <v>0</v>
      </c>
      <c r="AJ46" s="45">
        <f t="shared" si="9"/>
        <v>0</v>
      </c>
      <c r="AK46" s="45">
        <f t="shared" si="10"/>
        <v>0</v>
      </c>
      <c r="AL46" s="45"/>
      <c r="AT46" s="45">
        <v>84</v>
      </c>
      <c r="AU46" s="45"/>
      <c r="AW46">
        <v>12</v>
      </c>
      <c r="AX46" s="45"/>
    </row>
    <row r="47" spans="1:50" x14ac:dyDescent="0.2">
      <c r="A47" s="45" t="s">
        <v>628</v>
      </c>
      <c r="B47" s="39" t="s">
        <v>530</v>
      </c>
      <c r="C47" s="28" t="s">
        <v>67</v>
      </c>
      <c r="D47" s="28">
        <f>SUMIF(Master_Rack!$S$1:$S$265,Constraints!$C47,Master_Rack!$L$1:$L$265)</f>
        <v>240</v>
      </c>
      <c r="E47" t="s">
        <v>664</v>
      </c>
      <c r="F47">
        <v>345</v>
      </c>
      <c r="I47" s="71" t="s">
        <v>663</v>
      </c>
      <c r="J47" s="45">
        <v>431</v>
      </c>
      <c r="K47" s="45" t="s">
        <v>386</v>
      </c>
      <c r="P47" s="28">
        <f>SUMIF(Master_Rack!$S$1:$S$265,Constraints!$C47,Master_Rack!$AI$1:$AI$265)</f>
        <v>0</v>
      </c>
      <c r="Q47" s="28">
        <f>SUMIF(Master_Rack!$S$1:$S$265,Constraints!$C47,Master_Rack!$AL$1:$AL$265)</f>
        <v>0</v>
      </c>
      <c r="R47" s="28">
        <f>SUMIF(Master_Rack!$S$1:$S$265,Constraints!$C47,Master_Rack!$AO$1:$AO$265)</f>
        <v>0</v>
      </c>
      <c r="S47" s="28">
        <f>SUMIF(Master_Rack!$S$1:$S$265,Constraints!$C47,Master_Rack!$AR$1:$AR$265)</f>
        <v>0</v>
      </c>
      <c r="T47" s="28">
        <f>SUMIF(Master_Rack!$S$1:$S$265,Constraints!$C47,Master_Rack!$AU$1:$AU$265)</f>
        <v>0</v>
      </c>
      <c r="U47" s="28">
        <f>SUMIF(Master_Rack!$S$1:$S$265,Constraints!$C47,Master_Rack!$AX$1:$AX$265)</f>
        <v>0</v>
      </c>
      <c r="V47" s="45">
        <f t="shared" si="11"/>
        <v>0</v>
      </c>
      <c r="W47" s="45">
        <f t="shared" si="12"/>
        <v>0</v>
      </c>
      <c r="X47" s="45">
        <f t="shared" si="13"/>
        <v>0</v>
      </c>
      <c r="Y47" s="45">
        <f t="shared" si="14"/>
        <v>0</v>
      </c>
      <c r="Z47" s="45">
        <f t="shared" si="15"/>
        <v>0</v>
      </c>
      <c r="AA47" s="28">
        <f>COUNTIFS(Master_Rack!$R$1:$R$265,Constraints!$C47,Master_Rack!$AI$1:$AI$265, "&gt;0")</f>
        <v>0</v>
      </c>
      <c r="AB47" s="28">
        <f>COUNTIFS(Master_Rack!$R$1:$R$265,Constraints!$C47,Master_Rack!$AL$1:$AL$265, "&gt;0")</f>
        <v>0</v>
      </c>
      <c r="AC47" s="28">
        <f>COUNTIFS(Master_Rack!$R$1:$R$265,Constraints!$C47,Master_Rack!$AO$1:$AO$265, "&gt;0")</f>
        <v>0</v>
      </c>
      <c r="AD47" s="28">
        <f>COUNTIFS(Master_Rack!$R$1:$R$265,Constraints!$C47,Master_Rack!$AR$1:$AR$265, "&gt;0")</f>
        <v>0</v>
      </c>
      <c r="AE47" s="28">
        <f>COUNTIFS(Master_Rack!$R$1:$R$265,Constraints!$C47,Master_Rack!$AU$1:$AU$265, "&gt;0")</f>
        <v>0</v>
      </c>
      <c r="AF47" s="28">
        <f>COUNTIFS(Master_Rack!$R$1:$R$265,Constraints!$C47,Master_Rack!$AX$1:$AX$265, "&gt;0")</f>
        <v>0</v>
      </c>
      <c r="AG47" s="45">
        <f t="shared" si="6"/>
        <v>0</v>
      </c>
      <c r="AH47" s="45">
        <f t="shared" si="7"/>
        <v>0</v>
      </c>
      <c r="AI47" s="45">
        <f t="shared" si="8"/>
        <v>0</v>
      </c>
      <c r="AJ47" s="45">
        <f t="shared" si="9"/>
        <v>0</v>
      </c>
      <c r="AK47" s="45">
        <f t="shared" si="10"/>
        <v>0</v>
      </c>
      <c r="AL47" s="45"/>
      <c r="AT47" s="45">
        <v>84</v>
      </c>
      <c r="AU47" s="45"/>
      <c r="AW47">
        <v>12</v>
      </c>
      <c r="AX47" s="45"/>
    </row>
    <row r="48" spans="1:50" x14ac:dyDescent="0.2">
      <c r="A48" s="45" t="s">
        <v>628</v>
      </c>
      <c r="B48" s="39" t="s">
        <v>530</v>
      </c>
      <c r="C48" s="28" t="s">
        <v>306</v>
      </c>
      <c r="D48" s="28">
        <f>SUMIF(Master_Rack!$S$1:$S$265,Constraints!$C48,Master_Rack!$L$1:$L$265)</f>
        <v>720</v>
      </c>
      <c r="E48" t="s">
        <v>664</v>
      </c>
      <c r="F48">
        <v>920</v>
      </c>
      <c r="I48" s="71" t="s">
        <v>663</v>
      </c>
      <c r="J48" s="45">
        <v>1150</v>
      </c>
      <c r="K48" s="45" t="s">
        <v>387</v>
      </c>
      <c r="P48" s="28">
        <f>SUMIF(Master_Rack!$S$1:$S$265,Constraints!$C48,Master_Rack!$AI$1:$AI$265)</f>
        <v>0</v>
      </c>
      <c r="Q48" s="28">
        <f>SUMIF(Master_Rack!$S$1:$S$265,Constraints!$C48,Master_Rack!$AL$1:$AL$265)</f>
        <v>0</v>
      </c>
      <c r="R48" s="28">
        <f>SUMIF(Master_Rack!$S$1:$S$265,Constraints!$C48,Master_Rack!$AO$1:$AO$265)</f>
        <v>0</v>
      </c>
      <c r="S48" s="28">
        <f>SUMIF(Master_Rack!$S$1:$S$265,Constraints!$C48,Master_Rack!$AR$1:$AR$265)</f>
        <v>0</v>
      </c>
      <c r="T48" s="28">
        <f>SUMIF(Master_Rack!$S$1:$S$265,Constraints!$C48,Master_Rack!$AU$1:$AU$265)</f>
        <v>0</v>
      </c>
      <c r="U48" s="28">
        <f>SUMIF(Master_Rack!$S$1:$S$265,Constraints!$C48,Master_Rack!$AX$1:$AX$265)</f>
        <v>0</v>
      </c>
      <c r="V48" s="45">
        <f t="shared" si="11"/>
        <v>0</v>
      </c>
      <c r="W48" s="45">
        <f t="shared" si="12"/>
        <v>0</v>
      </c>
      <c r="X48" s="45">
        <f t="shared" si="13"/>
        <v>0</v>
      </c>
      <c r="Y48" s="45">
        <f t="shared" si="14"/>
        <v>0</v>
      </c>
      <c r="Z48" s="45">
        <f t="shared" si="15"/>
        <v>0</v>
      </c>
      <c r="AA48" s="28">
        <f>COUNTIFS(Master_Rack!$R$1:$R$265,Constraints!$C48,Master_Rack!$AI$1:$AI$265, "&gt;0")</f>
        <v>0</v>
      </c>
      <c r="AB48" s="28">
        <f>COUNTIFS(Master_Rack!$R$1:$R$265,Constraints!$C48,Master_Rack!$AL$1:$AL$265, "&gt;0")</f>
        <v>0</v>
      </c>
      <c r="AC48" s="28">
        <f>COUNTIFS(Master_Rack!$R$1:$R$265,Constraints!$C48,Master_Rack!$AO$1:$AO$265, "&gt;0")</f>
        <v>0</v>
      </c>
      <c r="AD48" s="28">
        <f>COUNTIFS(Master_Rack!$R$1:$R$265,Constraints!$C48,Master_Rack!$AR$1:$AR$265, "&gt;0")</f>
        <v>0</v>
      </c>
      <c r="AE48" s="28">
        <f>COUNTIFS(Master_Rack!$R$1:$R$265,Constraints!$C48,Master_Rack!$AU$1:$AU$265, "&gt;0")</f>
        <v>0</v>
      </c>
      <c r="AF48" s="28">
        <f>COUNTIFS(Master_Rack!$R$1:$R$265,Constraints!$C48,Master_Rack!$AX$1:$AX$265, "&gt;0")</f>
        <v>0</v>
      </c>
      <c r="AG48" s="45">
        <f t="shared" si="6"/>
        <v>0</v>
      </c>
      <c r="AH48" s="45">
        <f t="shared" si="7"/>
        <v>0</v>
      </c>
      <c r="AI48" s="45">
        <f t="shared" si="8"/>
        <v>0</v>
      </c>
      <c r="AJ48" s="45">
        <f t="shared" si="9"/>
        <v>0</v>
      </c>
      <c r="AK48" s="45">
        <f t="shared" si="10"/>
        <v>0</v>
      </c>
      <c r="AL48" s="45"/>
      <c r="AT48" s="45">
        <v>84</v>
      </c>
      <c r="AU48" s="45"/>
      <c r="AW48">
        <v>12</v>
      </c>
      <c r="AX48" s="45"/>
    </row>
    <row r="49" spans="1:50" x14ac:dyDescent="0.2">
      <c r="A49" s="45" t="s">
        <v>628</v>
      </c>
      <c r="B49" s="39" t="s">
        <v>530</v>
      </c>
      <c r="C49" s="28" t="s">
        <v>308</v>
      </c>
      <c r="D49" s="28">
        <f>SUMIF(Master_Rack!$S$1:$S$265,Constraints!$C49,Master_Rack!$L$1:$L$265)</f>
        <v>720</v>
      </c>
      <c r="E49" t="s">
        <v>664</v>
      </c>
      <c r="F49">
        <v>920</v>
      </c>
      <c r="I49" s="71" t="s">
        <v>663</v>
      </c>
      <c r="J49" s="45">
        <v>1150</v>
      </c>
      <c r="K49" s="45" t="s">
        <v>387</v>
      </c>
      <c r="P49" s="28">
        <f>SUMIF(Master_Rack!$S$1:$S$265,Constraints!$C49,Master_Rack!$AI$1:$AI$265)</f>
        <v>0</v>
      </c>
      <c r="Q49" s="28">
        <f>SUMIF(Master_Rack!$S$1:$S$265,Constraints!$C49,Master_Rack!$AL$1:$AL$265)</f>
        <v>0</v>
      </c>
      <c r="R49" s="28">
        <f>SUMIF(Master_Rack!$S$1:$S$265,Constraints!$C49,Master_Rack!$AO$1:$AO$265)</f>
        <v>0</v>
      </c>
      <c r="S49" s="28">
        <f>SUMIF(Master_Rack!$S$1:$S$265,Constraints!$C49,Master_Rack!$AR$1:$AR$265)</f>
        <v>0</v>
      </c>
      <c r="T49" s="28">
        <f>SUMIF(Master_Rack!$S$1:$S$265,Constraints!$C49,Master_Rack!$AU$1:$AU$265)</f>
        <v>0</v>
      </c>
      <c r="U49" s="28">
        <f>SUMIF(Master_Rack!$S$1:$S$265,Constraints!$C49,Master_Rack!$AX$1:$AX$265)</f>
        <v>0</v>
      </c>
      <c r="V49" s="45">
        <f t="shared" si="11"/>
        <v>0</v>
      </c>
      <c r="W49" s="45">
        <f t="shared" si="12"/>
        <v>0</v>
      </c>
      <c r="X49" s="45">
        <f t="shared" si="13"/>
        <v>0</v>
      </c>
      <c r="Y49" s="45">
        <f t="shared" si="14"/>
        <v>0</v>
      </c>
      <c r="Z49" s="45">
        <f t="shared" si="15"/>
        <v>0</v>
      </c>
      <c r="AA49" s="28">
        <f>COUNTIFS(Master_Rack!$R$1:$R$265,Constraints!$C49,Master_Rack!$AI$1:$AI$265, "&gt;0")</f>
        <v>0</v>
      </c>
      <c r="AB49" s="28">
        <f>COUNTIFS(Master_Rack!$R$1:$R$265,Constraints!$C49,Master_Rack!$AL$1:$AL$265, "&gt;0")</f>
        <v>0</v>
      </c>
      <c r="AC49" s="28">
        <f>COUNTIFS(Master_Rack!$R$1:$R$265,Constraints!$C49,Master_Rack!$AO$1:$AO$265, "&gt;0")</f>
        <v>0</v>
      </c>
      <c r="AD49" s="28">
        <f>COUNTIFS(Master_Rack!$R$1:$R$265,Constraints!$C49,Master_Rack!$AR$1:$AR$265, "&gt;0")</f>
        <v>0</v>
      </c>
      <c r="AE49" s="28">
        <f>COUNTIFS(Master_Rack!$R$1:$R$265,Constraints!$C49,Master_Rack!$AU$1:$AU$265, "&gt;0")</f>
        <v>0</v>
      </c>
      <c r="AF49" s="28">
        <f>COUNTIFS(Master_Rack!$R$1:$R$265,Constraints!$C49,Master_Rack!$AX$1:$AX$265, "&gt;0")</f>
        <v>0</v>
      </c>
      <c r="AG49" s="45">
        <f t="shared" si="6"/>
        <v>0</v>
      </c>
      <c r="AH49" s="45">
        <f t="shared" si="7"/>
        <v>0</v>
      </c>
      <c r="AI49" s="45">
        <f t="shared" si="8"/>
        <v>0</v>
      </c>
      <c r="AJ49" s="45">
        <f t="shared" si="9"/>
        <v>0</v>
      </c>
      <c r="AK49" s="45">
        <f t="shared" si="10"/>
        <v>0</v>
      </c>
      <c r="AL49" s="45"/>
      <c r="AT49" s="45">
        <v>84</v>
      </c>
      <c r="AU49" s="45"/>
      <c r="AW49">
        <v>12</v>
      </c>
      <c r="AX49" s="45"/>
    </row>
    <row r="50" spans="1:50" x14ac:dyDescent="0.2">
      <c r="A50" s="45" t="s">
        <v>628</v>
      </c>
      <c r="B50" s="39" t="s">
        <v>530</v>
      </c>
      <c r="C50" s="28" t="s">
        <v>310</v>
      </c>
      <c r="D50" s="28">
        <f>SUMIF(Master_Rack!$S$1:$S$265,Constraints!$C50,Master_Rack!$L$1:$L$265)</f>
        <v>720</v>
      </c>
      <c r="E50" t="s">
        <v>664</v>
      </c>
      <c r="F50">
        <v>920</v>
      </c>
      <c r="I50" s="71" t="s">
        <v>663</v>
      </c>
      <c r="J50" s="45">
        <v>1150</v>
      </c>
      <c r="K50" s="45" t="s">
        <v>388</v>
      </c>
      <c r="P50" s="28">
        <f>SUMIF(Master_Rack!$S$1:$S$265,Constraints!$C50,Master_Rack!$AI$1:$AI$265)</f>
        <v>0</v>
      </c>
      <c r="Q50" s="28">
        <f>SUMIF(Master_Rack!$S$1:$S$265,Constraints!$C50,Master_Rack!$AL$1:$AL$265)</f>
        <v>0</v>
      </c>
      <c r="R50" s="28">
        <f>SUMIF(Master_Rack!$S$1:$S$265,Constraints!$C50,Master_Rack!$AO$1:$AO$265)</f>
        <v>0</v>
      </c>
      <c r="S50" s="28">
        <f>SUMIF(Master_Rack!$S$1:$S$265,Constraints!$C50,Master_Rack!$AR$1:$AR$265)</f>
        <v>0</v>
      </c>
      <c r="T50" s="28">
        <f>SUMIF(Master_Rack!$S$1:$S$265,Constraints!$C50,Master_Rack!$AU$1:$AU$265)</f>
        <v>0</v>
      </c>
      <c r="U50" s="28">
        <f>SUMIF(Master_Rack!$S$1:$S$265,Constraints!$C50,Master_Rack!$AX$1:$AX$265)</f>
        <v>720</v>
      </c>
      <c r="V50" s="45">
        <f t="shared" si="11"/>
        <v>720</v>
      </c>
      <c r="W50" s="45">
        <f t="shared" si="12"/>
        <v>720</v>
      </c>
      <c r="X50" s="45">
        <f t="shared" si="13"/>
        <v>720</v>
      </c>
      <c r="Y50" s="45">
        <f t="shared" si="14"/>
        <v>720</v>
      </c>
      <c r="Z50" s="45">
        <f t="shared" si="15"/>
        <v>720</v>
      </c>
      <c r="AA50" s="28">
        <f>COUNTIFS(Master_Rack!$R$1:$R$265,Constraints!$C50,Master_Rack!$AI$1:$AI$265, "&gt;0")</f>
        <v>0</v>
      </c>
      <c r="AB50" s="28">
        <f>COUNTIFS(Master_Rack!$R$1:$R$265,Constraints!$C50,Master_Rack!$AL$1:$AL$265, "&gt;0")</f>
        <v>0</v>
      </c>
      <c r="AC50" s="28">
        <f>COUNTIFS(Master_Rack!$R$1:$R$265,Constraints!$C50,Master_Rack!$AO$1:$AO$265, "&gt;0")</f>
        <v>0</v>
      </c>
      <c r="AD50" s="28">
        <f>COUNTIFS(Master_Rack!$R$1:$R$265,Constraints!$C50,Master_Rack!$AR$1:$AR$265, "&gt;0")</f>
        <v>0</v>
      </c>
      <c r="AE50" s="28">
        <f>COUNTIFS(Master_Rack!$R$1:$R$265,Constraints!$C50,Master_Rack!$AU$1:$AU$265, "&gt;0")</f>
        <v>0</v>
      </c>
      <c r="AF50" s="28">
        <f>COUNTIFS(Master_Rack!$R$1:$R$265,Constraints!$C50,Master_Rack!$AX$1:$AX$265, "&gt;0")</f>
        <v>0</v>
      </c>
      <c r="AG50" s="45">
        <f t="shared" si="6"/>
        <v>0</v>
      </c>
      <c r="AH50" s="45">
        <f t="shared" si="7"/>
        <v>0</v>
      </c>
      <c r="AI50" s="45">
        <f t="shared" si="8"/>
        <v>0</v>
      </c>
      <c r="AJ50" s="45">
        <f t="shared" si="9"/>
        <v>0</v>
      </c>
      <c r="AK50" s="45">
        <f t="shared" si="10"/>
        <v>0</v>
      </c>
      <c r="AL50" s="45"/>
      <c r="AT50" s="45">
        <v>84</v>
      </c>
      <c r="AU50" s="45"/>
      <c r="AW50">
        <v>12</v>
      </c>
      <c r="AX50" s="45"/>
    </row>
    <row r="51" spans="1:50" x14ac:dyDescent="0.2">
      <c r="A51" s="45" t="s">
        <v>628</v>
      </c>
      <c r="B51" s="39" t="s">
        <v>530</v>
      </c>
      <c r="C51" s="28" t="s">
        <v>312</v>
      </c>
      <c r="D51" s="28">
        <f>SUMIF(Master_Rack!$S$1:$S$265,Constraints!$C51,Master_Rack!$L$1:$L$265)</f>
        <v>720</v>
      </c>
      <c r="E51" t="s">
        <v>664</v>
      </c>
      <c r="F51">
        <v>920</v>
      </c>
      <c r="I51" s="71" t="s">
        <v>663</v>
      </c>
      <c r="J51" s="45">
        <v>1150</v>
      </c>
      <c r="K51" s="45" t="s">
        <v>388</v>
      </c>
      <c r="P51" s="28">
        <f>SUMIF(Master_Rack!$S$1:$S$265,Constraints!$C51,Master_Rack!$AI$1:$AI$265)</f>
        <v>0</v>
      </c>
      <c r="Q51" s="28">
        <f>SUMIF(Master_Rack!$S$1:$S$265,Constraints!$C51,Master_Rack!$AL$1:$AL$265)</f>
        <v>0</v>
      </c>
      <c r="R51" s="28">
        <f>SUMIF(Master_Rack!$S$1:$S$265,Constraints!$C51,Master_Rack!$AO$1:$AO$265)</f>
        <v>0</v>
      </c>
      <c r="S51" s="28">
        <f>SUMIF(Master_Rack!$S$1:$S$265,Constraints!$C51,Master_Rack!$AR$1:$AR$265)</f>
        <v>0</v>
      </c>
      <c r="T51" s="28">
        <f>SUMIF(Master_Rack!$S$1:$S$265,Constraints!$C51,Master_Rack!$AU$1:$AU$265)</f>
        <v>0</v>
      </c>
      <c r="U51" s="28">
        <f>SUMIF(Master_Rack!$S$1:$S$265,Constraints!$C51,Master_Rack!$AX$1:$AX$265)</f>
        <v>675</v>
      </c>
      <c r="V51" s="45">
        <f t="shared" si="11"/>
        <v>675</v>
      </c>
      <c r="W51" s="45">
        <f t="shared" si="12"/>
        <v>675</v>
      </c>
      <c r="X51" s="45">
        <f t="shared" si="13"/>
        <v>675</v>
      </c>
      <c r="Y51" s="45">
        <f t="shared" si="14"/>
        <v>675</v>
      </c>
      <c r="Z51" s="45">
        <f t="shared" si="15"/>
        <v>675</v>
      </c>
      <c r="AA51" s="28">
        <f>COUNTIFS(Master_Rack!$R$1:$R$265,Constraints!$C51,Master_Rack!$AI$1:$AI$265, "&gt;0")</f>
        <v>0</v>
      </c>
      <c r="AB51" s="28">
        <f>COUNTIFS(Master_Rack!$R$1:$R$265,Constraints!$C51,Master_Rack!$AL$1:$AL$265, "&gt;0")</f>
        <v>0</v>
      </c>
      <c r="AC51" s="28">
        <f>COUNTIFS(Master_Rack!$R$1:$R$265,Constraints!$C51,Master_Rack!$AO$1:$AO$265, "&gt;0")</f>
        <v>0</v>
      </c>
      <c r="AD51" s="28">
        <f>COUNTIFS(Master_Rack!$R$1:$R$265,Constraints!$C51,Master_Rack!$AR$1:$AR$265, "&gt;0")</f>
        <v>0</v>
      </c>
      <c r="AE51" s="28">
        <f>COUNTIFS(Master_Rack!$R$1:$R$265,Constraints!$C51,Master_Rack!$AU$1:$AU$265, "&gt;0")</f>
        <v>0</v>
      </c>
      <c r="AF51" s="28">
        <f>COUNTIFS(Master_Rack!$R$1:$R$265,Constraints!$C51,Master_Rack!$AX$1:$AX$265, "&gt;0")</f>
        <v>0</v>
      </c>
      <c r="AG51" s="45">
        <f t="shared" si="6"/>
        <v>0</v>
      </c>
      <c r="AH51" s="45">
        <f t="shared" si="7"/>
        <v>0</v>
      </c>
      <c r="AI51" s="45">
        <f t="shared" si="8"/>
        <v>0</v>
      </c>
      <c r="AJ51" s="45">
        <f t="shared" si="9"/>
        <v>0</v>
      </c>
      <c r="AK51" s="45">
        <f t="shared" si="10"/>
        <v>0</v>
      </c>
      <c r="AL51" s="45"/>
      <c r="AT51" s="45">
        <v>84</v>
      </c>
      <c r="AU51" s="45"/>
      <c r="AW51">
        <v>12</v>
      </c>
      <c r="AX51" s="45"/>
    </row>
    <row r="52" spans="1:50" x14ac:dyDescent="0.2">
      <c r="A52" s="45" t="s">
        <v>1</v>
      </c>
      <c r="B52" s="39" t="s">
        <v>1</v>
      </c>
      <c r="C52" s="28" t="s">
        <v>397</v>
      </c>
      <c r="D52" s="28">
        <f>SUMIF(Master_Rack!$F$1:$F$265,Constraints!$C52,Master_Rack!$M$1:$M$265)</f>
        <v>180</v>
      </c>
      <c r="E52" t="s">
        <v>668</v>
      </c>
      <c r="F52">
        <v>200</v>
      </c>
      <c r="K52" s="45" t="s">
        <v>455</v>
      </c>
      <c r="P52" s="28">
        <f>SUMIF(Master_Rack!$F$1:$F$265,Constraints!$C52,Master_Rack!$AJ$1:$AJ$265)</f>
        <v>150</v>
      </c>
      <c r="Q52" s="28">
        <f>SUMIF(Master_Rack!$F$1:$F$265,Constraints!$C52,Master_Rack!$AM$1:$AM$265)</f>
        <v>0</v>
      </c>
      <c r="R52" s="28">
        <f>SUMIF(Master_Rack!$F$1:$F$265,Constraints!$C52,Master_Rack!$AP$1:$AP$265)</f>
        <v>0</v>
      </c>
      <c r="S52" s="28">
        <f>SUMIF(Master_Rack!$F$1:$F$265,Constraints!$C52,Master_Rack!$AS$1:$AS$265)</f>
        <v>0</v>
      </c>
      <c r="T52" s="28">
        <f>SUMIF(Master_Rack!$F$1:$F$265,Constraints!$C52,Master_Rack!$AV$1:$AV$265)</f>
        <v>0</v>
      </c>
      <c r="U52" s="28">
        <f>SUMIF(Master_Rack!$F$1:$F$265,Constraints!$C52,Master_Rack!$AY$1:$AY$265)</f>
        <v>0</v>
      </c>
      <c r="V52" s="45">
        <f t="shared" si="11"/>
        <v>150</v>
      </c>
      <c r="W52" s="45">
        <f t="shared" si="12"/>
        <v>150</v>
      </c>
      <c r="X52" s="45">
        <f t="shared" si="13"/>
        <v>150</v>
      </c>
      <c r="Y52" s="45">
        <f t="shared" si="14"/>
        <v>150</v>
      </c>
      <c r="Z52" s="45">
        <f t="shared" si="15"/>
        <v>150</v>
      </c>
      <c r="AA52" s="28">
        <f>COUNTIFS(Master_Rack!$F$1:$F$265,Constraints!$C52,Master_Rack!$AJ$1:$AJ$265, "&gt;0")</f>
        <v>24</v>
      </c>
      <c r="AB52" s="28">
        <f>COUNTIFS(Master_Rack!$F$1:$F$265,Constraints!$C52,Master_Rack!$AM$1:$AM$265, "&gt;0")</f>
        <v>0</v>
      </c>
      <c r="AC52" s="28">
        <f>COUNTIFS(Master_Rack!$F$1:$F$265,Constraints!$C52,Master_Rack!$AP$1:$AP$265, "&gt;0")</f>
        <v>0</v>
      </c>
      <c r="AD52" s="28">
        <f>COUNTIFS(Master_Rack!$F$1:$F$265,Constraints!$C52,Master_Rack!$AS$1:$AS$265, "&gt;0")</f>
        <v>0</v>
      </c>
      <c r="AE52" s="28">
        <f>COUNTIFS(Master_Rack!$F$1:$F$265,Constraints!$C52,Master_Rack!$AV$1:$AV$265, "&gt;0")</f>
        <v>0</v>
      </c>
      <c r="AF52" s="28">
        <f>COUNTIFS(Master_Rack!$F$1:$F$265,Constraints!$C52,Master_Rack!$AY$1:$AY$265, "&gt;0")</f>
        <v>0</v>
      </c>
      <c r="AG52" s="45">
        <f t="shared" si="6"/>
        <v>24</v>
      </c>
      <c r="AH52" s="45">
        <f t="shared" si="7"/>
        <v>24</v>
      </c>
      <c r="AI52" s="45">
        <f t="shared" si="8"/>
        <v>24</v>
      </c>
      <c r="AJ52" s="45">
        <f t="shared" si="9"/>
        <v>24</v>
      </c>
      <c r="AK52" s="45">
        <f t="shared" si="10"/>
        <v>24</v>
      </c>
      <c r="AL52" s="45"/>
      <c r="AM52">
        <v>22</v>
      </c>
      <c r="AN52">
        <v>10</v>
      </c>
      <c r="AS52" s="18">
        <f t="shared" ref="AS52:AS58" si="16">INT(F52/(4.2*AN52)+0.5)</f>
        <v>5</v>
      </c>
    </row>
    <row r="53" spans="1:50" x14ac:dyDescent="0.2">
      <c r="A53" s="45" t="s">
        <v>1</v>
      </c>
      <c r="B53" s="39" t="s">
        <v>1</v>
      </c>
      <c r="C53" s="28" t="s">
        <v>422</v>
      </c>
      <c r="D53" s="28">
        <f>SUMIF(Master_Rack!$F$1:$F$265,Constraints!$C53,Master_Rack!$M$1:$M$265)</f>
        <v>180</v>
      </c>
      <c r="E53" t="s">
        <v>668</v>
      </c>
      <c r="F53">
        <v>200</v>
      </c>
      <c r="K53" s="45" t="s">
        <v>455</v>
      </c>
      <c r="P53" s="28">
        <f>SUMIF(Master_Rack!$F$1:$F$265,Constraints!$C53,Master_Rack!$AJ$1:$AJ$265)</f>
        <v>75</v>
      </c>
      <c r="Q53" s="28">
        <f>SUMIF(Master_Rack!$F$1:$F$265,Constraints!$C53,Master_Rack!$AM$1:$AM$265)</f>
        <v>0</v>
      </c>
      <c r="R53" s="28">
        <f>SUMIF(Master_Rack!$F$1:$F$265,Constraints!$C53,Master_Rack!$AP$1:$AP$265)</f>
        <v>0</v>
      </c>
      <c r="S53" s="28">
        <f>SUMIF(Master_Rack!$F$1:$F$265,Constraints!$C53,Master_Rack!$AS$1:$AS$265)</f>
        <v>0</v>
      </c>
      <c r="T53" s="28">
        <f>SUMIF(Master_Rack!$F$1:$F$265,Constraints!$C53,Master_Rack!$AV$1:$AV$265)</f>
        <v>0</v>
      </c>
      <c r="U53" s="28">
        <f>SUMIF(Master_Rack!$F$1:$F$265,Constraints!$C53,Master_Rack!$AY$1:$AY$265)</f>
        <v>0</v>
      </c>
      <c r="V53" s="45">
        <f t="shared" si="11"/>
        <v>75</v>
      </c>
      <c r="W53" s="45">
        <f t="shared" si="12"/>
        <v>75</v>
      </c>
      <c r="X53" s="45">
        <f t="shared" si="13"/>
        <v>75</v>
      </c>
      <c r="Y53" s="45">
        <f t="shared" si="14"/>
        <v>75</v>
      </c>
      <c r="Z53" s="45">
        <f t="shared" si="15"/>
        <v>75</v>
      </c>
      <c r="AA53" s="28">
        <f>COUNTIFS(Master_Rack!$F$1:$F$265,Constraints!$C53,Master_Rack!$AJ$1:$AJ$265, "&gt;0")</f>
        <v>12</v>
      </c>
      <c r="AB53" s="28">
        <f>COUNTIFS(Master_Rack!$F$1:$F$265,Constraints!$C53,Master_Rack!$AM$1:$AM$265, "&gt;0")</f>
        <v>0</v>
      </c>
      <c r="AC53" s="28">
        <f>COUNTIFS(Master_Rack!$F$1:$F$265,Constraints!$C53,Master_Rack!$AP$1:$AP$265, "&gt;0")</f>
        <v>0</v>
      </c>
      <c r="AD53" s="28">
        <f>COUNTIFS(Master_Rack!$F$1:$F$265,Constraints!$C53,Master_Rack!$AS$1:$AS$265, "&gt;0")</f>
        <v>0</v>
      </c>
      <c r="AE53" s="28">
        <f>COUNTIFS(Master_Rack!$F$1:$F$265,Constraints!$C53,Master_Rack!$AV$1:$AV$265, "&gt;0")</f>
        <v>0</v>
      </c>
      <c r="AF53" s="28">
        <f>COUNTIFS(Master_Rack!$F$1:$F$265,Constraints!$C53,Master_Rack!$AY$1:$AY$265, "&gt;0")</f>
        <v>0</v>
      </c>
      <c r="AG53" s="45">
        <f t="shared" si="6"/>
        <v>12</v>
      </c>
      <c r="AH53" s="45">
        <f t="shared" si="7"/>
        <v>12</v>
      </c>
      <c r="AI53" s="45">
        <f t="shared" si="8"/>
        <v>12</v>
      </c>
      <c r="AJ53" s="45">
        <f t="shared" si="9"/>
        <v>12</v>
      </c>
      <c r="AK53" s="45">
        <f t="shared" si="10"/>
        <v>12</v>
      </c>
      <c r="AL53" s="45"/>
      <c r="AM53">
        <v>22</v>
      </c>
      <c r="AN53">
        <v>10</v>
      </c>
      <c r="AS53" s="18">
        <f t="shared" si="16"/>
        <v>5</v>
      </c>
    </row>
    <row r="54" spans="1:50" x14ac:dyDescent="0.2">
      <c r="A54" s="45" t="s">
        <v>1</v>
      </c>
      <c r="B54" s="39" t="s">
        <v>1</v>
      </c>
      <c r="C54" s="28" t="s">
        <v>247</v>
      </c>
      <c r="D54" s="28">
        <f>SUMIF(Master_Rack!$F$1:$F$265,Constraints!$C54,Master_Rack!$M$1:$M$265)</f>
        <v>2754</v>
      </c>
      <c r="E54" t="s">
        <v>668</v>
      </c>
      <c r="F54" s="41">
        <v>2000</v>
      </c>
      <c r="G54" s="41"/>
      <c r="H54" s="41"/>
      <c r="I54" s="41"/>
      <c r="J54" s="41"/>
      <c r="K54" s="45" t="s">
        <v>385</v>
      </c>
      <c r="L54" s="41"/>
      <c r="M54" s="41"/>
      <c r="N54" s="41"/>
      <c r="O54" s="41"/>
      <c r="P54" s="28">
        <f>SUMIF(Master_Rack!$F$1:$F$265,Constraints!$C54,Master_Rack!$AJ$1:$AJ$265)</f>
        <v>0</v>
      </c>
      <c r="Q54" s="28">
        <f>SUMIF(Master_Rack!$F$1:$F$265,Constraints!$C54,Master_Rack!$AM$1:$AM$265)</f>
        <v>0</v>
      </c>
      <c r="R54" s="28">
        <f>SUMIF(Master_Rack!$F$1:$F$265,Constraints!$C54,Master_Rack!$AP$1:$AP$265)</f>
        <v>0</v>
      </c>
      <c r="S54" s="28">
        <f>SUMIF(Master_Rack!$F$1:$F$265,Constraints!$C54,Master_Rack!$AS$1:$AS$265)</f>
        <v>1326</v>
      </c>
      <c r="T54" s="28">
        <f>SUMIF(Master_Rack!$F$1:$F$265,Constraints!$C54,Master_Rack!$AV$1:$AV$265)</f>
        <v>1326</v>
      </c>
      <c r="U54" s="28">
        <f>SUMIF(Master_Rack!$F$1:$F$265,Constraints!$C54,Master_Rack!$AY$1:$AY$265)</f>
        <v>0</v>
      </c>
      <c r="V54" s="45">
        <f t="shared" si="11"/>
        <v>0</v>
      </c>
      <c r="W54" s="45">
        <f t="shared" si="12"/>
        <v>0</v>
      </c>
      <c r="X54" s="45">
        <f t="shared" si="13"/>
        <v>0</v>
      </c>
      <c r="Y54" s="45">
        <f t="shared" si="14"/>
        <v>1326</v>
      </c>
      <c r="Z54" s="45">
        <f t="shared" si="15"/>
        <v>1326</v>
      </c>
      <c r="AA54" s="28">
        <f>COUNTIFS(Master_Rack!$F$1:$F$265,Constraints!$C54,Master_Rack!$AJ$1:$AJ$265, "&gt;0")</f>
        <v>0</v>
      </c>
      <c r="AB54" s="28">
        <f>COUNTIFS(Master_Rack!$F$1:$F$265,Constraints!$C54,Master_Rack!$AM$1:$AM$265, "&gt;0")</f>
        <v>0</v>
      </c>
      <c r="AC54" s="28">
        <f>COUNTIFS(Master_Rack!$F$1:$F$265,Constraints!$C54,Master_Rack!$AP$1:$AP$265, "&gt;0")</f>
        <v>0</v>
      </c>
      <c r="AD54" s="28">
        <f>COUNTIFS(Master_Rack!$F$1:$F$265,Constraints!$C54,Master_Rack!$AS$1:$AS$265, "&gt;0")</f>
        <v>52</v>
      </c>
      <c r="AE54" s="28">
        <f>COUNTIFS(Master_Rack!$F$1:$F$265,Constraints!$C54,Master_Rack!$AV$1:$AV$265, "&gt;0")</f>
        <v>52</v>
      </c>
      <c r="AF54" s="28">
        <f>COUNTIFS(Master_Rack!$F$1:$F$265,Constraints!$C54,Master_Rack!$AY$1:$AY$265, "&gt;0")</f>
        <v>0</v>
      </c>
      <c r="AG54" s="45">
        <f t="shared" si="6"/>
        <v>0</v>
      </c>
      <c r="AH54" s="45">
        <f t="shared" si="7"/>
        <v>0</v>
      </c>
      <c r="AI54" s="45">
        <f t="shared" si="8"/>
        <v>0</v>
      </c>
      <c r="AJ54" s="45">
        <f t="shared" si="9"/>
        <v>52</v>
      </c>
      <c r="AK54" s="45">
        <f t="shared" si="10"/>
        <v>52</v>
      </c>
      <c r="AL54" s="45"/>
      <c r="AM54">
        <v>22</v>
      </c>
      <c r="AN54">
        <v>10</v>
      </c>
      <c r="AS54" s="18">
        <f t="shared" si="16"/>
        <v>48</v>
      </c>
    </row>
    <row r="55" spans="1:50" x14ac:dyDescent="0.2">
      <c r="A55" s="45" t="s">
        <v>1</v>
      </c>
      <c r="B55" s="39" t="s">
        <v>1</v>
      </c>
      <c r="C55" s="28" t="s">
        <v>246</v>
      </c>
      <c r="D55" s="28">
        <f>SUMIF(Master_Rack!$F$1:$F$265,Constraints!$C55,Master_Rack!$M$1:$M$265)</f>
        <v>1620</v>
      </c>
      <c r="E55" t="s">
        <v>668</v>
      </c>
      <c r="F55" s="41">
        <v>1000</v>
      </c>
      <c r="G55" s="41"/>
      <c r="H55" s="41"/>
      <c r="I55" s="41"/>
      <c r="J55" s="41"/>
      <c r="K55" s="45" t="s">
        <v>385</v>
      </c>
      <c r="L55" s="41"/>
      <c r="M55" s="41"/>
      <c r="N55" s="41"/>
      <c r="O55" s="41"/>
      <c r="P55" s="28">
        <f>SUMIF(Master_Rack!$F$1:$F$265,Constraints!$C55,Master_Rack!$AJ$1:$AJ$265)</f>
        <v>0</v>
      </c>
      <c r="Q55" s="64">
        <f>SUMIF(Master_Rack!$F$1:$F$265,Constraints!$C55,Master_Rack!$AM$1:$AM$265)</f>
        <v>1170</v>
      </c>
      <c r="R55" s="64">
        <f>SUMIF(Master_Rack!$F$1:$F$265,Constraints!$C55,Master_Rack!$AP$1:$AP$265)</f>
        <v>1170</v>
      </c>
      <c r="S55" s="28">
        <f>SUMIF(Master_Rack!$F$1:$F$265,Constraints!$C55,Master_Rack!$AS$1:$AS$265)</f>
        <v>0</v>
      </c>
      <c r="T55" s="28">
        <f>SUMIF(Master_Rack!$F$1:$F$265,Constraints!$C55,Master_Rack!$AV$1:$AV$265)</f>
        <v>0</v>
      </c>
      <c r="U55" s="28">
        <f>SUMIF(Master_Rack!$F$1:$F$265,Constraints!$C55,Master_Rack!$AY$1:$AY$265)</f>
        <v>0</v>
      </c>
      <c r="V55" s="45">
        <f t="shared" si="11"/>
        <v>0</v>
      </c>
      <c r="W55" s="45">
        <f t="shared" si="12"/>
        <v>1170</v>
      </c>
      <c r="X55" s="45">
        <f t="shared" si="13"/>
        <v>1170</v>
      </c>
      <c r="Y55" s="45">
        <f t="shared" si="14"/>
        <v>0</v>
      </c>
      <c r="Z55" s="45">
        <f t="shared" si="15"/>
        <v>0</v>
      </c>
      <c r="AA55" s="28">
        <f>COUNTIFS(Master_Rack!$F$1:$F$265,Constraints!$C55,Master_Rack!$AJ$1:$AJ$265, "&gt;0")</f>
        <v>0</v>
      </c>
      <c r="AB55" s="28">
        <f>COUNTIFS(Master_Rack!$F$1:$F$265,Constraints!$C55,Master_Rack!$AM$1:$AM$265, "&gt;0")</f>
        <v>52</v>
      </c>
      <c r="AC55" s="28">
        <f>COUNTIFS(Master_Rack!$F$1:$F$265,Constraints!$C55,Master_Rack!$AP$1:$AP$265, "&gt;0")</f>
        <v>52</v>
      </c>
      <c r="AD55" s="28">
        <f>COUNTIFS(Master_Rack!$F$1:$F$265,Constraints!$C55,Master_Rack!$AS$1:$AS$265, "&gt;0")</f>
        <v>0</v>
      </c>
      <c r="AE55" s="28">
        <f>COUNTIFS(Master_Rack!$F$1:$F$265,Constraints!$C55,Master_Rack!$AV$1:$AV$265, "&gt;0")</f>
        <v>0</v>
      </c>
      <c r="AF55" s="28">
        <f>COUNTIFS(Master_Rack!$F$1:$F$265,Constraints!$C55,Master_Rack!$AY$1:$AY$265, "&gt;0")</f>
        <v>0</v>
      </c>
      <c r="AG55" s="45">
        <f t="shared" si="6"/>
        <v>0</v>
      </c>
      <c r="AH55" s="45">
        <f t="shared" si="7"/>
        <v>52</v>
      </c>
      <c r="AI55" s="45">
        <f t="shared" si="8"/>
        <v>52</v>
      </c>
      <c r="AJ55" s="45">
        <f t="shared" si="9"/>
        <v>0</v>
      </c>
      <c r="AK55" s="45">
        <f t="shared" si="10"/>
        <v>0</v>
      </c>
      <c r="AL55" s="45"/>
      <c r="AM55">
        <v>22</v>
      </c>
      <c r="AN55">
        <v>10</v>
      </c>
      <c r="AS55" s="18">
        <f t="shared" si="16"/>
        <v>24</v>
      </c>
    </row>
    <row r="56" spans="1:50" x14ac:dyDescent="0.2">
      <c r="A56" s="45" t="s">
        <v>1</v>
      </c>
      <c r="B56" s="39" t="s">
        <v>1</v>
      </c>
      <c r="C56" s="28" t="s">
        <v>252</v>
      </c>
      <c r="D56" s="28">
        <f>SUMIF(Master_Rack!$F$1:$F$265,Constraints!$C56,Master_Rack!$M$1:$M$265)</f>
        <v>336</v>
      </c>
      <c r="E56" t="s">
        <v>668</v>
      </c>
      <c r="F56">
        <v>500</v>
      </c>
      <c r="K56" s="45" t="s">
        <v>386</v>
      </c>
      <c r="P56" s="28">
        <f>SUMIF(Master_Rack!$F$1:$F$265,Constraints!$C56,Master_Rack!$AJ$1:$AJ$265)</f>
        <v>0</v>
      </c>
      <c r="Q56" s="28">
        <f>SUMIF(Master_Rack!$F$1:$F$265,Constraints!$C56,Master_Rack!$AM$1:$AM$265)</f>
        <v>0</v>
      </c>
      <c r="R56" s="28">
        <f>SUMIF(Master_Rack!$F$1:$F$265,Constraints!$C56,Master_Rack!$AP$1:$AP$265)</f>
        <v>0</v>
      </c>
      <c r="S56" s="28">
        <f>SUMIF(Master_Rack!$F$1:$F$265,Constraints!$C56,Master_Rack!$AS$1:$AS$265)</f>
        <v>0</v>
      </c>
      <c r="T56" s="28">
        <f>SUMIF(Master_Rack!$F$1:$F$265,Constraints!$C56,Master_Rack!$AV$1:$AV$265)</f>
        <v>0</v>
      </c>
      <c r="U56" s="28">
        <f>SUMIF(Master_Rack!$F$1:$F$265,Constraints!$C56,Master_Rack!$AY$1:$AY$265)</f>
        <v>0</v>
      </c>
      <c r="V56" s="45">
        <f t="shared" si="11"/>
        <v>0</v>
      </c>
      <c r="W56" s="45">
        <f t="shared" si="12"/>
        <v>0</v>
      </c>
      <c r="X56" s="45">
        <f t="shared" si="13"/>
        <v>0</v>
      </c>
      <c r="Y56" s="45">
        <f t="shared" si="14"/>
        <v>0</v>
      </c>
      <c r="Z56" s="45">
        <f t="shared" si="15"/>
        <v>0</v>
      </c>
      <c r="AA56" s="28">
        <f>COUNTIFS(Master_Rack!$F$1:$F$265,Constraints!$C56,Master_Rack!$AJ$1:$AJ$265, "&gt;0")</f>
        <v>0</v>
      </c>
      <c r="AB56" s="28">
        <f>COUNTIFS(Master_Rack!$F$1:$F$265,Constraints!$C56,Master_Rack!$AM$1:$AM$265, "&gt;0")</f>
        <v>0</v>
      </c>
      <c r="AC56" s="28">
        <f>COUNTIFS(Master_Rack!$F$1:$F$265,Constraints!$C56,Master_Rack!$AP$1:$AP$265, "&gt;0")</f>
        <v>0</v>
      </c>
      <c r="AD56" s="28">
        <f>COUNTIFS(Master_Rack!$F$1:$F$265,Constraints!$C56,Master_Rack!$AS$1:$AS$265, "&gt;0")</f>
        <v>0</v>
      </c>
      <c r="AE56" s="28">
        <f>COUNTIFS(Master_Rack!$F$1:$F$265,Constraints!$C56,Master_Rack!$AV$1:$AV$265, "&gt;0")</f>
        <v>0</v>
      </c>
      <c r="AF56" s="28">
        <f>COUNTIFS(Master_Rack!$F$1:$F$265,Constraints!$C56,Master_Rack!$AY$1:$AY$265, "&gt;0")</f>
        <v>0</v>
      </c>
      <c r="AG56" s="45">
        <f t="shared" si="6"/>
        <v>0</v>
      </c>
      <c r="AH56" s="45">
        <f t="shared" si="7"/>
        <v>0</v>
      </c>
      <c r="AI56" s="45">
        <f t="shared" si="8"/>
        <v>0</v>
      </c>
      <c r="AJ56" s="45">
        <f t="shared" si="9"/>
        <v>0</v>
      </c>
      <c r="AK56" s="45">
        <f t="shared" si="10"/>
        <v>0</v>
      </c>
      <c r="AL56" s="45"/>
      <c r="AM56">
        <v>22</v>
      </c>
      <c r="AN56">
        <v>10</v>
      </c>
      <c r="AS56" s="18">
        <f t="shared" si="16"/>
        <v>12</v>
      </c>
    </row>
    <row r="57" spans="1:50" x14ac:dyDescent="0.2">
      <c r="A57" s="45" t="s">
        <v>1</v>
      </c>
      <c r="B57" s="39" t="s">
        <v>1</v>
      </c>
      <c r="C57" s="28" t="s">
        <v>318</v>
      </c>
      <c r="D57" s="28">
        <f>SUMIF(Master_Rack!$F$1:$F$265,Constraints!$C57,Master_Rack!$M$1:$M$265)</f>
        <v>1224</v>
      </c>
      <c r="E57" t="s">
        <v>668</v>
      </c>
      <c r="F57">
        <v>1500</v>
      </c>
      <c r="K57" s="45" t="s">
        <v>388</v>
      </c>
      <c r="P57" s="28">
        <f>SUMIF(Master_Rack!$F$1:$F$265,Constraints!$C57,Master_Rack!$AJ$1:$AJ$265)</f>
        <v>0</v>
      </c>
      <c r="Q57" s="28">
        <f>SUMIF(Master_Rack!$F$1:$F$265,Constraints!$C57,Master_Rack!$AM$1:$AM$265)</f>
        <v>0</v>
      </c>
      <c r="R57" s="28">
        <f>SUMIF(Master_Rack!$F$1:$F$265,Constraints!$C57,Master_Rack!$AP$1:$AP$265)</f>
        <v>0</v>
      </c>
      <c r="S57" s="28">
        <f>SUMIF(Master_Rack!$F$1:$F$265,Constraints!$C57,Master_Rack!$AS$1:$AS$265)</f>
        <v>0</v>
      </c>
      <c r="T57" s="28">
        <f>SUMIF(Master_Rack!$F$1:$F$265,Constraints!$C57,Master_Rack!$AV$1:$AV$265)</f>
        <v>0</v>
      </c>
      <c r="U57" s="28">
        <f>SUMIF(Master_Rack!$F$1:$F$265,Constraints!$C57,Master_Rack!$AY$1:$AY$265)</f>
        <v>1185.75</v>
      </c>
      <c r="V57" s="45">
        <f t="shared" si="11"/>
        <v>1185.75</v>
      </c>
      <c r="W57" s="45">
        <f t="shared" si="12"/>
        <v>1185.75</v>
      </c>
      <c r="X57" s="45">
        <f t="shared" si="13"/>
        <v>1185.75</v>
      </c>
      <c r="Y57" s="45">
        <f t="shared" si="14"/>
        <v>1185.75</v>
      </c>
      <c r="Z57" s="45">
        <f t="shared" si="15"/>
        <v>1185.75</v>
      </c>
      <c r="AA57" s="28">
        <f>COUNTIFS(Master_Rack!$F$1:$F$265,Constraints!$C57,Master_Rack!$AJ$1:$AJ$265, "&gt;0")</f>
        <v>0</v>
      </c>
      <c r="AB57" s="28">
        <f>COUNTIFS(Master_Rack!$F$1:$F$265,Constraints!$C57,Master_Rack!$AM$1:$AM$265, "&gt;0")</f>
        <v>0</v>
      </c>
      <c r="AC57" s="28">
        <f>COUNTIFS(Master_Rack!$F$1:$F$265,Constraints!$C57,Master_Rack!$AP$1:$AP$265, "&gt;0")</f>
        <v>0</v>
      </c>
      <c r="AD57" s="28">
        <f>COUNTIFS(Master_Rack!$F$1:$F$265,Constraints!$C57,Master_Rack!$AS$1:$AS$265, "&gt;0")</f>
        <v>0</v>
      </c>
      <c r="AE57" s="28">
        <f>COUNTIFS(Master_Rack!$F$1:$F$265,Constraints!$C57,Master_Rack!$AV$1:$AV$265, "&gt;0")</f>
        <v>0</v>
      </c>
      <c r="AF57" s="28">
        <f>COUNTIFS(Master_Rack!$F$1:$F$265,Constraints!$C57,Master_Rack!$AY$1:$AY$265, "&gt;0")</f>
        <v>24</v>
      </c>
      <c r="AG57" s="45">
        <f t="shared" si="6"/>
        <v>24</v>
      </c>
      <c r="AH57" s="45">
        <f t="shared" si="7"/>
        <v>24</v>
      </c>
      <c r="AI57" s="45">
        <f t="shared" si="8"/>
        <v>24</v>
      </c>
      <c r="AJ57" s="45">
        <f t="shared" si="9"/>
        <v>24</v>
      </c>
      <c r="AK57" s="45">
        <f t="shared" si="10"/>
        <v>24</v>
      </c>
      <c r="AL57" s="45"/>
      <c r="AM57">
        <v>22</v>
      </c>
      <c r="AN57">
        <v>10</v>
      </c>
      <c r="AS57" s="18">
        <f t="shared" si="16"/>
        <v>36</v>
      </c>
    </row>
    <row r="58" spans="1:50" x14ac:dyDescent="0.2">
      <c r="A58" s="45" t="s">
        <v>1</v>
      </c>
      <c r="B58" s="39" t="s">
        <v>1</v>
      </c>
      <c r="C58" s="28" t="s">
        <v>317</v>
      </c>
      <c r="D58" s="28">
        <f>SUMIF(Master_Rack!$F$1:$F$265,Constraints!$C58,Master_Rack!$M$1:$M$265)</f>
        <v>1224</v>
      </c>
      <c r="E58" t="s">
        <v>668</v>
      </c>
      <c r="F58">
        <v>1500</v>
      </c>
      <c r="K58" s="45" t="s">
        <v>387</v>
      </c>
      <c r="P58" s="28">
        <f>SUMIF(Master_Rack!$F$1:$F$265,Constraints!$C58,Master_Rack!$AJ$1:$AJ$265)</f>
        <v>0</v>
      </c>
      <c r="Q58" s="28">
        <f>SUMIF(Master_Rack!$F$1:$F$265,Constraints!$C58,Master_Rack!$AM$1:$AM$265)</f>
        <v>0</v>
      </c>
      <c r="R58" s="28">
        <f>SUMIF(Master_Rack!$F$1:$F$265,Constraints!$C58,Master_Rack!$AP$1:$AP$265)</f>
        <v>0</v>
      </c>
      <c r="S58" s="28">
        <f>SUMIF(Master_Rack!$F$1:$F$265,Constraints!$C58,Master_Rack!$AS$1:$AS$265)</f>
        <v>0</v>
      </c>
      <c r="T58" s="28">
        <f>SUMIF(Master_Rack!$F$1:$F$265,Constraints!$C58,Master_Rack!$AV$1:$AV$265)</f>
        <v>0</v>
      </c>
      <c r="U58" s="28">
        <f>SUMIF(Master_Rack!$F$1:$F$265,Constraints!$C58,Master_Rack!$AY$1:$AY$265)</f>
        <v>0</v>
      </c>
      <c r="V58" s="45">
        <f t="shared" si="11"/>
        <v>0</v>
      </c>
      <c r="W58" s="45">
        <f t="shared" si="12"/>
        <v>0</v>
      </c>
      <c r="X58" s="45">
        <f t="shared" si="13"/>
        <v>0</v>
      </c>
      <c r="Y58" s="45">
        <f t="shared" si="14"/>
        <v>0</v>
      </c>
      <c r="Z58" s="45">
        <f t="shared" si="15"/>
        <v>0</v>
      </c>
      <c r="AA58" s="28">
        <f>COUNTIFS(Master_Rack!$F$1:$F$265,Constraints!$C58,Master_Rack!$AJ$1:$AJ$265, "&gt;0")</f>
        <v>0</v>
      </c>
      <c r="AB58" s="28">
        <f>COUNTIFS(Master_Rack!$F$1:$F$265,Constraints!$C58,Master_Rack!$AM$1:$AM$265, "&gt;0")</f>
        <v>0</v>
      </c>
      <c r="AC58" s="28">
        <f>COUNTIFS(Master_Rack!$F$1:$F$265,Constraints!$C58,Master_Rack!$AP$1:$AP$265, "&gt;0")</f>
        <v>0</v>
      </c>
      <c r="AD58" s="28">
        <f>COUNTIFS(Master_Rack!$F$1:$F$265,Constraints!$C58,Master_Rack!$AS$1:$AS$265, "&gt;0")</f>
        <v>0</v>
      </c>
      <c r="AE58" s="28">
        <f>COUNTIFS(Master_Rack!$F$1:$F$265,Constraints!$C58,Master_Rack!$AV$1:$AV$265, "&gt;0")</f>
        <v>0</v>
      </c>
      <c r="AF58" s="28">
        <f>COUNTIFS(Master_Rack!$F$1:$F$265,Constraints!$C58,Master_Rack!$AY$1:$AY$265, "&gt;0")</f>
        <v>0</v>
      </c>
      <c r="AG58" s="45">
        <f t="shared" si="6"/>
        <v>0</v>
      </c>
      <c r="AH58" s="45">
        <f t="shared" si="7"/>
        <v>0</v>
      </c>
      <c r="AI58" s="45">
        <f t="shared" si="8"/>
        <v>0</v>
      </c>
      <c r="AJ58" s="45">
        <f t="shared" si="9"/>
        <v>0</v>
      </c>
      <c r="AK58" s="45">
        <f t="shared" si="10"/>
        <v>0</v>
      </c>
      <c r="AL58" s="45"/>
      <c r="AM58">
        <v>22</v>
      </c>
      <c r="AN58">
        <v>10</v>
      </c>
      <c r="AS58" s="18">
        <f t="shared" si="16"/>
        <v>36</v>
      </c>
    </row>
    <row r="59" spans="1:50" x14ac:dyDescent="0.2">
      <c r="A59" s="45" t="s">
        <v>245</v>
      </c>
      <c r="B59" s="39" t="s">
        <v>245</v>
      </c>
      <c r="C59" s="28" t="s">
        <v>446</v>
      </c>
      <c r="D59" s="28">
        <f>SUMIF(Master_Rack!$G$1:$G$265,Constraints!$C59,Master_Rack!$N$1:$N$265)</f>
        <v>180</v>
      </c>
      <c r="E59" t="s">
        <v>667</v>
      </c>
      <c r="F59">
        <v>270</v>
      </c>
      <c r="K59" s="45" t="s">
        <v>455</v>
      </c>
      <c r="P59" s="28">
        <f>SUMIF(Master_Rack!$G$1:$G$265,Constraints!$C59,Master_Rack!$AK$1:$AK$265)</f>
        <v>150</v>
      </c>
      <c r="Q59" s="28">
        <f>SUMIF(Master_Rack!$G$1:$G$265,Constraints!$C59,Master_Rack!$AN$1:$AN$265)</f>
        <v>0</v>
      </c>
      <c r="R59" s="28">
        <f>SUMIF(Master_Rack!$G$1:$G$265,Constraints!$C59,Master_Rack!$AQ$1:$AQ$265)</f>
        <v>0</v>
      </c>
      <c r="S59" s="28">
        <f>SUMIF(Master_Rack!$G$1:$G$265,Constraints!$C59,Master_Rack!$AT$1:$AT$265)</f>
        <v>0</v>
      </c>
      <c r="T59" s="28">
        <f>SUMIF(Master_Rack!$G$1:$G$265,Constraints!$C59,Master_Rack!$AW$1:$AW$265)</f>
        <v>0</v>
      </c>
      <c r="U59" s="28">
        <f>SUMIF(Master_Rack!$G$1:$G$265,Constraints!$C59,Master_Rack!$AZ$1:$AZ$265)</f>
        <v>0</v>
      </c>
      <c r="V59" s="45">
        <f t="shared" si="11"/>
        <v>150</v>
      </c>
      <c r="W59" s="45">
        <f t="shared" si="12"/>
        <v>150</v>
      </c>
      <c r="X59" s="45">
        <f t="shared" si="13"/>
        <v>150</v>
      </c>
      <c r="Y59" s="45">
        <f t="shared" si="14"/>
        <v>150</v>
      </c>
      <c r="Z59" s="45">
        <f t="shared" si="15"/>
        <v>150</v>
      </c>
      <c r="AA59" s="28">
        <f>COUNTIFS(Master_Rack!$G$1:$G$265,Constraints!$C59,Master_Rack!$AK$1:$AK$265, "&gt;0")</f>
        <v>24</v>
      </c>
      <c r="AB59" s="28">
        <f>COUNTIFS(Master_Rack!$G$1:$G$265,Constraints!$C59,Master_Rack!$AN$1:$AN$265, "&gt;0")</f>
        <v>0</v>
      </c>
      <c r="AC59" s="28">
        <f>COUNTIFS(Master_Rack!$G$1:$G$265,Constraints!$C59,Master_Rack!$AQ$1:$AQ$265, "&gt;0")</f>
        <v>0</v>
      </c>
      <c r="AD59" s="28">
        <f>COUNTIFS(Master_Rack!$G$1:$G$265,Constraints!$C59,Master_Rack!$AT$1:$AT$265, "&gt;0")</f>
        <v>0</v>
      </c>
      <c r="AE59" s="28">
        <f>COUNTIFS(Master_Rack!$G$1:$G$265,Constraints!$C59,Master_Rack!$AW$1:$AW$265, "&gt;0")</f>
        <v>0</v>
      </c>
      <c r="AF59" s="28">
        <f>COUNTIFS(Master_Rack!$G$1:$G$265,Constraints!$C59,Master_Rack!$AZ$1:$AZ$265, "&gt;0")</f>
        <v>0</v>
      </c>
      <c r="AG59" s="45">
        <f t="shared" si="6"/>
        <v>24</v>
      </c>
      <c r="AH59" s="45">
        <f t="shared" si="7"/>
        <v>24</v>
      </c>
      <c r="AI59" s="45">
        <f t="shared" si="8"/>
        <v>24</v>
      </c>
      <c r="AJ59" s="45">
        <f t="shared" si="9"/>
        <v>24</v>
      </c>
      <c r="AK59" s="45">
        <f t="shared" si="10"/>
        <v>24</v>
      </c>
      <c r="AL59" s="45">
        <v>27</v>
      </c>
      <c r="AP59" s="18">
        <v>12</v>
      </c>
      <c r="AQ59" s="120">
        <f t="shared" ref="AQ59:AQ67" si="17">F59/(1.2*AP59)</f>
        <v>18.750000000000004</v>
      </c>
      <c r="AR59" s="18">
        <v>24</v>
      </c>
    </row>
    <row r="60" spans="1:50" x14ac:dyDescent="0.2">
      <c r="A60" s="45" t="s">
        <v>245</v>
      </c>
      <c r="B60" s="39" t="s">
        <v>245</v>
      </c>
      <c r="C60" s="28" t="s">
        <v>447</v>
      </c>
      <c r="D60" s="28">
        <f>SUMIF(Master_Rack!$G$1:$G$265,Constraints!$C60,Master_Rack!$N$1:$N$265)</f>
        <v>180</v>
      </c>
      <c r="E60" t="s">
        <v>667</v>
      </c>
      <c r="F60">
        <v>270</v>
      </c>
      <c r="K60" s="45" t="s">
        <v>455</v>
      </c>
      <c r="P60" s="28">
        <f>SUMIF(Master_Rack!$G$1:$G$265,Constraints!$C60,Master_Rack!$AK$1:$AK$265)</f>
        <v>75</v>
      </c>
      <c r="Q60" s="28">
        <f>SUMIF(Master_Rack!$G$1:$G$265,Constraints!$C60,Master_Rack!$AN$1:$AN$265)</f>
        <v>0</v>
      </c>
      <c r="R60" s="28">
        <f>SUMIF(Master_Rack!$G$1:$G$265,Constraints!$C60,Master_Rack!$AQ$1:$AQ$265)</f>
        <v>0</v>
      </c>
      <c r="S60" s="28">
        <f>SUMIF(Master_Rack!$G$1:$G$265,Constraints!$C60,Master_Rack!$AT$1:$AT$265)</f>
        <v>0</v>
      </c>
      <c r="T60" s="28">
        <f>SUMIF(Master_Rack!$G$1:$G$265,Constraints!$C60,Master_Rack!$AW$1:$AW$265)</f>
        <v>0</v>
      </c>
      <c r="U60" s="28">
        <f>SUMIF(Master_Rack!$G$1:$G$265,Constraints!$C60,Master_Rack!$AZ$1:$AZ$265)</f>
        <v>0</v>
      </c>
      <c r="V60" s="45">
        <f t="shared" ref="V60:V86" si="18">SUM(P60,U60)</f>
        <v>75</v>
      </c>
      <c r="W60" s="45">
        <f t="shared" si="12"/>
        <v>75</v>
      </c>
      <c r="X60" s="45">
        <f t="shared" si="13"/>
        <v>75</v>
      </c>
      <c r="Y60" s="45">
        <f t="shared" si="14"/>
        <v>75</v>
      </c>
      <c r="Z60" s="45">
        <f t="shared" si="15"/>
        <v>75</v>
      </c>
      <c r="AA60" s="28">
        <f>COUNTIFS(Master_Rack!$G$1:$G$265,Constraints!$C60,Master_Rack!$AK$1:$AK$265, "&gt;0")</f>
        <v>12</v>
      </c>
      <c r="AB60" s="28">
        <f>COUNTIFS(Master_Rack!$G$1:$G$265,Constraints!$C60,Master_Rack!$AN$1:$AN$265, "&gt;0")</f>
        <v>0</v>
      </c>
      <c r="AC60" s="28">
        <f>COUNTIFS(Master_Rack!$G$1:$G$265,Constraints!$C60,Master_Rack!$AQ$1:$AQ$265, "&gt;0")</f>
        <v>0</v>
      </c>
      <c r="AD60" s="28">
        <f>COUNTIFS(Master_Rack!$G$1:$G$265,Constraints!$C60,Master_Rack!$AT$1:$AT$265, "&gt;0")</f>
        <v>0</v>
      </c>
      <c r="AE60" s="28">
        <f>COUNTIFS(Master_Rack!$G$1:$G$265,Constraints!$C60,Master_Rack!$AW$1:$AW$265, "&gt;0")</f>
        <v>0</v>
      </c>
      <c r="AF60" s="28">
        <f>COUNTIFS(Master_Rack!$G$1:$G$265,Constraints!$C60,Master_Rack!$AZ$1:$AZ$265, "&gt;0")</f>
        <v>0</v>
      </c>
      <c r="AG60" s="45">
        <f t="shared" si="6"/>
        <v>12</v>
      </c>
      <c r="AH60" s="45">
        <f t="shared" si="7"/>
        <v>12</v>
      </c>
      <c r="AI60" s="45">
        <f t="shared" si="8"/>
        <v>12</v>
      </c>
      <c r="AJ60" s="45">
        <f t="shared" si="9"/>
        <v>12</v>
      </c>
      <c r="AK60" s="45">
        <f t="shared" si="10"/>
        <v>12</v>
      </c>
      <c r="AL60" s="45">
        <v>27</v>
      </c>
      <c r="AP60" s="18">
        <v>12</v>
      </c>
      <c r="AQ60" s="120">
        <f t="shared" si="17"/>
        <v>18.750000000000004</v>
      </c>
      <c r="AR60" s="18">
        <v>24</v>
      </c>
    </row>
    <row r="61" spans="1:50" x14ac:dyDescent="0.2">
      <c r="A61" s="45" t="s">
        <v>245</v>
      </c>
      <c r="B61" s="39" t="s">
        <v>245</v>
      </c>
      <c r="C61" s="28" t="s">
        <v>250</v>
      </c>
      <c r="D61" s="28">
        <f>SUMIF(Master_Rack!$G$1:$G$265,Constraints!$C61,Master_Rack!$N$1:$N$265)</f>
        <v>324.00000000000006</v>
      </c>
      <c r="E61" t="s">
        <v>667</v>
      </c>
      <c r="F61" s="41">
        <v>240</v>
      </c>
      <c r="G61" s="41"/>
      <c r="H61" s="41"/>
      <c r="I61" s="41"/>
      <c r="J61" s="41"/>
      <c r="K61" s="45" t="s">
        <v>385</v>
      </c>
      <c r="L61" s="41"/>
      <c r="M61" s="41"/>
      <c r="N61" s="41"/>
      <c r="O61" s="41"/>
      <c r="P61" s="28">
        <f>SUMIF(Master_Rack!$G$1:$G$265,Constraints!$C61,Master_Rack!$AK$1:$AK$265)</f>
        <v>0</v>
      </c>
      <c r="Q61" s="28">
        <f>SUMIF(Master_Rack!$G$1:$G$265,Constraints!$C61,Master_Rack!$AN$1:$AN$265)</f>
        <v>0</v>
      </c>
      <c r="R61" s="28">
        <f>SUMIF(Master_Rack!$G$1:$G$265,Constraints!$C61,Master_Rack!$AQ$1:$AQ$265)</f>
        <v>0</v>
      </c>
      <c r="S61" s="28">
        <f>SUMIF(Master_Rack!$G$1:$G$265,Constraints!$C61,Master_Rack!$AT$1:$AT$265)</f>
        <v>180</v>
      </c>
      <c r="T61" s="28">
        <f>SUMIF(Master_Rack!$G$1:$G$265,Constraints!$C61,Master_Rack!$AW$1:$AW$265)</f>
        <v>162</v>
      </c>
      <c r="U61" s="28">
        <f>SUMIF(Master_Rack!$G$1:$G$265,Constraints!$C61,Master_Rack!$AZ$1:$AZ$265)</f>
        <v>0</v>
      </c>
      <c r="V61" s="45">
        <f t="shared" si="18"/>
        <v>0</v>
      </c>
      <c r="W61" s="45">
        <f t="shared" ref="W61:W86" si="19">SUM($P61,Q61,$U61)</f>
        <v>0</v>
      </c>
      <c r="X61" s="45">
        <f t="shared" ref="X61:X86" si="20">SUM($P61,R61,$U61)</f>
        <v>0</v>
      </c>
      <c r="Y61" s="45">
        <f t="shared" ref="Y61:Y86" si="21">SUM($P61,S61,$U61)</f>
        <v>180</v>
      </c>
      <c r="Z61" s="45">
        <f t="shared" si="15"/>
        <v>162</v>
      </c>
      <c r="AA61" s="28">
        <f>COUNTIFS(Master_Rack!$G$1:$G$265,Constraints!$C61,Master_Rack!$AK$1:$AK$265, "&gt;0")</f>
        <v>0</v>
      </c>
      <c r="AB61" s="28">
        <f>COUNTIFS(Master_Rack!$G$1:$G$265,Constraints!$C61,Master_Rack!$AN$1:$AN$265, "&gt;0")</f>
        <v>0</v>
      </c>
      <c r="AC61" s="28">
        <f>COUNTIFS(Master_Rack!$G$1:$G$265,Constraints!$C61,Master_Rack!$AQ$1:$AQ$265, "&gt;0")</f>
        <v>0</v>
      </c>
      <c r="AD61" s="28">
        <f>COUNTIFS(Master_Rack!$G$1:$G$265,Constraints!$C61,Master_Rack!$AT$1:$AT$265, "&gt;0")</f>
        <v>40</v>
      </c>
      <c r="AE61" s="28">
        <f>COUNTIFS(Master_Rack!$G$1:$G$265,Constraints!$C61,Master_Rack!$AW$1:$AW$265, "&gt;0")</f>
        <v>36</v>
      </c>
      <c r="AF61" s="28">
        <f>COUNTIFS(Master_Rack!$G$1:$G$265,Constraints!$C61,Master_Rack!$AZ$1:$AZ$265, "&gt;0")</f>
        <v>0</v>
      </c>
      <c r="AG61" s="45">
        <f t="shared" si="6"/>
        <v>0</v>
      </c>
      <c r="AH61" s="45">
        <f t="shared" si="7"/>
        <v>0</v>
      </c>
      <c r="AI61" s="45">
        <f t="shared" si="8"/>
        <v>0</v>
      </c>
      <c r="AJ61" s="45">
        <f t="shared" si="9"/>
        <v>40</v>
      </c>
      <c r="AK61" s="45">
        <f t="shared" si="10"/>
        <v>36</v>
      </c>
      <c r="AL61" s="45">
        <v>27</v>
      </c>
      <c r="AP61" s="18">
        <v>12</v>
      </c>
      <c r="AQ61" s="120">
        <f t="shared" si="17"/>
        <v>16.666666666666668</v>
      </c>
      <c r="AR61" s="18">
        <v>24</v>
      </c>
    </row>
    <row r="62" spans="1:50" x14ac:dyDescent="0.2">
      <c r="A62" s="45" t="s">
        <v>245</v>
      </c>
      <c r="B62" s="39" t="s">
        <v>245</v>
      </c>
      <c r="C62" s="28" t="s">
        <v>251</v>
      </c>
      <c r="D62" s="28">
        <f>SUMIF(Master_Rack!$G$1:$G$265,Constraints!$C62,Master_Rack!$N$1:$N$265)</f>
        <v>162.00000000000003</v>
      </c>
      <c r="E62" t="s">
        <v>667</v>
      </c>
      <c r="F62" s="41">
        <v>180</v>
      </c>
      <c r="G62" s="41"/>
      <c r="H62" s="41"/>
      <c r="I62" s="41"/>
      <c r="J62" s="41"/>
      <c r="K62" s="45" t="s">
        <v>385</v>
      </c>
      <c r="L62" s="41"/>
      <c r="M62" s="41"/>
      <c r="N62" s="41"/>
      <c r="O62" s="41"/>
      <c r="P62" s="28">
        <f>SUMIF(Master_Rack!$G$1:$G$265,Constraints!$C62,Master_Rack!$AK$1:$AK$265)</f>
        <v>0</v>
      </c>
      <c r="Q62" s="28">
        <f>SUMIF(Master_Rack!$G$1:$G$265,Constraints!$C62,Master_Rack!$AN$1:$AN$265)</f>
        <v>0</v>
      </c>
      <c r="R62" s="28">
        <f>SUMIF(Master_Rack!$G$1:$G$265,Constraints!$C62,Master_Rack!$AQ$1:$AQ$265)</f>
        <v>0</v>
      </c>
      <c r="S62" s="28">
        <f>SUMIF(Master_Rack!$G$1:$G$265,Constraints!$C62,Master_Rack!$AT$1:$AT$265)</f>
        <v>54</v>
      </c>
      <c r="T62" s="28">
        <f>SUMIF(Master_Rack!$G$1:$G$265,Constraints!$C62,Master_Rack!$AW$1:$AW$265)</f>
        <v>72</v>
      </c>
      <c r="U62" s="28">
        <f>SUMIF(Master_Rack!$G$1:$G$265,Constraints!$C62,Master_Rack!$AZ$1:$AZ$265)</f>
        <v>0</v>
      </c>
      <c r="V62" s="45">
        <f t="shared" si="18"/>
        <v>0</v>
      </c>
      <c r="W62" s="45">
        <f t="shared" si="19"/>
        <v>0</v>
      </c>
      <c r="X62" s="45">
        <f t="shared" si="20"/>
        <v>0</v>
      </c>
      <c r="Y62" s="45">
        <f t="shared" si="21"/>
        <v>54</v>
      </c>
      <c r="Z62" s="45">
        <f t="shared" si="15"/>
        <v>72</v>
      </c>
      <c r="AA62" s="28">
        <f>COUNTIFS(Master_Rack!$G$1:$G$265,Constraints!$C62,Master_Rack!$AK$1:$AK$265, "&gt;0")</f>
        <v>0</v>
      </c>
      <c r="AB62" s="28">
        <f>COUNTIFS(Master_Rack!$G$1:$G$265,Constraints!$C62,Master_Rack!$AN$1:$AN$265, "&gt;0")</f>
        <v>0</v>
      </c>
      <c r="AC62" s="28">
        <f>COUNTIFS(Master_Rack!$G$1:$G$265,Constraints!$C62,Master_Rack!$AQ$1:$AQ$265, "&gt;0")</f>
        <v>0</v>
      </c>
      <c r="AD62" s="28">
        <f>COUNTIFS(Master_Rack!$G$1:$G$265,Constraints!$C62,Master_Rack!$AT$1:$AT$265, "&gt;0")</f>
        <v>12</v>
      </c>
      <c r="AE62" s="28">
        <f>COUNTIFS(Master_Rack!$G$1:$G$265,Constraints!$C62,Master_Rack!$AW$1:$AW$265, "&gt;0")</f>
        <v>16</v>
      </c>
      <c r="AF62" s="28">
        <f>COUNTIFS(Master_Rack!$G$1:$G$265,Constraints!$C62,Master_Rack!$AZ$1:$AZ$265, "&gt;0")</f>
        <v>0</v>
      </c>
      <c r="AG62" s="45">
        <f t="shared" si="6"/>
        <v>0</v>
      </c>
      <c r="AH62" s="45">
        <f t="shared" si="7"/>
        <v>0</v>
      </c>
      <c r="AI62" s="45">
        <f t="shared" si="8"/>
        <v>0</v>
      </c>
      <c r="AJ62" s="45">
        <f t="shared" si="9"/>
        <v>12</v>
      </c>
      <c r="AK62" s="45">
        <f t="shared" si="10"/>
        <v>16</v>
      </c>
      <c r="AL62" s="45">
        <v>27</v>
      </c>
      <c r="AP62" s="18">
        <v>12</v>
      </c>
      <c r="AQ62" s="120">
        <f t="shared" si="17"/>
        <v>12.500000000000002</v>
      </c>
      <c r="AR62" s="18">
        <v>24</v>
      </c>
    </row>
    <row r="63" spans="1:50" x14ac:dyDescent="0.2">
      <c r="A63" s="45" t="s">
        <v>245</v>
      </c>
      <c r="B63" s="39" t="s">
        <v>245</v>
      </c>
      <c r="C63" s="28" t="s">
        <v>248</v>
      </c>
      <c r="D63" s="28">
        <f>SUMIF(Master_Rack!$G$1:$G$265,Constraints!$C63,Master_Rack!$N$1:$N$265)</f>
        <v>360</v>
      </c>
      <c r="E63" t="s">
        <v>667</v>
      </c>
      <c r="F63" s="41">
        <v>240</v>
      </c>
      <c r="G63" s="41"/>
      <c r="H63" s="41"/>
      <c r="I63" s="41"/>
      <c r="J63" s="41"/>
      <c r="K63" s="45" t="s">
        <v>385</v>
      </c>
      <c r="L63" s="41"/>
      <c r="M63" s="41"/>
      <c r="N63" s="41"/>
      <c r="O63" s="41"/>
      <c r="P63" s="28">
        <f>SUMIF(Master_Rack!$G$1:$G$265,Constraints!$C63,Master_Rack!$AK$1:$AK$265)</f>
        <v>0</v>
      </c>
      <c r="Q63" s="64">
        <f>SUMIF(Master_Rack!$G$1:$G$265,Constraints!$C63,Master_Rack!$AN$1:$AN$265)</f>
        <v>300</v>
      </c>
      <c r="R63" s="28">
        <f>SUMIF(Master_Rack!$G$1:$G$265,Constraints!$C63,Master_Rack!$AQ$1:$AQ$265)</f>
        <v>225</v>
      </c>
      <c r="S63" s="28">
        <f>SUMIF(Master_Rack!$G$1:$G$265,Constraints!$C63,Master_Rack!$AT$1:$AT$265)</f>
        <v>0</v>
      </c>
      <c r="T63" s="28">
        <f>SUMIF(Master_Rack!$G$1:$G$265,Constraints!$C63,Master_Rack!$AW$1:$AW$265)</f>
        <v>0</v>
      </c>
      <c r="U63" s="28">
        <f>SUMIF(Master_Rack!$G$1:$G$265,Constraints!$C63,Master_Rack!$AZ$1:$AZ$265)</f>
        <v>0</v>
      </c>
      <c r="V63" s="45">
        <f t="shared" si="18"/>
        <v>0</v>
      </c>
      <c r="W63" s="45">
        <f t="shared" si="19"/>
        <v>300</v>
      </c>
      <c r="X63" s="45">
        <f t="shared" si="20"/>
        <v>225</v>
      </c>
      <c r="Y63" s="45">
        <f t="shared" si="21"/>
        <v>0</v>
      </c>
      <c r="Z63" s="45">
        <f t="shared" si="15"/>
        <v>0</v>
      </c>
      <c r="AA63" s="28">
        <f>COUNTIFS(Master_Rack!$G$1:$G$265,Constraints!$C63,Master_Rack!$AK$1:$AK$265, "&gt;0")</f>
        <v>0</v>
      </c>
      <c r="AB63" s="28">
        <f>COUNTIFS(Master_Rack!$G$1:$G$265,Constraints!$C63,Master_Rack!$AN$1:$AN$265, "&gt;0")</f>
        <v>40</v>
      </c>
      <c r="AC63" s="28">
        <f>COUNTIFS(Master_Rack!$G$1:$G$265,Constraints!$C63,Master_Rack!$AQ$1:$AQ$265, "&gt;0")</f>
        <v>30</v>
      </c>
      <c r="AD63" s="28">
        <f>COUNTIFS(Master_Rack!$G$1:$G$265,Constraints!$C63,Master_Rack!$AT$1:$AT$265, "&gt;0")</f>
        <v>0</v>
      </c>
      <c r="AE63" s="28">
        <f>COUNTIFS(Master_Rack!$G$1:$G$265,Constraints!$C63,Master_Rack!$AW$1:$AW$265, "&gt;0")</f>
        <v>0</v>
      </c>
      <c r="AF63" s="28">
        <f>COUNTIFS(Master_Rack!$G$1:$G$265,Constraints!$C63,Master_Rack!$AZ$1:$AZ$265, "&gt;0")</f>
        <v>0</v>
      </c>
      <c r="AG63" s="45">
        <f t="shared" si="6"/>
        <v>0</v>
      </c>
      <c r="AH63" s="45">
        <f t="shared" si="7"/>
        <v>40</v>
      </c>
      <c r="AI63" s="45">
        <f t="shared" si="8"/>
        <v>30</v>
      </c>
      <c r="AJ63" s="45">
        <f t="shared" si="9"/>
        <v>0</v>
      </c>
      <c r="AK63" s="45">
        <f t="shared" si="10"/>
        <v>0</v>
      </c>
      <c r="AL63" s="45">
        <v>27</v>
      </c>
      <c r="AP63" s="18">
        <v>12</v>
      </c>
      <c r="AQ63" s="120">
        <f t="shared" si="17"/>
        <v>16.666666666666668</v>
      </c>
      <c r="AR63" s="18">
        <v>24</v>
      </c>
    </row>
    <row r="64" spans="1:50" x14ac:dyDescent="0.2">
      <c r="A64" s="45" t="s">
        <v>245</v>
      </c>
      <c r="B64" s="39" t="s">
        <v>245</v>
      </c>
      <c r="C64" s="28" t="s">
        <v>249</v>
      </c>
      <c r="D64" s="28">
        <f>SUMIF(Master_Rack!$G$1:$G$265,Constraints!$C64,Master_Rack!$N$1:$N$265)</f>
        <v>180</v>
      </c>
      <c r="E64" t="s">
        <v>667</v>
      </c>
      <c r="F64" s="41">
        <v>180</v>
      </c>
      <c r="G64" s="41"/>
      <c r="H64" s="41"/>
      <c r="I64" s="41"/>
      <c r="J64" s="41"/>
      <c r="K64" s="45" t="s">
        <v>385</v>
      </c>
      <c r="L64" s="41"/>
      <c r="M64" s="41"/>
      <c r="N64" s="41"/>
      <c r="O64" s="41"/>
      <c r="P64" s="28">
        <f>SUMIF(Master_Rack!$G$1:$G$265,Constraints!$C64,Master_Rack!$AK$1:$AK$265)</f>
        <v>0</v>
      </c>
      <c r="Q64" s="64">
        <f>SUMIF(Master_Rack!$G$1:$G$265,Constraints!$C64,Master_Rack!$AN$1:$AN$265)</f>
        <v>90</v>
      </c>
      <c r="R64" s="28">
        <f>SUMIF(Master_Rack!$G$1:$G$265,Constraints!$C64,Master_Rack!$AQ$1:$AQ$265)</f>
        <v>165</v>
      </c>
      <c r="S64" s="28">
        <f>SUMIF(Master_Rack!$G$1:$G$265,Constraints!$C64,Master_Rack!$AT$1:$AT$265)</f>
        <v>0</v>
      </c>
      <c r="T64" s="28">
        <f>SUMIF(Master_Rack!$G$1:$G$265,Constraints!$C64,Master_Rack!$AW$1:$AW$265)</f>
        <v>0</v>
      </c>
      <c r="U64" s="28">
        <f>SUMIF(Master_Rack!$G$1:$G$265,Constraints!$C64,Master_Rack!$AZ$1:$AZ$265)</f>
        <v>0</v>
      </c>
      <c r="V64" s="45">
        <f t="shared" si="18"/>
        <v>0</v>
      </c>
      <c r="W64" s="45">
        <f t="shared" si="19"/>
        <v>90</v>
      </c>
      <c r="X64" s="45">
        <f t="shared" si="20"/>
        <v>165</v>
      </c>
      <c r="Y64" s="45">
        <f t="shared" si="21"/>
        <v>0</v>
      </c>
      <c r="Z64" s="45">
        <f t="shared" si="15"/>
        <v>0</v>
      </c>
      <c r="AA64" s="28">
        <f>COUNTIFS(Master_Rack!$G$1:$G$265,Constraints!$C64,Master_Rack!$AK$1:$AK$265, "&gt;0")</f>
        <v>0</v>
      </c>
      <c r="AB64" s="28">
        <f>COUNTIFS(Master_Rack!$G$1:$G$265,Constraints!$C64,Master_Rack!$AN$1:$AN$265, "&gt;0")</f>
        <v>12</v>
      </c>
      <c r="AC64" s="28">
        <f>COUNTIFS(Master_Rack!$G$1:$G$265,Constraints!$C64,Master_Rack!$AQ$1:$AQ$265, "&gt;0")</f>
        <v>22</v>
      </c>
      <c r="AD64" s="28">
        <f>COUNTIFS(Master_Rack!$G$1:$G$265,Constraints!$C64,Master_Rack!$AT$1:$AT$265, "&gt;0")</f>
        <v>0</v>
      </c>
      <c r="AE64" s="28">
        <f>COUNTIFS(Master_Rack!$G$1:$G$265,Constraints!$C64,Master_Rack!$AW$1:$AW$265, "&gt;0")</f>
        <v>0</v>
      </c>
      <c r="AF64" s="28">
        <f>COUNTIFS(Master_Rack!$G$1:$G$265,Constraints!$C64,Master_Rack!$AZ$1:$AZ$265, "&gt;0")</f>
        <v>0</v>
      </c>
      <c r="AG64" s="45">
        <f t="shared" si="6"/>
        <v>0</v>
      </c>
      <c r="AH64" s="45">
        <f t="shared" si="7"/>
        <v>12</v>
      </c>
      <c r="AI64" s="45">
        <f t="shared" si="8"/>
        <v>22</v>
      </c>
      <c r="AJ64" s="45">
        <f t="shared" si="9"/>
        <v>0</v>
      </c>
      <c r="AK64" s="45">
        <f t="shared" si="10"/>
        <v>0</v>
      </c>
      <c r="AL64" s="45">
        <v>27</v>
      </c>
      <c r="AP64" s="18">
        <v>12</v>
      </c>
      <c r="AQ64" s="120">
        <f t="shared" si="17"/>
        <v>12.500000000000002</v>
      </c>
      <c r="AR64" s="18">
        <v>24</v>
      </c>
    </row>
    <row r="65" spans="1:44" x14ac:dyDescent="0.2">
      <c r="A65" s="45" t="s">
        <v>245</v>
      </c>
      <c r="B65" s="39" t="s">
        <v>245</v>
      </c>
      <c r="C65" s="28" t="s">
        <v>253</v>
      </c>
      <c r="D65" s="28">
        <f>SUMIF(Master_Rack!$G$1:$G$265,Constraints!$C65,Master_Rack!$N$1:$N$265)</f>
        <v>144.00000000000003</v>
      </c>
      <c r="E65" t="s">
        <v>667</v>
      </c>
      <c r="F65">
        <v>180</v>
      </c>
      <c r="K65" s="45" t="s">
        <v>386</v>
      </c>
      <c r="P65" s="28">
        <f>SUMIF(Master_Rack!$G$1:$G$265,Constraints!$C65,Master_Rack!$AK$1:$AK$265)</f>
        <v>0</v>
      </c>
      <c r="Q65" s="28">
        <f>SUMIF(Master_Rack!$G$1:$G$265,Constraints!$C65,Master_Rack!$AN$1:$AN$265)</f>
        <v>0</v>
      </c>
      <c r="R65" s="28">
        <f>SUMIF(Master_Rack!$G$1:$G$265,Constraints!$C65,Master_Rack!$AQ$1:$AQ$265)</f>
        <v>0</v>
      </c>
      <c r="S65" s="28">
        <f>SUMIF(Master_Rack!$G$1:$G$265,Constraints!$C65,Master_Rack!$AT$1:$AT$265)</f>
        <v>0</v>
      </c>
      <c r="T65" s="28">
        <f>SUMIF(Master_Rack!$G$1:$G$265,Constraints!$C65,Master_Rack!$AW$1:$AW$265)</f>
        <v>0</v>
      </c>
      <c r="U65" s="28">
        <f>SUMIF(Master_Rack!$G$1:$G$265,Constraints!$C65,Master_Rack!$AZ$1:$AZ$265)</f>
        <v>0</v>
      </c>
      <c r="V65" s="45">
        <f t="shared" si="18"/>
        <v>0</v>
      </c>
      <c r="W65" s="45">
        <f t="shared" si="19"/>
        <v>0</v>
      </c>
      <c r="X65" s="45">
        <f t="shared" si="20"/>
        <v>0</v>
      </c>
      <c r="Y65" s="45">
        <f t="shared" si="21"/>
        <v>0</v>
      </c>
      <c r="Z65" s="45">
        <f t="shared" si="15"/>
        <v>0</v>
      </c>
      <c r="AA65" s="28">
        <f>COUNTIFS(Master_Rack!$G$1:$G$265,Constraints!$C65,Master_Rack!$AK$1:$AK$265, "&gt;0")</f>
        <v>0</v>
      </c>
      <c r="AB65" s="28">
        <f>COUNTIFS(Master_Rack!$G$1:$G$265,Constraints!$C65,Master_Rack!$AN$1:$AN$265, "&gt;0")</f>
        <v>0</v>
      </c>
      <c r="AC65" s="28">
        <f>COUNTIFS(Master_Rack!$G$1:$G$265,Constraints!$C65,Master_Rack!$AQ$1:$AQ$265, "&gt;0")</f>
        <v>0</v>
      </c>
      <c r="AD65" s="28">
        <f>COUNTIFS(Master_Rack!$G$1:$G$265,Constraints!$C65,Master_Rack!$AT$1:$AT$265, "&gt;0")</f>
        <v>0</v>
      </c>
      <c r="AE65" s="28">
        <f>COUNTIFS(Master_Rack!$G$1:$G$265,Constraints!$C65,Master_Rack!$AW$1:$AW$265, "&gt;0")</f>
        <v>0</v>
      </c>
      <c r="AF65" s="28">
        <f>COUNTIFS(Master_Rack!$G$1:$G$265,Constraints!$C65,Master_Rack!$AZ$1:$AZ$265, "&gt;0")</f>
        <v>0</v>
      </c>
      <c r="AG65" s="45">
        <f t="shared" si="6"/>
        <v>0</v>
      </c>
      <c r="AH65" s="45">
        <f t="shared" si="7"/>
        <v>0</v>
      </c>
      <c r="AI65" s="45">
        <f t="shared" si="8"/>
        <v>0</v>
      </c>
      <c r="AJ65" s="45">
        <f t="shared" si="9"/>
        <v>0</v>
      </c>
      <c r="AK65" s="45">
        <f t="shared" si="10"/>
        <v>0</v>
      </c>
      <c r="AL65" s="45">
        <v>27</v>
      </c>
      <c r="AP65" s="18">
        <v>12</v>
      </c>
      <c r="AQ65" s="120">
        <f t="shared" si="17"/>
        <v>12.500000000000002</v>
      </c>
      <c r="AR65" s="18">
        <v>24</v>
      </c>
    </row>
    <row r="66" spans="1:44" x14ac:dyDescent="0.2">
      <c r="A66" s="45" t="s">
        <v>245</v>
      </c>
      <c r="B66" s="39" t="s">
        <v>245</v>
      </c>
      <c r="C66" s="28" t="s">
        <v>320</v>
      </c>
      <c r="D66" s="28">
        <f>SUMIF(Master_Rack!$G$1:$G$265,Constraints!$C66,Master_Rack!$N$1:$N$265)</f>
        <v>216.00000000000003</v>
      </c>
      <c r="E66" t="s">
        <v>667</v>
      </c>
      <c r="F66">
        <v>270</v>
      </c>
      <c r="K66" s="45" t="s">
        <v>388</v>
      </c>
      <c r="P66" s="28">
        <f>SUMIF(Master_Rack!$G$1:$G$265,Constraints!$C66,Master_Rack!$AK$1:$AK$265)</f>
        <v>0</v>
      </c>
      <c r="Q66" s="28">
        <f>SUMIF(Master_Rack!$G$1:$G$265,Constraints!$C66,Master_Rack!$AN$1:$AN$265)</f>
        <v>0</v>
      </c>
      <c r="R66" s="28">
        <f>SUMIF(Master_Rack!$G$1:$G$265,Constraints!$C66,Master_Rack!$AQ$1:$AQ$265)</f>
        <v>0</v>
      </c>
      <c r="S66" s="28">
        <f>SUMIF(Master_Rack!$G$1:$G$265,Constraints!$C66,Master_Rack!$AT$1:$AT$265)</f>
        <v>0</v>
      </c>
      <c r="T66" s="28">
        <f>SUMIF(Master_Rack!$G$1:$G$265,Constraints!$C66,Master_Rack!$AW$1:$AW$265)</f>
        <v>0</v>
      </c>
      <c r="U66" s="28">
        <f>SUMIF(Master_Rack!$G$1:$G$265,Constraints!$C66,Master_Rack!$AZ$1:$AZ$265)</f>
        <v>209.25000000000003</v>
      </c>
      <c r="V66" s="45">
        <f t="shared" si="18"/>
        <v>209.25000000000003</v>
      </c>
      <c r="W66" s="45">
        <f t="shared" si="19"/>
        <v>209.25000000000003</v>
      </c>
      <c r="X66" s="45">
        <f t="shared" si="20"/>
        <v>209.25000000000003</v>
      </c>
      <c r="Y66" s="45">
        <f t="shared" si="21"/>
        <v>209.25000000000003</v>
      </c>
      <c r="Z66" s="45">
        <f t="shared" si="15"/>
        <v>209.25000000000003</v>
      </c>
      <c r="AA66" s="28">
        <f>COUNTIFS(Master_Rack!$G$1:$G$265,Constraints!$C66,Master_Rack!$AK$1:$AK$265, "&gt;0")</f>
        <v>0</v>
      </c>
      <c r="AB66" s="28">
        <f>COUNTIFS(Master_Rack!$G$1:$G$265,Constraints!$C66,Master_Rack!$AN$1:$AN$265, "&gt;0")</f>
        <v>0</v>
      </c>
      <c r="AC66" s="28">
        <f>COUNTIFS(Master_Rack!$G$1:$G$265,Constraints!$C66,Master_Rack!$AQ$1:$AQ$265, "&gt;0")</f>
        <v>0</v>
      </c>
      <c r="AD66" s="28">
        <f>COUNTIFS(Master_Rack!$G$1:$G$265,Constraints!$C66,Master_Rack!$AT$1:$AT$265, "&gt;0")</f>
        <v>0</v>
      </c>
      <c r="AE66" s="28">
        <f>COUNTIFS(Master_Rack!$G$1:$G$265,Constraints!$C66,Master_Rack!$AW$1:$AW$265, "&gt;0")</f>
        <v>0</v>
      </c>
      <c r="AF66" s="28">
        <f>COUNTIFS(Master_Rack!$G$1:$G$265,Constraints!$C66,Master_Rack!$AZ$1:$AZ$265, "&gt;0")</f>
        <v>24</v>
      </c>
      <c r="AG66" s="45">
        <f t="shared" si="6"/>
        <v>24</v>
      </c>
      <c r="AH66" s="45">
        <f t="shared" si="7"/>
        <v>24</v>
      </c>
      <c r="AI66" s="45">
        <f t="shared" si="8"/>
        <v>24</v>
      </c>
      <c r="AJ66" s="45">
        <f t="shared" si="9"/>
        <v>24</v>
      </c>
      <c r="AK66" s="45">
        <f t="shared" si="10"/>
        <v>24</v>
      </c>
      <c r="AL66" s="45">
        <v>27</v>
      </c>
      <c r="AP66" s="18">
        <v>12</v>
      </c>
      <c r="AQ66" s="120">
        <f t="shared" si="17"/>
        <v>18.750000000000004</v>
      </c>
      <c r="AR66" s="18">
        <v>24</v>
      </c>
    </row>
    <row r="67" spans="1:44" x14ac:dyDescent="0.2">
      <c r="A67" s="45" t="s">
        <v>245</v>
      </c>
      <c r="B67" s="39" t="s">
        <v>245</v>
      </c>
      <c r="C67" s="28" t="s">
        <v>319</v>
      </c>
      <c r="D67" s="28">
        <f>SUMIF(Master_Rack!$G$1:$G$265,Constraints!$C67,Master_Rack!$N$1:$N$265)</f>
        <v>216.00000000000003</v>
      </c>
      <c r="E67" t="s">
        <v>667</v>
      </c>
      <c r="F67">
        <v>270</v>
      </c>
      <c r="K67" s="45" t="s">
        <v>387</v>
      </c>
      <c r="P67" s="28">
        <f>SUMIF(Master_Rack!$G$1:$G$265,Constraints!$C67,Master_Rack!$AK$1:$AK$265)</f>
        <v>0</v>
      </c>
      <c r="Q67" s="28">
        <f>SUMIF(Master_Rack!$G$1:$G$265,Constraints!$C67,Master_Rack!$AN$1:$AN$265)</f>
        <v>0</v>
      </c>
      <c r="R67" s="28">
        <f>SUMIF(Master_Rack!$G$1:$G$265,Constraints!$C67,Master_Rack!$AQ$1:$AQ$265)</f>
        <v>0</v>
      </c>
      <c r="S67" s="28">
        <f>SUMIF(Master_Rack!$G$1:$G$265,Constraints!$C67,Master_Rack!$AT$1:$AT$265)</f>
        <v>0</v>
      </c>
      <c r="T67" s="28">
        <f>SUMIF(Master_Rack!$G$1:$G$265,Constraints!$C67,Master_Rack!$AW$1:$AW$265)</f>
        <v>0</v>
      </c>
      <c r="U67" s="28">
        <f>SUMIF(Master_Rack!$G$1:$G$265,Constraints!$C67,Master_Rack!$AZ$1:$AZ$265)</f>
        <v>0</v>
      </c>
      <c r="V67" s="45">
        <f t="shared" si="18"/>
        <v>0</v>
      </c>
      <c r="W67" s="45">
        <f t="shared" si="19"/>
        <v>0</v>
      </c>
      <c r="X67" s="45">
        <f t="shared" si="20"/>
        <v>0</v>
      </c>
      <c r="Y67" s="45">
        <f t="shared" si="21"/>
        <v>0</v>
      </c>
      <c r="Z67" s="45">
        <f t="shared" si="15"/>
        <v>0</v>
      </c>
      <c r="AA67" s="28">
        <f>COUNTIFS(Master_Rack!$G$1:$G$265,Constraints!$C67,Master_Rack!$AK$1:$AK$265, "&gt;0")</f>
        <v>0</v>
      </c>
      <c r="AB67" s="28">
        <f>COUNTIFS(Master_Rack!$G$1:$G$265,Constraints!$C67,Master_Rack!$AN$1:$AN$265, "&gt;0")</f>
        <v>0</v>
      </c>
      <c r="AC67" s="28">
        <f>COUNTIFS(Master_Rack!$G$1:$G$265,Constraints!$C67,Master_Rack!$AQ$1:$AQ$265, "&gt;0")</f>
        <v>0</v>
      </c>
      <c r="AD67" s="28">
        <f>COUNTIFS(Master_Rack!$G$1:$G$265,Constraints!$C67,Master_Rack!$AT$1:$AT$265, "&gt;0")</f>
        <v>0</v>
      </c>
      <c r="AE67" s="28">
        <f>COUNTIFS(Master_Rack!$G$1:$G$265,Constraints!$C67,Master_Rack!$AW$1:$AW$265, "&gt;0")</f>
        <v>0</v>
      </c>
      <c r="AF67" s="28">
        <f>COUNTIFS(Master_Rack!$G$1:$G$265,Constraints!$C67,Master_Rack!$AZ$1:$AZ$265, "&gt;0")</f>
        <v>0</v>
      </c>
      <c r="AG67" s="45">
        <f t="shared" ref="AG67:AG86" si="22">SUM($AA67,$AF67)</f>
        <v>0</v>
      </c>
      <c r="AH67" s="45">
        <f t="shared" ref="AH67:AH86" si="23">SUM($AA67,$AF67,AB67)</f>
        <v>0</v>
      </c>
      <c r="AI67" s="45">
        <f t="shared" ref="AI67:AI86" si="24">SUM($AA67,$AF67,AC67)</f>
        <v>0</v>
      </c>
      <c r="AJ67" s="45">
        <f t="shared" ref="AJ67:AJ86" si="25">SUM($AA67,$AF67,AD67)</f>
        <v>0</v>
      </c>
      <c r="AK67" s="45">
        <f t="shared" ref="AK67:AK86" si="26">SUM($AA67,$AF67,AE67)</f>
        <v>0</v>
      </c>
      <c r="AL67" s="45">
        <v>27</v>
      </c>
      <c r="AP67" s="18">
        <v>12</v>
      </c>
      <c r="AQ67" s="120">
        <f t="shared" si="17"/>
        <v>18.750000000000004</v>
      </c>
      <c r="AR67" s="18">
        <v>24</v>
      </c>
    </row>
    <row r="68" spans="1:44" x14ac:dyDescent="0.2">
      <c r="A68" s="45" t="s">
        <v>645</v>
      </c>
      <c r="B68" s="39" t="s">
        <v>645</v>
      </c>
      <c r="C68" s="28" t="s">
        <v>452</v>
      </c>
      <c r="D68" s="28">
        <f>SUMIF(Master_Rack!$T$1:$T$265,Constraints!$C68,Master_Rack!$L$1:$L$265)</f>
        <v>360</v>
      </c>
      <c r="E68" t="s">
        <v>670</v>
      </c>
      <c r="F68">
        <v>400</v>
      </c>
      <c r="G68" s="71" t="s">
        <v>671</v>
      </c>
      <c r="H68">
        <f>J68*80%</f>
        <v>480</v>
      </c>
      <c r="I68" s="71" t="s">
        <v>672</v>
      </c>
      <c r="J68">
        <v>600</v>
      </c>
      <c r="K68" s="45"/>
      <c r="P68" s="28">
        <f>SUMIF(Master_Rack!$T$1:$T$265,Constraints!$C68,Master_Rack!$AI$1:$AI$265)</f>
        <v>240</v>
      </c>
      <c r="Q68" s="28">
        <f>SUMIF(Master_Rack!$T$1:$T$265,Constraints!$C68,Master_Rack!$AL$1:$AL$265)</f>
        <v>0</v>
      </c>
      <c r="R68" s="28">
        <f>SUMIF(Master_Rack!$T$1:$T$265,Constraints!$C68,Master_Rack!$AO$1:$AO$265)</f>
        <v>0</v>
      </c>
      <c r="S68" s="28">
        <f>SUMIF(Master_Rack!$T$1:$T$265,Constraints!$C68,Master_Rack!$AR$1:$AR$265)</f>
        <v>0</v>
      </c>
      <c r="T68" s="28">
        <f>SUMIF(Master_Rack!$T$1:$T$265,Constraints!$C68,Master_Rack!$AU$1:$AU$265)</f>
        <v>0</v>
      </c>
      <c r="U68" s="28">
        <f>SUMIF(Master_Rack!$T$1:$T$265,Constraints!$C68,Master_Rack!$AX$1:$AX$265)</f>
        <v>0</v>
      </c>
      <c r="V68" s="45">
        <f t="shared" si="18"/>
        <v>240</v>
      </c>
      <c r="W68" s="45">
        <f t="shared" si="19"/>
        <v>240</v>
      </c>
      <c r="X68" s="45">
        <f t="shared" si="20"/>
        <v>240</v>
      </c>
      <c r="Y68" s="45">
        <f t="shared" si="21"/>
        <v>240</v>
      </c>
      <c r="Z68" s="45">
        <f t="shared" si="15"/>
        <v>240</v>
      </c>
      <c r="AA68" s="28">
        <f>COUNTIFS(Master_Rack!$T$1:$T$265,Constraints!$C68,Master_Rack!$AI$1:$AI$265, "&gt;0")</f>
        <v>18</v>
      </c>
      <c r="AB68" s="28">
        <f>COUNTIFS(Master_Rack!$T$1:$T$265,Constraints!$C68,Master_Rack!$AL$1:$AL$265, "&gt;0")</f>
        <v>0</v>
      </c>
      <c r="AC68" s="28">
        <f>COUNTIFS(Master_Rack!$T$1:$T$265,Constraints!$C68,Master_Rack!$AO$1:$AO$265, "&gt;0")</f>
        <v>0</v>
      </c>
      <c r="AD68" s="28">
        <f>COUNTIFS(Master_Rack!$T$1:$T$265,Constraints!$C68,Master_Rack!$AR$1:$AR$265, "&gt;0")</f>
        <v>0</v>
      </c>
      <c r="AE68" s="28">
        <f>COUNTIFS(Master_Rack!$T$1:$T$265,Constraints!$C68,Master_Rack!$AU$1:$AU$265, "&gt;0")</f>
        <v>0</v>
      </c>
      <c r="AF68" s="28">
        <f>COUNTIFS(Master_Rack!$T$1:$T$265,Constraints!$C68,Master_Rack!$AX$1:$AX$265, "&gt;0")</f>
        <v>0</v>
      </c>
      <c r="AG68" s="45">
        <f t="shared" si="22"/>
        <v>18</v>
      </c>
      <c r="AH68" s="45">
        <f t="shared" si="23"/>
        <v>18</v>
      </c>
      <c r="AI68" s="45">
        <f t="shared" si="24"/>
        <v>18</v>
      </c>
      <c r="AJ68" s="45">
        <f t="shared" si="25"/>
        <v>18</v>
      </c>
      <c r="AK68" s="45">
        <f t="shared" si="26"/>
        <v>18</v>
      </c>
      <c r="AL68" s="45"/>
    </row>
    <row r="69" spans="1:44" x14ac:dyDescent="0.2">
      <c r="A69" s="45" t="s">
        <v>645</v>
      </c>
      <c r="B69" s="39" t="s">
        <v>645</v>
      </c>
      <c r="C69" s="28" t="s">
        <v>453</v>
      </c>
      <c r="D69" s="28">
        <f>SUMIF(Master_Rack!$T$1:$T$265,Constraints!$C69,Master_Rack!$L$1:$L$265)</f>
        <v>360</v>
      </c>
      <c r="E69" t="s">
        <v>670</v>
      </c>
      <c r="F69">
        <v>400</v>
      </c>
      <c r="G69" s="71" t="s">
        <v>671</v>
      </c>
      <c r="H69">
        <f t="shared" ref="H69:H78" si="27">J69*80%</f>
        <v>480</v>
      </c>
      <c r="I69" s="71" t="s">
        <v>672</v>
      </c>
      <c r="J69">
        <v>600</v>
      </c>
      <c r="P69" s="28">
        <f>SUMIF(Master_Rack!$T$1:$T$265,Constraints!$C69,Master_Rack!$AI$1:$AI$265)</f>
        <v>210</v>
      </c>
      <c r="Q69" s="28">
        <f>SUMIF(Master_Rack!$T$1:$T$265,Constraints!$C69,Master_Rack!$AL$1:$AL$265)</f>
        <v>0</v>
      </c>
      <c r="R69" s="28">
        <f>SUMIF(Master_Rack!$T$1:$T$265,Constraints!$C69,Master_Rack!$AO$1:$AO$265)</f>
        <v>0</v>
      </c>
      <c r="S69" s="28">
        <f>SUMIF(Master_Rack!$T$1:$T$265,Constraints!$C69,Master_Rack!$AR$1:$AR$265)</f>
        <v>0</v>
      </c>
      <c r="T69" s="28">
        <f>SUMIF(Master_Rack!$T$1:$T$265,Constraints!$C69,Master_Rack!$AU$1:$AU$265)</f>
        <v>0</v>
      </c>
      <c r="U69" s="28">
        <f>SUMIF(Master_Rack!$T$1:$T$265,Constraints!$C69,Master_Rack!$AX$1:$AX$265)</f>
        <v>0</v>
      </c>
      <c r="V69" s="45">
        <f t="shared" si="18"/>
        <v>210</v>
      </c>
      <c r="W69" s="45">
        <f t="shared" si="19"/>
        <v>210</v>
      </c>
      <c r="X69" s="45">
        <f t="shared" si="20"/>
        <v>210</v>
      </c>
      <c r="Y69" s="45">
        <f t="shared" si="21"/>
        <v>210</v>
      </c>
      <c r="Z69" s="45">
        <f t="shared" si="15"/>
        <v>210</v>
      </c>
      <c r="AA69" s="28">
        <f>COUNTIFS(Master_Rack!$T$1:$T$265,Constraints!$C69,Master_Rack!$AI$1:$AI$265, "&gt;0")</f>
        <v>18</v>
      </c>
      <c r="AB69" s="28">
        <f>COUNTIFS(Master_Rack!$T$1:$T$265,Constraints!$C69,Master_Rack!$AL$1:$AL$265, "&gt;0")</f>
        <v>0</v>
      </c>
      <c r="AC69" s="28">
        <f>COUNTIFS(Master_Rack!$T$1:$T$265,Constraints!$C69,Master_Rack!$AO$1:$AO$265, "&gt;0")</f>
        <v>0</v>
      </c>
      <c r="AD69" s="28">
        <f>COUNTIFS(Master_Rack!$T$1:$T$265,Constraints!$C69,Master_Rack!$AR$1:$AR$265, "&gt;0")</f>
        <v>0</v>
      </c>
      <c r="AE69" s="28">
        <f>COUNTIFS(Master_Rack!$T$1:$T$265,Constraints!$C69,Master_Rack!$AU$1:$AU$265, "&gt;0")</f>
        <v>0</v>
      </c>
      <c r="AF69" s="28">
        <f>COUNTIFS(Master_Rack!$T$1:$T$265,Constraints!$C69,Master_Rack!$AX$1:$AX$265, "&gt;0")</f>
        <v>0</v>
      </c>
      <c r="AG69" s="45">
        <f t="shared" si="22"/>
        <v>18</v>
      </c>
      <c r="AH69" s="45">
        <f t="shared" si="23"/>
        <v>18</v>
      </c>
      <c r="AI69" s="45">
        <f t="shared" si="24"/>
        <v>18</v>
      </c>
      <c r="AJ69" s="45">
        <f t="shared" si="25"/>
        <v>18</v>
      </c>
      <c r="AK69" s="45">
        <f t="shared" si="26"/>
        <v>18</v>
      </c>
      <c r="AL69" s="45"/>
    </row>
    <row r="70" spans="1:44" x14ac:dyDescent="0.2">
      <c r="A70" s="45" t="s">
        <v>645</v>
      </c>
      <c r="B70" s="39" t="s">
        <v>645</v>
      </c>
      <c r="C70" s="28" t="s">
        <v>70</v>
      </c>
      <c r="D70" s="28">
        <f>SUMIF(Master_Rack!$T$1:$T$265,Constraints!$C70,Master_Rack!$L$1:$L$265)</f>
        <v>5400</v>
      </c>
      <c r="E70" t="s">
        <v>670</v>
      </c>
      <c r="F70" s="41">
        <v>4000</v>
      </c>
      <c r="G70" s="71" t="s">
        <v>671</v>
      </c>
      <c r="H70">
        <f t="shared" si="27"/>
        <v>4000</v>
      </c>
      <c r="I70" s="71" t="s">
        <v>672</v>
      </c>
      <c r="J70">
        <v>5000</v>
      </c>
      <c r="K70" s="41"/>
      <c r="L70" s="41"/>
      <c r="M70" s="41"/>
      <c r="N70" s="41"/>
      <c r="O70" s="41"/>
      <c r="P70" s="28">
        <f>SUMIF(Master_Rack!$T$1:$T$265,Constraints!$C70,Master_Rack!$AI$1:$AI$265)</f>
        <v>0</v>
      </c>
      <c r="Q70" s="28">
        <f>SUMIF(Master_Rack!$T$1:$T$265,Constraints!$C70,Master_Rack!$AL$1:$AL$265)</f>
        <v>1560</v>
      </c>
      <c r="R70" s="28">
        <f>SUMIF(Master_Rack!$T$1:$T$265,Constraints!$C70,Master_Rack!$AO$1:$AO$265)</f>
        <v>1560</v>
      </c>
      <c r="S70" s="28">
        <f>SUMIF(Master_Rack!$T$1:$T$265,Constraints!$C70,Master_Rack!$AR$1:$AR$265)</f>
        <v>1560</v>
      </c>
      <c r="T70" s="28">
        <f>SUMIF(Master_Rack!$T$1:$T$265,Constraints!$C70,Master_Rack!$AU$1:$AU$265)</f>
        <v>1560</v>
      </c>
      <c r="U70" s="28">
        <f>SUMIF(Master_Rack!$T$1:$T$265,Constraints!$C70,Master_Rack!$AX$1:$AX$265)</f>
        <v>0</v>
      </c>
      <c r="V70" s="45">
        <f t="shared" si="18"/>
        <v>0</v>
      </c>
      <c r="W70" s="45">
        <f t="shared" si="19"/>
        <v>1560</v>
      </c>
      <c r="X70" s="45">
        <f t="shared" si="20"/>
        <v>1560</v>
      </c>
      <c r="Y70" s="45">
        <f t="shared" si="21"/>
        <v>1560</v>
      </c>
      <c r="Z70" s="45">
        <f t="shared" si="15"/>
        <v>1560</v>
      </c>
      <c r="AA70" s="28">
        <f>COUNTIFS(Master_Rack!$T$1:$T$265,Constraints!$C70,Master_Rack!$AI$1:$AI$265, "&gt;0")</f>
        <v>0</v>
      </c>
      <c r="AB70" s="28">
        <f>COUNTIFS(Master_Rack!$T$1:$T$265,Constraints!$C70,Master_Rack!$AL$1:$AL$265, "&gt;0")</f>
        <v>52</v>
      </c>
      <c r="AC70" s="28">
        <f>COUNTIFS(Master_Rack!$T$1:$T$265,Constraints!$C70,Master_Rack!$AO$1:$AO$265, "&gt;0")</f>
        <v>52</v>
      </c>
      <c r="AD70" s="28">
        <f>COUNTIFS(Master_Rack!$T$1:$T$265,Constraints!$C70,Master_Rack!$AR$1:$AR$265, "&gt;0")</f>
        <v>52</v>
      </c>
      <c r="AE70" s="28">
        <f>COUNTIFS(Master_Rack!$T$1:$T$265,Constraints!$C70,Master_Rack!$AU$1:$AU$265, "&gt;0")</f>
        <v>52</v>
      </c>
      <c r="AF70" s="28">
        <f>COUNTIFS(Master_Rack!$T$1:$T$265,Constraints!$C70,Master_Rack!$AX$1:$AX$265, "&gt;0")</f>
        <v>0</v>
      </c>
      <c r="AG70" s="45">
        <f t="shared" si="22"/>
        <v>0</v>
      </c>
      <c r="AH70" s="45">
        <f t="shared" si="23"/>
        <v>52</v>
      </c>
      <c r="AI70" s="45">
        <f t="shared" si="24"/>
        <v>52</v>
      </c>
      <c r="AJ70" s="45">
        <f t="shared" si="25"/>
        <v>52</v>
      </c>
      <c r="AK70" s="45">
        <f t="shared" si="26"/>
        <v>52</v>
      </c>
      <c r="AL70" s="45"/>
    </row>
    <row r="71" spans="1:44" x14ac:dyDescent="0.2">
      <c r="A71" s="45" t="s">
        <v>645</v>
      </c>
      <c r="B71" s="39" t="s">
        <v>645</v>
      </c>
      <c r="C71" s="28" t="s">
        <v>73</v>
      </c>
      <c r="D71" s="28">
        <f>SUMIF(Master_Rack!$T$1:$T$265,Constraints!$C71,Master_Rack!$L$1:$L$265)</f>
        <v>480</v>
      </c>
      <c r="E71" t="s">
        <v>670</v>
      </c>
      <c r="F71">
        <v>2500</v>
      </c>
      <c r="G71" s="71" t="s">
        <v>671</v>
      </c>
      <c r="H71">
        <f t="shared" si="27"/>
        <v>3200</v>
      </c>
      <c r="I71" s="71" t="s">
        <v>672</v>
      </c>
      <c r="J71">
        <v>4000</v>
      </c>
      <c r="P71" s="28">
        <f>SUMIF(Master_Rack!$T$1:$T$265,Constraints!$C71,Master_Rack!$AI$1:$AI$265)</f>
        <v>0</v>
      </c>
      <c r="Q71" s="28">
        <f>SUMIF(Master_Rack!$T$1:$T$265,Constraints!$C71,Master_Rack!$AL$1:$AL$265)</f>
        <v>0</v>
      </c>
      <c r="R71" s="28">
        <f>SUMIF(Master_Rack!$T$1:$T$265,Constraints!$C71,Master_Rack!$AO$1:$AO$265)</f>
        <v>0</v>
      </c>
      <c r="S71" s="28">
        <f>SUMIF(Master_Rack!$T$1:$T$265,Constraints!$C71,Master_Rack!$AR$1:$AR$265)</f>
        <v>0</v>
      </c>
      <c r="T71" s="28">
        <f>SUMIF(Master_Rack!$T$1:$T$265,Constraints!$C71,Master_Rack!$AU$1:$AU$265)</f>
        <v>0</v>
      </c>
      <c r="U71" s="28">
        <f>SUMIF(Master_Rack!$T$1:$T$265,Constraints!$C71,Master_Rack!$AX$1:$AX$265)</f>
        <v>0</v>
      </c>
      <c r="V71" s="45">
        <f t="shared" si="18"/>
        <v>0</v>
      </c>
      <c r="W71" s="45">
        <f t="shared" si="19"/>
        <v>0</v>
      </c>
      <c r="X71" s="45">
        <f t="shared" si="20"/>
        <v>0</v>
      </c>
      <c r="Y71" s="45">
        <f t="shared" si="21"/>
        <v>0</v>
      </c>
      <c r="Z71" s="45">
        <f t="shared" si="15"/>
        <v>0</v>
      </c>
      <c r="AA71" s="28">
        <f>COUNTIFS(Master_Rack!$T$1:$T$265,Constraints!$C71,Master_Rack!$AI$1:$AI$265, "&gt;0")</f>
        <v>0</v>
      </c>
      <c r="AB71" s="28">
        <f>COUNTIFS(Master_Rack!$T$1:$T$265,Constraints!$C71,Master_Rack!$AL$1:$AL$265, "&gt;0")</f>
        <v>0</v>
      </c>
      <c r="AC71" s="28">
        <f>COUNTIFS(Master_Rack!$T$1:$T$265,Constraints!$C71,Master_Rack!$AO$1:$AO$265, "&gt;0")</f>
        <v>0</v>
      </c>
      <c r="AD71" s="28">
        <f>COUNTIFS(Master_Rack!$T$1:$T$265,Constraints!$C71,Master_Rack!$AR$1:$AR$265, "&gt;0")</f>
        <v>0</v>
      </c>
      <c r="AE71" s="28">
        <f>COUNTIFS(Master_Rack!$T$1:$T$265,Constraints!$C71,Master_Rack!$AU$1:$AU$265, "&gt;0")</f>
        <v>0</v>
      </c>
      <c r="AF71" s="28">
        <f>COUNTIFS(Master_Rack!$T$1:$T$265,Constraints!$C71,Master_Rack!$AX$1:$AX$265, "&gt;0")</f>
        <v>0</v>
      </c>
      <c r="AG71" s="45">
        <f t="shared" si="22"/>
        <v>0</v>
      </c>
      <c r="AH71" s="45">
        <f t="shared" si="23"/>
        <v>0</v>
      </c>
      <c r="AI71" s="45">
        <f t="shared" si="24"/>
        <v>0</v>
      </c>
      <c r="AJ71" s="45">
        <f t="shared" si="25"/>
        <v>0</v>
      </c>
      <c r="AK71" s="45">
        <f t="shared" si="26"/>
        <v>0</v>
      </c>
      <c r="AL71" s="45"/>
    </row>
    <row r="72" spans="1:44" x14ac:dyDescent="0.2">
      <c r="A72" s="45" t="s">
        <v>645</v>
      </c>
      <c r="B72" s="39" t="s">
        <v>645</v>
      </c>
      <c r="C72" s="28" t="s">
        <v>313</v>
      </c>
      <c r="D72" s="28">
        <f>SUMIF(Master_Rack!$T$1:$T$265,Constraints!$C72,Master_Rack!$L$1:$L$265)</f>
        <v>2880</v>
      </c>
      <c r="E72" t="s">
        <v>670</v>
      </c>
      <c r="F72">
        <v>3000</v>
      </c>
      <c r="G72" s="71" t="s">
        <v>671</v>
      </c>
      <c r="H72">
        <f t="shared" si="27"/>
        <v>3200</v>
      </c>
      <c r="I72" s="71" t="s">
        <v>672</v>
      </c>
      <c r="J72">
        <v>4000</v>
      </c>
      <c r="P72" s="28">
        <f>SUMIF(Master_Rack!$T$1:$T$265,Constraints!$C72,Master_Rack!$AI$1:$AI$265)</f>
        <v>0</v>
      </c>
      <c r="Q72" s="28">
        <f>SUMIF(Master_Rack!$T$1:$T$265,Constraints!$C72,Master_Rack!$AL$1:$AL$265)</f>
        <v>0</v>
      </c>
      <c r="R72" s="28">
        <f>SUMIF(Master_Rack!$T$1:$T$265,Constraints!$C72,Master_Rack!$AO$1:$AO$265)</f>
        <v>0</v>
      </c>
      <c r="S72" s="28">
        <f>SUMIF(Master_Rack!$T$1:$T$265,Constraints!$C72,Master_Rack!$AR$1:$AR$265)</f>
        <v>0</v>
      </c>
      <c r="T72" s="28">
        <f>SUMIF(Master_Rack!$T$1:$T$265,Constraints!$C72,Master_Rack!$AU$1:$AU$265)</f>
        <v>0</v>
      </c>
      <c r="U72" s="28">
        <f>SUMIF(Master_Rack!$T$1:$T$265,Constraints!$C72,Master_Rack!$AX$1:$AX$265)</f>
        <v>1395</v>
      </c>
      <c r="V72" s="45">
        <f t="shared" si="18"/>
        <v>1395</v>
      </c>
      <c r="W72" s="45">
        <f t="shared" si="19"/>
        <v>1395</v>
      </c>
      <c r="X72" s="45">
        <f t="shared" si="20"/>
        <v>1395</v>
      </c>
      <c r="Y72" s="45">
        <f t="shared" si="21"/>
        <v>1395</v>
      </c>
      <c r="Z72" s="45">
        <f t="shared" si="15"/>
        <v>1395</v>
      </c>
      <c r="AA72" s="28">
        <f>COUNTIFS(Master_Rack!$T$1:$T$265,Constraints!$C72,Master_Rack!$AI$1:$AI$265, "&gt;0")</f>
        <v>0</v>
      </c>
      <c r="AB72" s="28">
        <f>COUNTIFS(Master_Rack!$T$1:$T$265,Constraints!$C72,Master_Rack!$AL$1:$AL$265, "&gt;0")</f>
        <v>0</v>
      </c>
      <c r="AC72" s="28">
        <f>COUNTIFS(Master_Rack!$T$1:$T$265,Constraints!$C72,Master_Rack!$AO$1:$AO$265, "&gt;0")</f>
        <v>0</v>
      </c>
      <c r="AD72" s="28">
        <f>COUNTIFS(Master_Rack!$T$1:$T$265,Constraints!$C72,Master_Rack!$AR$1:$AR$265, "&gt;0")</f>
        <v>0</v>
      </c>
      <c r="AE72" s="28">
        <f>COUNTIFS(Master_Rack!$T$1:$T$265,Constraints!$C72,Master_Rack!$AU$1:$AU$265, "&gt;0")</f>
        <v>0</v>
      </c>
      <c r="AF72" s="28">
        <f>COUNTIFS(Master_Rack!$T$1:$T$265,Constraints!$C72,Master_Rack!$AX$1:$AX$265, "&gt;0")</f>
        <v>24</v>
      </c>
      <c r="AG72" s="45">
        <f t="shared" si="22"/>
        <v>24</v>
      </c>
      <c r="AH72" s="45">
        <f t="shared" si="23"/>
        <v>24</v>
      </c>
      <c r="AI72" s="45">
        <f t="shared" si="24"/>
        <v>24</v>
      </c>
      <c r="AJ72" s="45">
        <f t="shared" si="25"/>
        <v>24</v>
      </c>
      <c r="AK72" s="45">
        <f t="shared" si="26"/>
        <v>24</v>
      </c>
      <c r="AL72" s="45"/>
    </row>
    <row r="73" spans="1:44" x14ac:dyDescent="0.2">
      <c r="A73" s="45" t="s">
        <v>645</v>
      </c>
      <c r="B73" s="39" t="s">
        <v>645</v>
      </c>
      <c r="C73" s="28" t="s">
        <v>71</v>
      </c>
      <c r="D73" s="28">
        <f>SUMIF(Master_Rack!$U$1:$U$265,Constraints!$C73,Master_Rack!$L$1:$L$265)</f>
        <v>1080</v>
      </c>
      <c r="E73" t="s">
        <v>670</v>
      </c>
      <c r="F73">
        <v>960</v>
      </c>
      <c r="G73" s="71" t="s">
        <v>671</v>
      </c>
      <c r="H73">
        <f t="shared" si="27"/>
        <v>960</v>
      </c>
      <c r="I73" s="71" t="s">
        <v>672</v>
      </c>
      <c r="J73">
        <v>1200</v>
      </c>
      <c r="P73" s="28">
        <f>SUMIF(Master_Rack!$U$1:$U$265,Constraints!$C73,Master_Rack!$AI$1:$AI$265)</f>
        <v>0</v>
      </c>
      <c r="Q73" s="28">
        <f>SUMIF(Master_Rack!$U$1:$U$265,Constraints!$C73,Master_Rack!$AL$1:$AL$265)</f>
        <v>780</v>
      </c>
      <c r="R73" s="28">
        <f>SUMIF(Master_Rack!$U$1:$U$265,Constraints!$C73,Master_Rack!$AO$1:$AO$265)</f>
        <v>840</v>
      </c>
      <c r="S73" s="28">
        <f>SUMIF(Master_Rack!$U$1:$U$265,Constraints!$C73,Master_Rack!$AR$1:$AR$265)</f>
        <v>0</v>
      </c>
      <c r="T73" s="28">
        <f>SUMIF(Master_Rack!$U$1:$U$265,Constraints!$C73,Master_Rack!$AU$1:$AU$265)</f>
        <v>0</v>
      </c>
      <c r="U73" s="28">
        <f>SUMIF(Master_Rack!$U$1:$U$265,Constraints!$C73,Master_Rack!$AX$1:$AX$265)</f>
        <v>0</v>
      </c>
      <c r="V73" s="45">
        <f t="shared" si="18"/>
        <v>0</v>
      </c>
      <c r="W73" s="45">
        <f t="shared" si="19"/>
        <v>780</v>
      </c>
      <c r="X73" s="45">
        <f t="shared" si="20"/>
        <v>840</v>
      </c>
      <c r="Y73" s="45">
        <f t="shared" si="21"/>
        <v>0</v>
      </c>
      <c r="Z73" s="45">
        <f t="shared" si="15"/>
        <v>0</v>
      </c>
      <c r="AA73" s="28">
        <f>COUNTIFS(Master_Rack!$T$1:$T$265,Constraints!$C73,Master_Rack!$AI$1:$AI$265, "&gt;0")</f>
        <v>0</v>
      </c>
      <c r="AB73" s="28">
        <f>COUNTIFS(Master_Rack!$T$1:$T$265,Constraints!$C73,Master_Rack!$AL$1:$AL$265, "&gt;0")</f>
        <v>0</v>
      </c>
      <c r="AC73" s="28">
        <f>COUNTIFS(Master_Rack!$T$1:$T$265,Constraints!$C73,Master_Rack!$AO$1:$AO$265, "&gt;0")</f>
        <v>0</v>
      </c>
      <c r="AD73" s="28">
        <f>COUNTIFS(Master_Rack!$T$1:$T$265,Constraints!$C73,Master_Rack!$AR$1:$AR$265, "&gt;0")</f>
        <v>0</v>
      </c>
      <c r="AE73" s="28">
        <f>COUNTIFS(Master_Rack!$T$1:$T$265,Constraints!$C73,Master_Rack!$AU$1:$AU$265, "&gt;0")</f>
        <v>0</v>
      </c>
      <c r="AF73" s="28">
        <f>COUNTIFS(Master_Rack!$T$1:$T$265,Constraints!$C73,Master_Rack!$AX$1:$AX$265, "&gt;0")</f>
        <v>0</v>
      </c>
      <c r="AG73" s="45">
        <f t="shared" si="22"/>
        <v>0</v>
      </c>
      <c r="AH73" s="45">
        <f t="shared" si="23"/>
        <v>0</v>
      </c>
      <c r="AI73" s="45">
        <f t="shared" si="24"/>
        <v>0</v>
      </c>
      <c r="AJ73" s="45">
        <f t="shared" si="25"/>
        <v>0</v>
      </c>
      <c r="AK73" s="45">
        <f t="shared" si="26"/>
        <v>0</v>
      </c>
      <c r="AL73" s="45"/>
    </row>
    <row r="74" spans="1:44" x14ac:dyDescent="0.2">
      <c r="A74" s="45" t="s">
        <v>645</v>
      </c>
      <c r="B74" s="39" t="s">
        <v>645</v>
      </c>
      <c r="C74" s="28" t="s">
        <v>72</v>
      </c>
      <c r="D74" s="28">
        <f>SUMIF(Master_Rack!$U$1:$U$265,Constraints!$C74,Master_Rack!$L$1:$L$265)</f>
        <v>4800</v>
      </c>
      <c r="E74" t="s">
        <v>670</v>
      </c>
      <c r="F74" s="41">
        <v>4000</v>
      </c>
      <c r="G74" s="71" t="s">
        <v>671</v>
      </c>
      <c r="H74">
        <f t="shared" si="27"/>
        <v>4000</v>
      </c>
      <c r="I74" s="71" t="s">
        <v>672</v>
      </c>
      <c r="J74">
        <v>5000</v>
      </c>
      <c r="K74" s="41"/>
      <c r="L74" s="41"/>
      <c r="M74" s="41"/>
      <c r="N74" s="41"/>
      <c r="O74" s="41"/>
      <c r="P74" s="28">
        <f>SUMIF(Master_Rack!$U$1:$U$265,Constraints!$C74,Master_Rack!$AI$1:$AI$265)</f>
        <v>0</v>
      </c>
      <c r="Q74" s="28">
        <f>SUMIF(Master_Rack!$U$1:$U$265,Constraints!$C74,Master_Rack!$AL$1:$AL$265)</f>
        <v>780</v>
      </c>
      <c r="R74" s="28">
        <f>SUMIF(Master_Rack!$U$1:$U$265,Constraints!$C74,Master_Rack!$AO$1:$AO$265)</f>
        <v>720</v>
      </c>
      <c r="S74" s="28">
        <f>SUMIF(Master_Rack!$U$1:$U$265,Constraints!$C74,Master_Rack!$AR$1:$AR$265)</f>
        <v>1560</v>
      </c>
      <c r="T74" s="28">
        <f>SUMIF(Master_Rack!$U$1:$U$265,Constraints!$C74,Master_Rack!$AU$1:$AU$265)</f>
        <v>1560</v>
      </c>
      <c r="U74" s="28">
        <f>SUMIF(Master_Rack!$U$1:$U$265,Constraints!$C74,Master_Rack!$AX$1:$AX$265)</f>
        <v>0</v>
      </c>
      <c r="V74" s="45">
        <f t="shared" si="18"/>
        <v>0</v>
      </c>
      <c r="W74" s="45">
        <f t="shared" si="19"/>
        <v>780</v>
      </c>
      <c r="X74" s="45">
        <f t="shared" si="20"/>
        <v>720</v>
      </c>
      <c r="Y74" s="45">
        <f t="shared" si="21"/>
        <v>1560</v>
      </c>
      <c r="Z74" s="45">
        <f t="shared" si="15"/>
        <v>1560</v>
      </c>
      <c r="AA74" s="28">
        <f>COUNTIFS(Master_Rack!$T$1:$T$265,Constraints!$C74,Master_Rack!$AI$1:$AI$265, "&gt;0")</f>
        <v>0</v>
      </c>
      <c r="AB74" s="28">
        <f>COUNTIFS(Master_Rack!$T$1:$T$265,Constraints!$C74,Master_Rack!$AL$1:$AL$265, "&gt;0")</f>
        <v>0</v>
      </c>
      <c r="AC74" s="28">
        <f>COUNTIFS(Master_Rack!$T$1:$T$265,Constraints!$C74,Master_Rack!$AO$1:$AO$265, "&gt;0")</f>
        <v>0</v>
      </c>
      <c r="AD74" s="28">
        <f>COUNTIFS(Master_Rack!$T$1:$T$265,Constraints!$C74,Master_Rack!$AR$1:$AR$265, "&gt;0")</f>
        <v>0</v>
      </c>
      <c r="AE74" s="28">
        <f>COUNTIFS(Master_Rack!$T$1:$T$265,Constraints!$C74,Master_Rack!$AU$1:$AU$265, "&gt;0")</f>
        <v>0</v>
      </c>
      <c r="AF74" s="28">
        <f>COUNTIFS(Master_Rack!$T$1:$T$265,Constraints!$C74,Master_Rack!$AX$1:$AX$265, "&gt;0")</f>
        <v>0</v>
      </c>
      <c r="AG74" s="45">
        <f t="shared" si="22"/>
        <v>0</v>
      </c>
      <c r="AH74" s="45">
        <f t="shared" si="23"/>
        <v>0</v>
      </c>
      <c r="AI74" s="45">
        <f t="shared" si="24"/>
        <v>0</v>
      </c>
      <c r="AJ74" s="45">
        <f t="shared" si="25"/>
        <v>0</v>
      </c>
      <c r="AK74" s="45">
        <f t="shared" si="26"/>
        <v>0</v>
      </c>
      <c r="AL74" s="45"/>
    </row>
    <row r="75" spans="1:44" x14ac:dyDescent="0.2">
      <c r="A75" s="45" t="s">
        <v>645</v>
      </c>
      <c r="B75" s="39" t="s">
        <v>645</v>
      </c>
      <c r="C75" s="28" t="s">
        <v>314</v>
      </c>
      <c r="D75" s="28">
        <f>SUMIF(Master_Rack!$U$1:$U$265,Constraints!$C75,Master_Rack!$L$1:$L$265)</f>
        <v>2880</v>
      </c>
      <c r="E75" t="s">
        <v>670</v>
      </c>
      <c r="F75">
        <v>3000</v>
      </c>
      <c r="G75" s="71" t="s">
        <v>671</v>
      </c>
      <c r="H75">
        <f t="shared" si="27"/>
        <v>3200</v>
      </c>
      <c r="I75" s="71" t="s">
        <v>672</v>
      </c>
      <c r="J75">
        <v>4000</v>
      </c>
      <c r="P75" s="28">
        <f>SUMIF(Master_Rack!$U$1:$U$265,Constraints!$C75,Master_Rack!$AI$1:$AI$265)</f>
        <v>0</v>
      </c>
      <c r="Q75" s="28">
        <f>SUMIF(Master_Rack!$U$1:$U$265,Constraints!$C75,Master_Rack!$AL$1:$AL$265)</f>
        <v>0</v>
      </c>
      <c r="R75" s="28">
        <f>SUMIF(Master_Rack!$U$1:$U$265,Constraints!$C75,Master_Rack!$AO$1:$AO$265)</f>
        <v>0</v>
      </c>
      <c r="S75" s="28">
        <f>SUMIF(Master_Rack!$U$1:$U$265,Constraints!$C75,Master_Rack!$AR$1:$AR$265)</f>
        <v>0</v>
      </c>
      <c r="T75" s="28">
        <f>SUMIF(Master_Rack!$U$1:$U$265,Constraints!$C75,Master_Rack!$AU$1:$AU$265)</f>
        <v>0</v>
      </c>
      <c r="U75" s="28">
        <f>SUMIF(Master_Rack!$U$1:$U$265,Constraints!$C75,Master_Rack!$AX$1:$AX$265)</f>
        <v>1395</v>
      </c>
      <c r="V75" s="45">
        <f t="shared" si="18"/>
        <v>1395</v>
      </c>
      <c r="W75" s="45">
        <f t="shared" si="19"/>
        <v>1395</v>
      </c>
      <c r="X75" s="45">
        <f t="shared" si="20"/>
        <v>1395</v>
      </c>
      <c r="Y75" s="45">
        <f t="shared" si="21"/>
        <v>1395</v>
      </c>
      <c r="Z75" s="45">
        <f t="shared" si="15"/>
        <v>1395</v>
      </c>
      <c r="AA75" s="28">
        <f>COUNTIFS(Master_Rack!$T$1:$T$265,Constraints!$C75,Master_Rack!$AI$1:$AI$265, "&gt;0")</f>
        <v>0</v>
      </c>
      <c r="AB75" s="28">
        <f>COUNTIFS(Master_Rack!$T$1:$T$265,Constraints!$C75,Master_Rack!$AL$1:$AL$265, "&gt;0")</f>
        <v>0</v>
      </c>
      <c r="AC75" s="28">
        <f>COUNTIFS(Master_Rack!$T$1:$T$265,Constraints!$C75,Master_Rack!$AO$1:$AO$265, "&gt;0")</f>
        <v>0</v>
      </c>
      <c r="AD75" s="28">
        <f>COUNTIFS(Master_Rack!$T$1:$T$265,Constraints!$C75,Master_Rack!$AR$1:$AR$265, "&gt;0")</f>
        <v>0</v>
      </c>
      <c r="AE75" s="28">
        <f>COUNTIFS(Master_Rack!$T$1:$T$265,Constraints!$C75,Master_Rack!$AU$1:$AU$265, "&gt;0")</f>
        <v>0</v>
      </c>
      <c r="AF75" s="28">
        <f>COUNTIFS(Master_Rack!$T$1:$T$265,Constraints!$C75,Master_Rack!$AX$1:$AX$265, "&gt;0")</f>
        <v>0</v>
      </c>
      <c r="AG75" s="45">
        <f t="shared" si="22"/>
        <v>0</v>
      </c>
      <c r="AH75" s="45">
        <f t="shared" si="23"/>
        <v>0</v>
      </c>
      <c r="AI75" s="45">
        <f t="shared" si="24"/>
        <v>0</v>
      </c>
      <c r="AJ75" s="45">
        <f t="shared" si="25"/>
        <v>0</v>
      </c>
      <c r="AK75" s="45">
        <f t="shared" si="26"/>
        <v>0</v>
      </c>
      <c r="AL75" s="45"/>
    </row>
    <row r="76" spans="1:44" x14ac:dyDescent="0.2">
      <c r="A76" s="45" t="s">
        <v>531</v>
      </c>
      <c r="B76" s="39" t="s">
        <v>531</v>
      </c>
      <c r="C76" s="28" t="s">
        <v>454</v>
      </c>
      <c r="D76" s="28">
        <f>SUMIF(Master_Rack!$V$1:$V$265,Constraints!$C76,Master_Rack!$L$1:$L$265)</f>
        <v>720</v>
      </c>
      <c r="E76" t="s">
        <v>675</v>
      </c>
      <c r="F76">
        <v>780</v>
      </c>
      <c r="G76" s="71" t="s">
        <v>674</v>
      </c>
      <c r="H76">
        <f t="shared" si="27"/>
        <v>800</v>
      </c>
      <c r="I76" s="71" t="s">
        <v>673</v>
      </c>
      <c r="J76">
        <v>1000</v>
      </c>
      <c r="P76" s="28">
        <f>SUMIF(Master_Rack!$V$1:$V$265,Constraints!$C76,Master_Rack!$AI$1:$AI$265)</f>
        <v>450</v>
      </c>
      <c r="Q76" s="28">
        <f>SUMIF(Master_Rack!$V$1:$V$265,Constraints!$C76,Master_Rack!$AL$1:$AL$265)</f>
        <v>0</v>
      </c>
      <c r="R76" s="28">
        <f>SUMIF(Master_Rack!$V$1:$V$265,Constraints!$C76,Master_Rack!$AO$1:$AO$265)</f>
        <v>0</v>
      </c>
      <c r="S76" s="28">
        <f>SUMIF(Master_Rack!$V$1:$V$265,Constraints!$C76,Master_Rack!$AR$1:$AR$265)</f>
        <v>0</v>
      </c>
      <c r="T76" s="28">
        <f>SUMIF(Master_Rack!$V$1:$V$265,Constraints!$C76,Master_Rack!$AU$1:$AU$265)</f>
        <v>0</v>
      </c>
      <c r="U76" s="28">
        <f>SUMIF(Master_Rack!$V$1:$V$265,Constraints!$C76,Master_Rack!$AX$1:$AX$265)</f>
        <v>0</v>
      </c>
      <c r="V76" s="45">
        <f t="shared" si="18"/>
        <v>450</v>
      </c>
      <c r="W76" s="45">
        <f t="shared" si="19"/>
        <v>450</v>
      </c>
      <c r="X76" s="45">
        <f t="shared" si="20"/>
        <v>450</v>
      </c>
      <c r="Y76" s="45">
        <f t="shared" si="21"/>
        <v>450</v>
      </c>
      <c r="Z76" s="45">
        <f t="shared" si="15"/>
        <v>450</v>
      </c>
      <c r="AA76" s="28">
        <f>COUNTIFS(Master_Rack!$V$1:$V$265,Constraints!$C76,Master_Rack!$AI$1:$AI$265,"&gt;0")</f>
        <v>36</v>
      </c>
      <c r="AB76" s="28">
        <f>COUNTIFS(Master_Rack!$V$1:$V$265,Constraints!$C76,Master_Rack!$AL$1:$AL$265,"&gt;0")</f>
        <v>0</v>
      </c>
      <c r="AC76" s="28">
        <f>COUNTIFS(Master_Rack!$V$1:$V$265,Constraints!$C76,Master_Rack!$AO$1:$AO$265,"&gt;0")</f>
        <v>0</v>
      </c>
      <c r="AD76" s="28">
        <f>COUNTIFS(Master_Rack!$V$1:$V$265,Constraints!$C76,Master_Rack!$AR$1:$AR$265,"&gt;0")</f>
        <v>0</v>
      </c>
      <c r="AE76" s="28">
        <f>COUNTIFS(Master_Rack!$V$1:$V$265,Constraints!$C76,Master_Rack!$AU$1:$AU$265,"&gt;0")</f>
        <v>0</v>
      </c>
      <c r="AF76" s="28">
        <f>COUNTIFS(Master_Rack!$V$1:$V$265,Constraints!$C76,Master_Rack!$AX$1:$AX$265,"&gt;0")</f>
        <v>0</v>
      </c>
      <c r="AG76" s="45">
        <f t="shared" si="22"/>
        <v>36</v>
      </c>
      <c r="AH76" s="45">
        <f t="shared" si="23"/>
        <v>36</v>
      </c>
      <c r="AI76" s="45">
        <f t="shared" si="24"/>
        <v>36</v>
      </c>
      <c r="AJ76" s="45">
        <f t="shared" si="25"/>
        <v>36</v>
      </c>
      <c r="AK76" s="45">
        <f t="shared" si="26"/>
        <v>36</v>
      </c>
      <c r="AL76" s="45"/>
    </row>
    <row r="77" spans="1:44" x14ac:dyDescent="0.2">
      <c r="A77" s="45" t="s">
        <v>531</v>
      </c>
      <c r="B77" s="39" t="s">
        <v>531</v>
      </c>
      <c r="C77" s="28" t="s">
        <v>293</v>
      </c>
      <c r="D77" s="28">
        <f>SUMIF(Master_Rack!$V$1:$V$265,Constraints!$C77,Master_Rack!$L$1:$L$265)</f>
        <v>8760</v>
      </c>
      <c r="E77" t="s">
        <v>675</v>
      </c>
      <c r="F77">
        <v>9000</v>
      </c>
      <c r="G77" s="71" t="s">
        <v>674</v>
      </c>
      <c r="H77">
        <f t="shared" si="27"/>
        <v>9600</v>
      </c>
      <c r="I77" s="71" t="s">
        <v>673</v>
      </c>
      <c r="J77">
        <v>12000</v>
      </c>
      <c r="P77" s="28">
        <f>SUMIF(Master_Rack!$V$1:$V$265,Constraints!$C77,Master_Rack!$AI$1:$AI$265)</f>
        <v>0</v>
      </c>
      <c r="Q77" s="28">
        <f>SUMIF(Master_Rack!$V$1:$V$265,Constraints!$C77,Master_Rack!$AL$1:$AL$265)</f>
        <v>1560</v>
      </c>
      <c r="R77" s="28">
        <f>SUMIF(Master_Rack!$V$1:$V$265,Constraints!$C77,Master_Rack!$AO$1:$AO$265)</f>
        <v>1560</v>
      </c>
      <c r="S77" s="28">
        <f>SUMIF(Master_Rack!$V$1:$V$265,Constraints!$C77,Master_Rack!$AR$1:$AR$265)</f>
        <v>1560</v>
      </c>
      <c r="T77" s="28">
        <f>SUMIF(Master_Rack!$V$1:$V$265,Constraints!$C77,Master_Rack!$AU$1:$AU$265)</f>
        <v>1560</v>
      </c>
      <c r="U77" s="28">
        <f>SUMIF(Master_Rack!$V$1:$V$265,Constraints!$C77,Master_Rack!$AX$1:$AX$265)</f>
        <v>1395</v>
      </c>
      <c r="V77" s="45">
        <f t="shared" si="18"/>
        <v>1395</v>
      </c>
      <c r="W77" s="45">
        <f t="shared" si="19"/>
        <v>2955</v>
      </c>
      <c r="X77" s="45">
        <f t="shared" si="20"/>
        <v>2955</v>
      </c>
      <c r="Y77" s="45">
        <f t="shared" si="21"/>
        <v>2955</v>
      </c>
      <c r="Z77" s="45">
        <f t="shared" si="15"/>
        <v>2955</v>
      </c>
      <c r="AA77" s="28">
        <f>COUNTIFS(Master_Rack!$V$1:$V$265,Constraints!$C77,Master_Rack!$AI$1:$AI$265,"&gt;0")</f>
        <v>0</v>
      </c>
      <c r="AB77" s="28">
        <f>COUNTIFS(Master_Rack!$V$1:$V$265,Constraints!$C77,Master_Rack!$AL$1:$AL$265,"&gt;0")</f>
        <v>52</v>
      </c>
      <c r="AC77" s="28">
        <f>COUNTIFS(Master_Rack!$V$1:$V$265,Constraints!$C77,Master_Rack!$AO$1:$AO$265,"&gt;0")</f>
        <v>52</v>
      </c>
      <c r="AD77" s="28">
        <f>COUNTIFS(Master_Rack!$V$1:$V$265,Constraints!$C77,Master_Rack!$AR$1:$AR$265,"&gt;0")</f>
        <v>52</v>
      </c>
      <c r="AE77" s="28">
        <f>COUNTIFS(Master_Rack!$V$1:$V$265,Constraints!$C77,Master_Rack!$AU$1:$AU$265,"&gt;0")</f>
        <v>52</v>
      </c>
      <c r="AF77" s="28">
        <f>COUNTIFS(Master_Rack!$V$1:$V$265,Constraints!$C77,Master_Rack!$AX$1:$AX$265,"&gt;0")</f>
        <v>24</v>
      </c>
      <c r="AG77" s="45">
        <f t="shared" si="22"/>
        <v>24</v>
      </c>
      <c r="AH77" s="45">
        <f t="shared" si="23"/>
        <v>76</v>
      </c>
      <c r="AI77" s="45">
        <f t="shared" si="24"/>
        <v>76</v>
      </c>
      <c r="AJ77" s="45">
        <f t="shared" si="25"/>
        <v>76</v>
      </c>
      <c r="AK77" s="45">
        <f t="shared" si="26"/>
        <v>76</v>
      </c>
      <c r="AL77" s="45"/>
    </row>
    <row r="78" spans="1:44" x14ac:dyDescent="0.2">
      <c r="A78" s="45" t="s">
        <v>531</v>
      </c>
      <c r="B78" s="39" t="s">
        <v>531</v>
      </c>
      <c r="C78" s="28" t="s">
        <v>294</v>
      </c>
      <c r="D78" s="28">
        <f>SUMIF(Master_Rack!$W$1:$W$265,Constraints!$C78,Master_Rack!$L$1:$L$265)</f>
        <v>8760</v>
      </c>
      <c r="E78" t="s">
        <v>675</v>
      </c>
      <c r="F78">
        <v>9000</v>
      </c>
      <c r="G78" s="71" t="s">
        <v>674</v>
      </c>
      <c r="H78">
        <f t="shared" si="27"/>
        <v>9600</v>
      </c>
      <c r="I78" s="71" t="s">
        <v>673</v>
      </c>
      <c r="J78">
        <v>12000</v>
      </c>
      <c r="P78" s="28">
        <f>SUMIF(Master_Rack!$W$1:$W$265,Constraints!$C78,Master_Rack!$AI$1:$AI$265)</f>
        <v>0</v>
      </c>
      <c r="Q78" s="28">
        <f>SUMIF(Master_Rack!$W$1:$W$265,Constraints!$C78,Master_Rack!$AL$1:$AL$265)</f>
        <v>1560</v>
      </c>
      <c r="R78" s="28">
        <f>SUMIF(Master_Rack!$W$1:$W$265,Constraints!$C78,Master_Rack!$AO$1:$AO$265)</f>
        <v>1560</v>
      </c>
      <c r="S78" s="28">
        <f>SUMIF(Master_Rack!$W$1:$W$265,Constraints!$C78,Master_Rack!$AR$1:$AR$265)</f>
        <v>1560</v>
      </c>
      <c r="T78" s="28">
        <f>SUMIF(Master_Rack!$W$1:$W$265,Constraints!$C78,Master_Rack!$AU$1:$AU$265)</f>
        <v>1560</v>
      </c>
      <c r="U78" s="28">
        <f>SUMIF(Master_Rack!$W$1:$W$265,Constraints!$C78,Master_Rack!$AX$1:$AX$265)</f>
        <v>1395</v>
      </c>
      <c r="V78" s="45">
        <f t="shared" si="18"/>
        <v>1395</v>
      </c>
      <c r="W78" s="45">
        <f t="shared" si="19"/>
        <v>2955</v>
      </c>
      <c r="X78" s="45">
        <f t="shared" si="20"/>
        <v>2955</v>
      </c>
      <c r="Y78" s="45">
        <f t="shared" si="21"/>
        <v>2955</v>
      </c>
      <c r="Z78" s="45">
        <f t="shared" si="15"/>
        <v>2955</v>
      </c>
      <c r="AA78" s="28">
        <f>COUNTIFS(Master_Rack!$V$1:$V$265,Constraints!$C78,Master_Rack!$AI$1:$AI$265,"&gt;0")</f>
        <v>0</v>
      </c>
      <c r="AB78" s="28">
        <f>COUNTIFS(Master_Rack!$V$1:$V$265,Constraints!$C78,Master_Rack!$AL$1:$AL$265,"&gt;0")</f>
        <v>0</v>
      </c>
      <c r="AC78" s="28">
        <f>COUNTIFS(Master_Rack!$V$1:$V$265,Constraints!$C78,Master_Rack!$AO$1:$AO$265,"&gt;0")</f>
        <v>0</v>
      </c>
      <c r="AD78" s="28">
        <f>COUNTIFS(Master_Rack!$V$1:$V$265,Constraints!$C78,Master_Rack!$AR$1:$AR$265,"&gt;0")</f>
        <v>0</v>
      </c>
      <c r="AE78" s="28">
        <f>COUNTIFS(Master_Rack!$V$1:$V$265,Constraints!$C78,Master_Rack!$AU$1:$AU$265,"&gt;0")</f>
        <v>0</v>
      </c>
      <c r="AF78" s="28">
        <f>COUNTIFS(Master_Rack!$V$1:$V$265,Constraints!$C78,Master_Rack!$AX$1:$AX$265,"&gt;0")</f>
        <v>0</v>
      </c>
      <c r="AG78" s="45">
        <f t="shared" si="22"/>
        <v>0</v>
      </c>
      <c r="AH78" s="45">
        <f t="shared" si="23"/>
        <v>0</v>
      </c>
      <c r="AI78" s="45">
        <f t="shared" si="24"/>
        <v>0</v>
      </c>
      <c r="AJ78" s="45">
        <f t="shared" si="25"/>
        <v>0</v>
      </c>
      <c r="AK78" s="45">
        <f t="shared" si="26"/>
        <v>0</v>
      </c>
      <c r="AL78" s="45"/>
    </row>
    <row r="79" spans="1:44" x14ac:dyDescent="0.2">
      <c r="A79" s="45" t="s">
        <v>259</v>
      </c>
      <c r="B79" s="39" t="s">
        <v>259</v>
      </c>
      <c r="C79" t="s">
        <v>764</v>
      </c>
      <c r="D79" s="28">
        <f>SUM(D52:D53,D59:D60)</f>
        <v>720</v>
      </c>
      <c r="E79" t="s">
        <v>1081</v>
      </c>
      <c r="F79">
        <v>1000</v>
      </c>
      <c r="G79" s="71"/>
      <c r="I79" s="71"/>
      <c r="P79" s="28">
        <f>SUM(P52:P53,P59:P60)</f>
        <v>450</v>
      </c>
      <c r="Q79" s="28">
        <f t="shared" ref="Q79:U79" si="28">SUM(Q52:Q53,Q59:Q60)</f>
        <v>0</v>
      </c>
      <c r="R79" s="28">
        <f t="shared" si="28"/>
        <v>0</v>
      </c>
      <c r="S79" s="28">
        <f t="shared" si="28"/>
        <v>0</v>
      </c>
      <c r="T79" s="28">
        <f t="shared" si="28"/>
        <v>0</v>
      </c>
      <c r="U79" s="28">
        <f t="shared" si="28"/>
        <v>0</v>
      </c>
      <c r="V79" s="45">
        <f t="shared" si="18"/>
        <v>450</v>
      </c>
      <c r="W79" s="45">
        <f t="shared" si="19"/>
        <v>450</v>
      </c>
      <c r="X79" s="45">
        <f t="shared" si="20"/>
        <v>450</v>
      </c>
      <c r="Y79" s="45">
        <f t="shared" si="21"/>
        <v>450</v>
      </c>
      <c r="Z79" s="45">
        <f t="shared" ref="Z79" si="29">SUM($P79,T79,$U79)</f>
        <v>450</v>
      </c>
      <c r="AA79" s="28">
        <f>SUM(AA52:AA53,AA59:AA60)</f>
        <v>72</v>
      </c>
      <c r="AB79" s="28">
        <f t="shared" ref="AB79:AF79" si="30">SUM(AB52:AB53,AB59:AB60)</f>
        <v>0</v>
      </c>
      <c r="AC79" s="28">
        <f t="shared" si="30"/>
        <v>0</v>
      </c>
      <c r="AD79" s="28">
        <f t="shared" si="30"/>
        <v>0</v>
      </c>
      <c r="AE79" s="28">
        <f t="shared" si="30"/>
        <v>0</v>
      </c>
      <c r="AF79" s="28">
        <f t="shared" si="30"/>
        <v>0</v>
      </c>
      <c r="AG79" s="45">
        <f t="shared" si="22"/>
        <v>72</v>
      </c>
      <c r="AH79" s="45">
        <f t="shared" ref="AH79" si="31">SUM($AA79,$AF79,AB79)</f>
        <v>72</v>
      </c>
      <c r="AI79" s="45">
        <f t="shared" ref="AI79" si="32">SUM($AA79,$AF79,AC79)</f>
        <v>72</v>
      </c>
      <c r="AJ79" s="45">
        <f t="shared" ref="AJ79" si="33">SUM($AA79,$AF79,AD79)</f>
        <v>72</v>
      </c>
      <c r="AK79" s="45">
        <f t="shared" ref="AK79" si="34">SUM($AA79,$AF79,AE79)</f>
        <v>72</v>
      </c>
      <c r="AL79" s="45"/>
    </row>
    <row r="80" spans="1:44" x14ac:dyDescent="0.2">
      <c r="A80" s="45" t="s">
        <v>259</v>
      </c>
      <c r="B80" s="39" t="s">
        <v>259</v>
      </c>
      <c r="C80" t="s">
        <v>281</v>
      </c>
      <c r="D80" s="28">
        <f>SUM(D61:D67)</f>
        <v>1602</v>
      </c>
      <c r="E80" s="71" t="s">
        <v>680</v>
      </c>
      <c r="F80">
        <v>2000</v>
      </c>
      <c r="P80" s="28">
        <f>SUM(P54:P58)</f>
        <v>0</v>
      </c>
      <c r="Q80" s="28">
        <f t="shared" ref="Q80:U80" si="35">SUM(Q54:Q58)</f>
        <v>1170</v>
      </c>
      <c r="R80" s="28">
        <f t="shared" si="35"/>
        <v>1170</v>
      </c>
      <c r="S80" s="28">
        <f t="shared" si="35"/>
        <v>1326</v>
      </c>
      <c r="T80" s="28">
        <f t="shared" si="35"/>
        <v>1326</v>
      </c>
      <c r="U80" s="28">
        <f t="shared" si="35"/>
        <v>1185.75</v>
      </c>
      <c r="V80" s="45">
        <f t="shared" si="18"/>
        <v>1185.75</v>
      </c>
      <c r="W80" s="45">
        <f t="shared" si="19"/>
        <v>2355.75</v>
      </c>
      <c r="X80" s="45">
        <f t="shared" si="20"/>
        <v>2355.75</v>
      </c>
      <c r="Y80" s="45">
        <f t="shared" si="21"/>
        <v>2511.75</v>
      </c>
      <c r="Z80" s="45">
        <f t="shared" si="15"/>
        <v>2511.75</v>
      </c>
      <c r="AA80" s="28">
        <f>SUM(AA54:AA58)</f>
        <v>0</v>
      </c>
      <c r="AB80" s="28">
        <f t="shared" ref="AB80:AF80" si="36">SUM(AB54:AB58)</f>
        <v>52</v>
      </c>
      <c r="AC80" s="28">
        <f t="shared" si="36"/>
        <v>52</v>
      </c>
      <c r="AD80" s="28">
        <f t="shared" si="36"/>
        <v>52</v>
      </c>
      <c r="AE80" s="28">
        <f t="shared" si="36"/>
        <v>52</v>
      </c>
      <c r="AF80" s="28">
        <f t="shared" si="36"/>
        <v>24</v>
      </c>
      <c r="AG80" s="45">
        <f t="shared" si="22"/>
        <v>24</v>
      </c>
      <c r="AH80" s="45">
        <f t="shared" si="23"/>
        <v>76</v>
      </c>
      <c r="AI80" s="45">
        <f t="shared" si="24"/>
        <v>76</v>
      </c>
      <c r="AJ80" s="45">
        <f t="shared" si="25"/>
        <v>76</v>
      </c>
      <c r="AK80" s="45">
        <f t="shared" si="26"/>
        <v>76</v>
      </c>
      <c r="AL80" s="45"/>
    </row>
    <row r="81" spans="1:51" x14ac:dyDescent="0.2">
      <c r="A81" s="45" t="s">
        <v>259</v>
      </c>
      <c r="B81" s="39" t="s">
        <v>259</v>
      </c>
      <c r="C81" t="s">
        <v>283</v>
      </c>
      <c r="D81" s="28">
        <f>SUM(D54:D58)</f>
        <v>7158</v>
      </c>
      <c r="E81" s="71" t="s">
        <v>679</v>
      </c>
      <c r="F81" s="41">
        <v>7000</v>
      </c>
      <c r="G81" s="41"/>
      <c r="H81" s="41"/>
      <c r="I81" s="41"/>
      <c r="J81" s="41"/>
      <c r="K81" s="41"/>
      <c r="L81" s="41"/>
      <c r="M81" s="41"/>
      <c r="N81" s="41"/>
      <c r="O81" s="41"/>
      <c r="P81" s="28">
        <f>SUM(P61:P67)</f>
        <v>0</v>
      </c>
      <c r="Q81" s="28">
        <f t="shared" ref="Q81:U81" si="37">SUM(Q61:Q67)</f>
        <v>390</v>
      </c>
      <c r="R81" s="28">
        <f t="shared" si="37"/>
        <v>390</v>
      </c>
      <c r="S81" s="28">
        <f t="shared" si="37"/>
        <v>234</v>
      </c>
      <c r="T81" s="28">
        <f t="shared" si="37"/>
        <v>234</v>
      </c>
      <c r="U81" s="28">
        <f t="shared" si="37"/>
        <v>209.25000000000003</v>
      </c>
      <c r="V81" s="45">
        <f t="shared" si="18"/>
        <v>209.25000000000003</v>
      </c>
      <c r="W81" s="45">
        <f t="shared" si="19"/>
        <v>599.25</v>
      </c>
      <c r="X81" s="45">
        <f t="shared" si="20"/>
        <v>599.25</v>
      </c>
      <c r="Y81" s="45">
        <f t="shared" si="21"/>
        <v>443.25</v>
      </c>
      <c r="Z81" s="45">
        <f t="shared" si="15"/>
        <v>443.25</v>
      </c>
      <c r="AA81" s="28">
        <f>SUM(AA61:AA67)</f>
        <v>0</v>
      </c>
      <c r="AB81" s="28">
        <f t="shared" ref="AB81:AF81" si="38">SUM(AB61:AB67)</f>
        <v>52</v>
      </c>
      <c r="AC81" s="28">
        <f t="shared" si="38"/>
        <v>52</v>
      </c>
      <c r="AD81" s="28">
        <f t="shared" si="38"/>
        <v>52</v>
      </c>
      <c r="AE81" s="28">
        <f t="shared" si="38"/>
        <v>52</v>
      </c>
      <c r="AF81" s="28">
        <f t="shared" si="38"/>
        <v>24</v>
      </c>
      <c r="AG81" s="45">
        <f t="shared" si="22"/>
        <v>24</v>
      </c>
      <c r="AH81" s="45">
        <f t="shared" si="23"/>
        <v>76</v>
      </c>
      <c r="AI81" s="45">
        <f t="shared" si="24"/>
        <v>76</v>
      </c>
      <c r="AJ81" s="45">
        <f t="shared" si="25"/>
        <v>76</v>
      </c>
      <c r="AK81" s="45">
        <f t="shared" si="26"/>
        <v>76</v>
      </c>
      <c r="AL81" s="45"/>
    </row>
    <row r="82" spans="1:51" x14ac:dyDescent="0.2">
      <c r="A82" s="45" t="s">
        <v>295</v>
      </c>
      <c r="B82" s="39" t="s">
        <v>295</v>
      </c>
      <c r="C82" s="37" t="s">
        <v>455</v>
      </c>
      <c r="D82" s="28">
        <f>SUMIF(Master_Rack!$AE$1:$AE$265,Constraints!$C82,Master_Rack!$L$1:$L$265)</f>
        <v>720</v>
      </c>
      <c r="E82" t="s">
        <v>676</v>
      </c>
      <c r="F82" s="62">
        <f>MIN(SUM(L82:M82),N82)</f>
        <v>920</v>
      </c>
      <c r="G82" s="62"/>
      <c r="H82" s="62"/>
      <c r="I82" s="62"/>
      <c r="J82" s="62"/>
      <c r="K82" s="62"/>
      <c r="L82" s="131">
        <f>SUMIFS($F$28:$F$67,$K$28:$K$67,$C82,$A$28:$A$67,"Air Zone")</f>
        <v>540</v>
      </c>
      <c r="M82" s="131">
        <f>SUMIFS($F$28:$F$67,$K$28:$K$67,$C82,$A$28:$A$67,"Liquid Loop")</f>
        <v>400</v>
      </c>
      <c r="N82" s="131">
        <f>SUMIFS($F$28:$F$67,$K$28:$K$67,$C82,$A$28:$A$67,"RPP(A)")</f>
        <v>920</v>
      </c>
      <c r="O82" s="131"/>
      <c r="P82" s="28">
        <f>SUMIF(Master_Rack!$AE$1:$AE$265,Constraints!$C82,Master_Rack!$AI$1:$AI$265)</f>
        <v>450</v>
      </c>
      <c r="Q82" s="28">
        <f>SUMIF(Master_Rack!$AE$1:$AE$265,Constraints!$C82,Master_Rack!$AL$1:$AL$265)</f>
        <v>0</v>
      </c>
      <c r="R82" s="28">
        <f>SUMIF(Master_Rack!$AE$1:$AE$265,Constraints!$C82,Master_Rack!$AO$1:$AO$265)</f>
        <v>0</v>
      </c>
      <c r="S82" s="28">
        <f>SUMIF(Master_Rack!$AE$1:$AE$265,Constraints!$C82,Master_Rack!$AR$1:$AR$265)</f>
        <v>0</v>
      </c>
      <c r="T82" s="28">
        <f>SUMIF(Master_Rack!$AE$1:$AE$265,Constraints!$C82,Master_Rack!$AU$1:$AU$265)</f>
        <v>0</v>
      </c>
      <c r="U82" s="28">
        <f>SUMIF(Master_Rack!$AE$1:$AE$265,Constraints!$C82,Master_Rack!$AX$1:$AX$265)</f>
        <v>0</v>
      </c>
      <c r="V82" s="45">
        <f t="shared" si="18"/>
        <v>450</v>
      </c>
      <c r="W82" s="45">
        <f t="shared" si="19"/>
        <v>450</v>
      </c>
      <c r="X82" s="45">
        <f t="shared" si="20"/>
        <v>450</v>
      </c>
      <c r="Y82" s="45">
        <f t="shared" si="21"/>
        <v>450</v>
      </c>
      <c r="Z82" s="45">
        <f t="shared" si="15"/>
        <v>450</v>
      </c>
      <c r="AA82" s="28">
        <f>COUNTIFS(Master_Rack!$AE$1:$AE$265,Constraints!$C82,Master_Rack!$AI$1:$AI$265, "&gt;0")</f>
        <v>36</v>
      </c>
      <c r="AB82" s="28">
        <f>COUNTIFS(Master_Rack!$AE$1:$AE$265,Constraints!$C82,Master_Rack!$AL$1:$AL$265, "&gt;0")</f>
        <v>0</v>
      </c>
      <c r="AC82" s="28">
        <f>COUNTIFS(Master_Rack!$AE$1:$AE$265,Constraints!$C82,Master_Rack!$AO$1:$AO$265, "&gt;0")</f>
        <v>0</v>
      </c>
      <c r="AD82" s="28">
        <f>COUNTIFS(Master_Rack!$AE$1:$AE$265,Constraints!$C82,Master_Rack!$AR$1:$AR$265, "&gt;0")</f>
        <v>0</v>
      </c>
      <c r="AE82" s="28">
        <f>COUNTIFS(Master_Rack!$AE$1:$AE$265,Constraints!$C82,Master_Rack!$AU$1:$AU$265, "&gt;0")</f>
        <v>0</v>
      </c>
      <c r="AF82" s="28">
        <f>COUNTIFS(Master_Rack!$AE$1:$AE$265,Constraints!$C82,Master_Rack!$AX$1:$AX$265, "&gt;0")</f>
        <v>0</v>
      </c>
      <c r="AG82" s="45">
        <f t="shared" si="22"/>
        <v>36</v>
      </c>
      <c r="AH82" s="45">
        <f t="shared" si="23"/>
        <v>36</v>
      </c>
      <c r="AI82" s="45">
        <f t="shared" si="24"/>
        <v>36</v>
      </c>
      <c r="AJ82" s="45">
        <f t="shared" si="25"/>
        <v>36</v>
      </c>
      <c r="AK82" s="45">
        <f t="shared" si="26"/>
        <v>36</v>
      </c>
      <c r="AL82" s="45"/>
      <c r="AX82" s="47">
        <f>L82+M82</f>
        <v>940</v>
      </c>
      <c r="AY82" s="47">
        <f>MIN(N82:O82)</f>
        <v>920</v>
      </c>
    </row>
    <row r="83" spans="1:51" x14ac:dyDescent="0.2">
      <c r="A83" s="45" t="s">
        <v>295</v>
      </c>
      <c r="B83" s="39" t="s">
        <v>295</v>
      </c>
      <c r="C83" s="37" t="s">
        <v>385</v>
      </c>
      <c r="D83" s="28">
        <f>SUMIF(Master_Rack!$AE$1:$AE$265,Constraints!$C83,Master_Rack!$L$1:$L$265)</f>
        <v>5400</v>
      </c>
      <c r="E83" t="s">
        <v>676</v>
      </c>
      <c r="F83" s="62">
        <f>MIN(SUM(L83:M83),N83,O83)</f>
        <v>3680</v>
      </c>
      <c r="G83" s="62"/>
      <c r="H83" s="62"/>
      <c r="I83" s="62"/>
      <c r="J83" s="62"/>
      <c r="K83" s="62"/>
      <c r="L83" s="131">
        <f>SUMIFS($F$28:$F$67,$K$28:$K$67,$C83,$A$28:$A$67,"Air Zone")</f>
        <v>840</v>
      </c>
      <c r="M83" s="131">
        <f>SUMIFS($F$28:$F$67,$K$28:$K$67,$C83,$A$28:$A$67,"Liquid Loop")</f>
        <v>3000</v>
      </c>
      <c r="N83" s="131">
        <f>SUMIFS($F$28:$F$67,$K$28:$K$67,$C83,$A$28:$A$67,"RPP(A)")</f>
        <v>3680</v>
      </c>
      <c r="O83" s="131">
        <f>SUMIFS($F$28:$F$67,$K$28:$K$67,$C83,$A$28:$A$67,"RPP(B)")</f>
        <v>5060</v>
      </c>
      <c r="P83" s="28">
        <f>SUMIF(Master_Rack!$AE$1:$AE$265,Constraints!$C83,Master_Rack!$AI$1:$AI$265)</f>
        <v>0</v>
      </c>
      <c r="Q83" s="28">
        <f>SUMIF(Master_Rack!$AE$1:$AE$265,Constraints!$C83,Master_Rack!$AL$1:$AL$265)</f>
        <v>1560</v>
      </c>
      <c r="R83" s="28">
        <f>SUMIF(Master_Rack!$AE$1:$AE$265,Constraints!$C83,Master_Rack!$AO$1:$AO$265)</f>
        <v>1560</v>
      </c>
      <c r="S83" s="28">
        <f>SUMIF(Master_Rack!$AE$1:$AE$265,Constraints!$C83,Master_Rack!$AR$1:$AR$265)</f>
        <v>1560</v>
      </c>
      <c r="T83" s="28">
        <f>SUMIF(Master_Rack!$AE$1:$AE$265,Constraints!$C83,Master_Rack!$AU$1:$AU$265)</f>
        <v>1560</v>
      </c>
      <c r="U83" s="28">
        <f>SUMIF(Master_Rack!$AE$1:$AE$265,Constraints!$C83,Master_Rack!$AX$1:$AX$265)</f>
        <v>0</v>
      </c>
      <c r="V83" s="45">
        <f t="shared" si="18"/>
        <v>0</v>
      </c>
      <c r="W83" s="45">
        <f t="shared" si="19"/>
        <v>1560</v>
      </c>
      <c r="X83" s="45">
        <f t="shared" si="20"/>
        <v>1560</v>
      </c>
      <c r="Y83" s="45">
        <f t="shared" si="21"/>
        <v>1560</v>
      </c>
      <c r="Z83" s="45">
        <f t="shared" si="15"/>
        <v>1560</v>
      </c>
      <c r="AA83" s="28">
        <f>COUNTIFS(Master_Rack!$AE$1:$AE$265,Constraints!$C83,Master_Rack!$AI$1:$AI$265, "&gt;0")</f>
        <v>0</v>
      </c>
      <c r="AB83" s="28">
        <f>COUNTIFS(Master_Rack!$AE$1:$AE$265,Constraints!$C83,Master_Rack!$AL$1:$AL$265, "&gt;0")</f>
        <v>52</v>
      </c>
      <c r="AC83" s="28">
        <f>COUNTIFS(Master_Rack!$AE$1:$AE$265,Constraints!$C83,Master_Rack!$AO$1:$AO$265, "&gt;0")</f>
        <v>52</v>
      </c>
      <c r="AD83" s="28">
        <f>COUNTIFS(Master_Rack!$AE$1:$AE$265,Constraints!$C83,Master_Rack!$AR$1:$AR$265, "&gt;0")</f>
        <v>52</v>
      </c>
      <c r="AE83" s="28">
        <f>COUNTIFS(Master_Rack!$AE$1:$AE$265,Constraints!$C83,Master_Rack!$AU$1:$AU$265, "&gt;0")</f>
        <v>52</v>
      </c>
      <c r="AF83" s="28">
        <f>COUNTIFS(Master_Rack!$AE$1:$AE$265,Constraints!$C83,Master_Rack!$AX$1:$AX$265, "&gt;0")</f>
        <v>0</v>
      </c>
      <c r="AG83" s="45">
        <f t="shared" si="22"/>
        <v>0</v>
      </c>
      <c r="AH83" s="45">
        <f t="shared" si="23"/>
        <v>52</v>
      </c>
      <c r="AI83" s="45">
        <f t="shared" si="24"/>
        <v>52</v>
      </c>
      <c r="AJ83" s="45">
        <f t="shared" si="25"/>
        <v>52</v>
      </c>
      <c r="AK83" s="45">
        <f t="shared" si="26"/>
        <v>52</v>
      </c>
      <c r="AL83" s="45"/>
      <c r="AX83" s="47">
        <f>L83+M83</f>
        <v>3840</v>
      </c>
      <c r="AY83" s="47">
        <f>MIN(N83:O83)</f>
        <v>3680</v>
      </c>
    </row>
    <row r="84" spans="1:51" x14ac:dyDescent="0.2">
      <c r="A84" s="45" t="s">
        <v>295</v>
      </c>
      <c r="B84" s="39" t="s">
        <v>295</v>
      </c>
      <c r="C84" s="37" t="s">
        <v>386</v>
      </c>
      <c r="D84" s="28">
        <f>SUMIF(Master_Rack!$AE$1:$AE$265,Constraints!$C84,Master_Rack!$L$1:$L$265)</f>
        <v>480</v>
      </c>
      <c r="E84" t="s">
        <v>676</v>
      </c>
      <c r="F84" s="62">
        <f>MIN(SUM(L84:M84),N84,O84)</f>
        <v>680</v>
      </c>
      <c r="G84" s="62"/>
      <c r="H84" s="62"/>
      <c r="I84" s="62"/>
      <c r="J84" s="62"/>
      <c r="K84" s="62"/>
      <c r="L84" s="131">
        <f>SUMIFS($F$28:$F$67,$K$28:$K$67,$C84,$A$28:$A$67,"Air Zone")</f>
        <v>180</v>
      </c>
      <c r="M84" s="131">
        <f>SUMIFS($F$28:$F$67,$K$28:$K$67,$C84,$A$28:$A$67,"Liquid Loop")</f>
        <v>500</v>
      </c>
      <c r="N84" s="131">
        <f>SUMIFS($F$28:$F$67,$K$28:$K$67,$C84,$A$28:$A$67,"RPP(A)")</f>
        <v>690</v>
      </c>
      <c r="O84" s="131">
        <f>SUMIFS($F$28:$F$67,$K$28:$K$67,$C84,$A$28:$A$67,"RPP(B)")</f>
        <v>690</v>
      </c>
      <c r="P84" s="28">
        <f>SUMIF(Master_Rack!$AE$1:$AE$265,Constraints!$C84,Master_Rack!$AI$1:$AI$265)</f>
        <v>0</v>
      </c>
      <c r="Q84" s="28">
        <f>SUMIF(Master_Rack!$AE$1:$AE$265,Constraints!$C84,Master_Rack!$AL$1:$AL$265)</f>
        <v>0</v>
      </c>
      <c r="R84" s="28">
        <f>SUMIF(Master_Rack!$AE$1:$AE$265,Constraints!$C84,Master_Rack!$AO$1:$AO$265)</f>
        <v>0</v>
      </c>
      <c r="S84" s="28">
        <f>SUMIF(Master_Rack!$AE$1:$AE$265,Constraints!$C84,Master_Rack!$AR$1:$AR$265)</f>
        <v>0</v>
      </c>
      <c r="T84" s="28">
        <f>SUMIF(Master_Rack!$AE$1:$AE$265,Constraints!$C84,Master_Rack!$AU$1:$AU$265)</f>
        <v>0</v>
      </c>
      <c r="U84" s="28">
        <f>SUMIF(Master_Rack!$AE$1:$AE$265,Constraints!$C84,Master_Rack!$AX$1:$AX$265)</f>
        <v>0</v>
      </c>
      <c r="V84" s="45">
        <f t="shared" si="18"/>
        <v>0</v>
      </c>
      <c r="W84" s="45">
        <f t="shared" si="19"/>
        <v>0</v>
      </c>
      <c r="X84" s="45">
        <f t="shared" si="20"/>
        <v>0</v>
      </c>
      <c r="Y84" s="45">
        <f t="shared" si="21"/>
        <v>0</v>
      </c>
      <c r="Z84" s="45">
        <f t="shared" si="15"/>
        <v>0</v>
      </c>
      <c r="AA84" s="28">
        <f>COUNTIFS(Master_Rack!$AE$1:$AE$265,Constraints!$C84,Master_Rack!$AI$1:$AI$265, "&gt;0")</f>
        <v>0</v>
      </c>
      <c r="AB84" s="28">
        <f>COUNTIFS(Master_Rack!$AE$1:$AE$265,Constraints!$C84,Master_Rack!$AL$1:$AL$265, "&gt;0")</f>
        <v>0</v>
      </c>
      <c r="AC84" s="28">
        <f>COUNTIFS(Master_Rack!$AE$1:$AE$265,Constraints!$C84,Master_Rack!$AO$1:$AO$265, "&gt;0")</f>
        <v>0</v>
      </c>
      <c r="AD84" s="28">
        <f>COUNTIFS(Master_Rack!$AE$1:$AE$265,Constraints!$C84,Master_Rack!$AR$1:$AR$265, "&gt;0")</f>
        <v>0</v>
      </c>
      <c r="AE84" s="28">
        <f>COUNTIFS(Master_Rack!$AE$1:$AE$265,Constraints!$C84,Master_Rack!$AU$1:$AU$265, "&gt;0")</f>
        <v>0</v>
      </c>
      <c r="AF84" s="28">
        <f>COUNTIFS(Master_Rack!$AE$1:$AE$265,Constraints!$C84,Master_Rack!$AX$1:$AX$265, "&gt;0")</f>
        <v>0</v>
      </c>
      <c r="AG84" s="45">
        <f t="shared" si="22"/>
        <v>0</v>
      </c>
      <c r="AH84" s="45">
        <f t="shared" si="23"/>
        <v>0</v>
      </c>
      <c r="AI84" s="45">
        <f t="shared" si="24"/>
        <v>0</v>
      </c>
      <c r="AJ84" s="45">
        <f t="shared" si="25"/>
        <v>0</v>
      </c>
      <c r="AK84" s="45">
        <f t="shared" si="26"/>
        <v>0</v>
      </c>
      <c r="AL84" s="45"/>
      <c r="AX84" s="47">
        <f t="shared" ref="AX84:AX86" si="39">L84+M84</f>
        <v>680</v>
      </c>
      <c r="AY84" s="47">
        <f>MIN(N84:O84)</f>
        <v>690</v>
      </c>
    </row>
    <row r="85" spans="1:51" x14ac:dyDescent="0.2">
      <c r="A85" s="45" t="s">
        <v>295</v>
      </c>
      <c r="B85" s="39" t="s">
        <v>295</v>
      </c>
      <c r="C85" s="37" t="s">
        <v>388</v>
      </c>
      <c r="D85" s="28">
        <f>SUMIF(Master_Rack!$AE$1:$AE$265,Constraints!$C85,Master_Rack!$L$1:$L$265)</f>
        <v>1440</v>
      </c>
      <c r="E85" t="s">
        <v>676</v>
      </c>
      <c r="F85" s="62">
        <f>MIN(SUM(L85:M85),N85,O85)</f>
        <v>1770</v>
      </c>
      <c r="G85" s="62"/>
      <c r="H85" s="62"/>
      <c r="I85" s="62"/>
      <c r="J85" s="62"/>
      <c r="K85" s="62"/>
      <c r="L85" s="131">
        <f>SUMIFS($F$28:$F$67,$K$28:$K$67,$C85,$A$28:$A$67,"Air Zone")</f>
        <v>270</v>
      </c>
      <c r="M85" s="131">
        <f>SUMIFS($F$28:$F$67,$K$28:$K$67,$C85,$A$28:$A$67,"Liquid Loop")</f>
        <v>1500</v>
      </c>
      <c r="N85" s="131">
        <f>SUMIFS($F$28:$F$67,$K$28:$K$67,$C85,$A$28:$A$67,"RPP(A)")</f>
        <v>1840</v>
      </c>
      <c r="O85" s="131">
        <f>SUMIFS($F$28:$F$67,$K$28:$K$67,$C85,$A$28:$A$67,"RPP(B)")</f>
        <v>1840</v>
      </c>
      <c r="P85" s="28">
        <f>SUMIF(Master_Rack!$AE$1:$AE$265,Constraints!$C85,Master_Rack!$AI$1:$AI$265)</f>
        <v>0</v>
      </c>
      <c r="Q85" s="28">
        <f>SUMIF(Master_Rack!$AE$1:$AE$265,Constraints!$C85,Master_Rack!$AL$1:$AL$265)</f>
        <v>0</v>
      </c>
      <c r="R85" s="28">
        <f>SUMIF(Master_Rack!$AE$1:$AE$265,Constraints!$C85,Master_Rack!$AO$1:$AO$265)</f>
        <v>0</v>
      </c>
      <c r="S85" s="28">
        <f>SUMIF(Master_Rack!$AE$1:$AE$265,Constraints!$C85,Master_Rack!$AR$1:$AR$265)</f>
        <v>0</v>
      </c>
      <c r="T85" s="28">
        <f>SUMIF(Master_Rack!$AE$1:$AE$265,Constraints!$C85,Master_Rack!$AU$1:$AU$265)</f>
        <v>0</v>
      </c>
      <c r="U85" s="28">
        <f>SUMIF(Master_Rack!$AE$1:$AE$265,Constraints!$C85,Master_Rack!$AX$1:$AX$265)</f>
        <v>1395</v>
      </c>
      <c r="V85" s="45">
        <f t="shared" si="18"/>
        <v>1395</v>
      </c>
      <c r="W85" s="45">
        <f t="shared" si="19"/>
        <v>1395</v>
      </c>
      <c r="X85" s="45">
        <f t="shared" si="20"/>
        <v>1395</v>
      </c>
      <c r="Y85" s="45">
        <f t="shared" si="21"/>
        <v>1395</v>
      </c>
      <c r="Z85" s="45">
        <f t="shared" si="15"/>
        <v>1395</v>
      </c>
      <c r="AA85" s="28">
        <f>COUNTIFS(Master_Rack!$AE$1:$AE$265,Constraints!$C85,Master_Rack!$AI$1:$AI$265, "&gt;0")</f>
        <v>0</v>
      </c>
      <c r="AB85" s="28">
        <f>COUNTIFS(Master_Rack!$AE$1:$AE$265,Constraints!$C85,Master_Rack!$AL$1:$AL$265, "&gt;0")</f>
        <v>0</v>
      </c>
      <c r="AC85" s="28">
        <f>COUNTIFS(Master_Rack!$AE$1:$AE$265,Constraints!$C85,Master_Rack!$AO$1:$AO$265, "&gt;0")</f>
        <v>0</v>
      </c>
      <c r="AD85" s="28">
        <f>COUNTIFS(Master_Rack!$AE$1:$AE$265,Constraints!$C85,Master_Rack!$AR$1:$AR$265, "&gt;0")</f>
        <v>0</v>
      </c>
      <c r="AE85" s="28">
        <f>COUNTIFS(Master_Rack!$AE$1:$AE$265,Constraints!$C85,Master_Rack!$AU$1:$AU$265, "&gt;0")</f>
        <v>0</v>
      </c>
      <c r="AF85" s="28">
        <f>COUNTIFS(Master_Rack!$AE$1:$AE$265,Constraints!$C85,Master_Rack!$AX$1:$AX$265, "&gt;0")</f>
        <v>24</v>
      </c>
      <c r="AG85" s="45">
        <f t="shared" si="22"/>
        <v>24</v>
      </c>
      <c r="AH85" s="45">
        <f t="shared" si="23"/>
        <v>24</v>
      </c>
      <c r="AI85" s="45">
        <f t="shared" si="24"/>
        <v>24</v>
      </c>
      <c r="AJ85" s="45">
        <f t="shared" si="25"/>
        <v>24</v>
      </c>
      <c r="AK85" s="45">
        <f t="shared" si="26"/>
        <v>24</v>
      </c>
      <c r="AL85" s="45"/>
      <c r="AX85" s="47">
        <f t="shared" si="39"/>
        <v>1770</v>
      </c>
      <c r="AY85" s="47">
        <f>MIN(N85:O85)</f>
        <v>1840</v>
      </c>
    </row>
    <row r="86" spans="1:51" x14ac:dyDescent="0.2">
      <c r="A86" s="45" t="s">
        <v>295</v>
      </c>
      <c r="B86" s="39" t="s">
        <v>295</v>
      </c>
      <c r="C86" s="37" t="s">
        <v>387</v>
      </c>
      <c r="D86" s="28">
        <f>SUMIF(Master_Rack!$AE$1:$AE$265,Constraints!$C86,Master_Rack!$L$1:$L$265)</f>
        <v>1440</v>
      </c>
      <c r="E86" t="s">
        <v>676</v>
      </c>
      <c r="F86" s="62">
        <f>MIN(SUM(L86:M86),N86,O86)</f>
        <v>1770</v>
      </c>
      <c r="G86" s="62"/>
      <c r="H86" s="62"/>
      <c r="I86" s="62"/>
      <c r="J86" s="62"/>
      <c r="K86" s="62"/>
      <c r="L86" s="131">
        <f>SUMIFS($F$28:$F$67,$K$28:$K$67,$C86,$A$28:$A$67,"Air Zone")</f>
        <v>270</v>
      </c>
      <c r="M86" s="131">
        <f>SUMIFS($F$28:$F$67,$K$28:$K$67,$C86,$A$28:$A$67,"Liquid Loop")</f>
        <v>1500</v>
      </c>
      <c r="N86" s="131">
        <f>SUMIFS($F$28:$F$67,$K$28:$K$67,$C86,$A$28:$A$67,"RPP(A)")</f>
        <v>1840</v>
      </c>
      <c r="O86" s="131">
        <f>SUMIFS($F$28:$F$67,$K$28:$K$67,$C86,$A$28:$A$67,"RPP(B)")</f>
        <v>1840</v>
      </c>
      <c r="P86" s="28">
        <f>SUMIF(Master_Rack!$AE$1:$AE$265,Constraints!$C86,Master_Rack!$AI$1:$AI$265)</f>
        <v>0</v>
      </c>
      <c r="Q86" s="28">
        <f>SUMIF(Master_Rack!$AE$1:$AE$265,Constraints!$C86,Master_Rack!$AL$1:$AL$265)</f>
        <v>0</v>
      </c>
      <c r="R86" s="28">
        <f>SUMIF(Master_Rack!$AE$1:$AE$265,Constraints!$C86,Master_Rack!$AO$1:$AO$265)</f>
        <v>0</v>
      </c>
      <c r="S86" s="28">
        <f>SUMIF(Master_Rack!$AE$1:$AE$265,Constraints!$C86,Master_Rack!$AR$1:$AR$265)</f>
        <v>0</v>
      </c>
      <c r="T86" s="28">
        <f>SUMIF(Master_Rack!$AE$1:$AE$265,Constraints!$C86,Master_Rack!$AU$1:$AU$265)</f>
        <v>0</v>
      </c>
      <c r="U86" s="28">
        <f>SUMIF(Master_Rack!$AE$1:$AE$265,Constraints!$C86,Master_Rack!$AX$1:$AX$265)</f>
        <v>0</v>
      </c>
      <c r="V86" s="45">
        <f t="shared" si="18"/>
        <v>0</v>
      </c>
      <c r="W86" s="45">
        <f t="shared" si="19"/>
        <v>0</v>
      </c>
      <c r="X86" s="45">
        <f t="shared" si="20"/>
        <v>0</v>
      </c>
      <c r="Y86" s="45">
        <f t="shared" si="21"/>
        <v>0</v>
      </c>
      <c r="Z86" s="45">
        <f t="shared" si="15"/>
        <v>0</v>
      </c>
      <c r="AA86" s="28">
        <f>COUNTIFS(Master_Rack!$AE$1:$AE$265,Constraints!$C86,Master_Rack!$AI$1:$AI$265, "&gt;0")</f>
        <v>0</v>
      </c>
      <c r="AB86" s="28">
        <f>COUNTIFS(Master_Rack!$AE$1:$AE$265,Constraints!$C86,Master_Rack!$AL$1:$AL$265, "&gt;0")</f>
        <v>0</v>
      </c>
      <c r="AC86" s="28">
        <f>COUNTIFS(Master_Rack!$AE$1:$AE$265,Constraints!$C86,Master_Rack!$AO$1:$AO$265, "&gt;0")</f>
        <v>0</v>
      </c>
      <c r="AD86" s="28">
        <f>COUNTIFS(Master_Rack!$AE$1:$AE$265,Constraints!$C86,Master_Rack!$AR$1:$AR$265, "&gt;0")</f>
        <v>0</v>
      </c>
      <c r="AE86" s="28">
        <f>COUNTIFS(Master_Rack!$AE$1:$AE$265,Constraints!$C86,Master_Rack!$AU$1:$AU$265, "&gt;0")</f>
        <v>0</v>
      </c>
      <c r="AF86" s="28">
        <f>COUNTIFS(Master_Rack!$AE$1:$AE$265,Constraints!$C86,Master_Rack!$AX$1:$AX$265, "&gt;0")</f>
        <v>0</v>
      </c>
      <c r="AG86" s="45">
        <f t="shared" si="22"/>
        <v>0</v>
      </c>
      <c r="AH86" s="45">
        <f t="shared" si="23"/>
        <v>0</v>
      </c>
      <c r="AI86" s="45">
        <f t="shared" si="24"/>
        <v>0</v>
      </c>
      <c r="AJ86" s="45">
        <f t="shared" si="25"/>
        <v>0</v>
      </c>
      <c r="AK86" s="45">
        <f t="shared" si="26"/>
        <v>0</v>
      </c>
      <c r="AL86" s="45"/>
      <c r="AX86" s="47">
        <f t="shared" si="39"/>
        <v>1770</v>
      </c>
      <c r="AY86" s="47">
        <f>MIN(N86:O86)</f>
        <v>1840</v>
      </c>
    </row>
    <row r="87" spans="1:51" x14ac:dyDescent="0.2">
      <c r="A87" s="42" t="s">
        <v>0</v>
      </c>
      <c r="B87" s="56" t="s">
        <v>0</v>
      </c>
      <c r="C87" s="44" t="s">
        <v>464</v>
      </c>
      <c r="D87" s="28"/>
      <c r="F87" s="117"/>
      <c r="G87" s="117"/>
      <c r="H87" s="117"/>
      <c r="I87" s="113" t="s">
        <v>662</v>
      </c>
      <c r="J87" s="44">
        <v>250</v>
      </c>
      <c r="L87" s="118"/>
      <c r="M87" s="118"/>
      <c r="N87" s="118"/>
      <c r="O87" s="118"/>
      <c r="P87" s="28"/>
      <c r="Q87" s="28"/>
      <c r="S87" s="28"/>
      <c r="T87" s="28"/>
      <c r="U87" s="28"/>
      <c r="V87" s="45"/>
      <c r="W87" s="45"/>
      <c r="X87" s="45"/>
      <c r="Y87" s="45"/>
      <c r="AA87" s="28"/>
      <c r="AB87" s="28"/>
      <c r="AC87" s="28"/>
      <c r="AD87" s="28"/>
      <c r="AE87" s="28"/>
      <c r="AG87" s="45"/>
      <c r="AH87" s="45"/>
      <c r="AI87" s="45"/>
      <c r="AJ87" s="45"/>
      <c r="AL87" s="45"/>
      <c r="AO87" s="45">
        <f t="shared" ref="AO87:AO93" si="40">INT($J87/(4.2*$AN52)+0.5)</f>
        <v>6</v>
      </c>
    </row>
    <row r="88" spans="1:51" x14ac:dyDescent="0.2">
      <c r="A88" s="42" t="s">
        <v>0</v>
      </c>
      <c r="B88" s="56" t="s">
        <v>0</v>
      </c>
      <c r="C88" s="44" t="s">
        <v>465</v>
      </c>
      <c r="D88" s="28"/>
      <c r="F88" s="117"/>
      <c r="G88" s="117"/>
      <c r="H88" s="117"/>
      <c r="I88" s="113" t="s">
        <v>662</v>
      </c>
      <c r="J88" s="44">
        <v>250</v>
      </c>
      <c r="L88" s="118"/>
      <c r="M88" s="118"/>
      <c r="N88" s="118"/>
      <c r="O88" s="118"/>
      <c r="P88" s="28"/>
      <c r="Q88" s="28"/>
      <c r="S88" s="28"/>
      <c r="T88" s="28"/>
      <c r="U88" s="28"/>
      <c r="V88" s="45"/>
      <c r="W88" s="45"/>
      <c r="X88" s="45"/>
      <c r="Y88" s="45"/>
      <c r="AA88" s="28"/>
      <c r="AB88" s="28"/>
      <c r="AC88" s="28"/>
      <c r="AD88" s="28"/>
      <c r="AE88" s="28"/>
      <c r="AG88" s="45"/>
      <c r="AH88" s="45"/>
      <c r="AI88" s="45"/>
      <c r="AJ88" s="45"/>
      <c r="AL88" s="45"/>
      <c r="AO88" s="45">
        <f t="shared" si="40"/>
        <v>6</v>
      </c>
    </row>
    <row r="89" spans="1:51" s="44" customFormat="1" x14ac:dyDescent="0.2">
      <c r="A89" s="42" t="s">
        <v>0</v>
      </c>
      <c r="B89" s="56" t="s">
        <v>0</v>
      </c>
      <c r="C89" s="44" t="s">
        <v>255</v>
      </c>
      <c r="G89" s="113"/>
      <c r="I89" s="113" t="s">
        <v>662</v>
      </c>
      <c r="J89" s="44">
        <v>2200</v>
      </c>
      <c r="X89" s="114"/>
      <c r="AB89" s="115"/>
      <c r="AO89" s="45">
        <f t="shared" si="40"/>
        <v>52</v>
      </c>
      <c r="AP89" s="108"/>
      <c r="AQ89" s="108"/>
      <c r="AR89" s="108"/>
      <c r="AS89" s="108"/>
    </row>
    <row r="90" spans="1:51" s="44" customFormat="1" x14ac:dyDescent="0.2">
      <c r="A90" s="42" t="s">
        <v>0</v>
      </c>
      <c r="B90" s="56" t="s">
        <v>0</v>
      </c>
      <c r="C90" s="44" t="s">
        <v>254</v>
      </c>
      <c r="G90" s="113"/>
      <c r="I90" s="113" t="s">
        <v>662</v>
      </c>
      <c r="J90" s="44">
        <v>1200</v>
      </c>
      <c r="X90" s="114"/>
      <c r="Y90" s="114"/>
      <c r="AB90" s="115"/>
      <c r="AO90" s="45">
        <f t="shared" si="40"/>
        <v>29</v>
      </c>
      <c r="AP90" s="108"/>
      <c r="AQ90" s="108"/>
      <c r="AR90" s="108"/>
      <c r="AS90" s="108"/>
    </row>
    <row r="91" spans="1:51" s="44" customFormat="1" x14ac:dyDescent="0.2">
      <c r="A91" s="42" t="s">
        <v>0</v>
      </c>
      <c r="B91" s="56" t="s">
        <v>0</v>
      </c>
      <c r="C91" s="44" t="s">
        <v>256</v>
      </c>
      <c r="G91" s="113"/>
      <c r="I91" s="113" t="s">
        <v>662</v>
      </c>
      <c r="J91" s="44">
        <v>600</v>
      </c>
      <c r="Y91" s="116"/>
      <c r="AO91" s="45">
        <f t="shared" si="40"/>
        <v>14</v>
      </c>
      <c r="AP91" s="108"/>
      <c r="AQ91" s="108"/>
      <c r="AR91" s="108"/>
      <c r="AS91" s="108"/>
    </row>
    <row r="92" spans="1:51" s="44" customFormat="1" x14ac:dyDescent="0.2">
      <c r="A92" s="42" t="s">
        <v>0</v>
      </c>
      <c r="B92" s="56" t="s">
        <v>0</v>
      </c>
      <c r="C92" s="44" t="s">
        <v>316</v>
      </c>
      <c r="G92" s="113"/>
      <c r="I92" s="113" t="s">
        <v>662</v>
      </c>
      <c r="J92" s="44">
        <v>1800</v>
      </c>
      <c r="AO92" s="45">
        <f t="shared" si="40"/>
        <v>43</v>
      </c>
      <c r="AP92" s="108"/>
      <c r="AQ92" s="108"/>
      <c r="AR92" s="108"/>
      <c r="AS92" s="108"/>
    </row>
    <row r="93" spans="1:51" s="44" customFormat="1" x14ac:dyDescent="0.2">
      <c r="A93" s="42" t="s">
        <v>0</v>
      </c>
      <c r="B93" s="56" t="s">
        <v>0</v>
      </c>
      <c r="C93" s="44" t="s">
        <v>315</v>
      </c>
      <c r="G93" s="113"/>
      <c r="I93" s="113" t="s">
        <v>662</v>
      </c>
      <c r="J93" s="44">
        <v>1800</v>
      </c>
      <c r="AO93" s="45">
        <f t="shared" si="40"/>
        <v>43</v>
      </c>
      <c r="AP93" s="108"/>
      <c r="AQ93" s="108"/>
      <c r="AR93" s="108"/>
      <c r="AS93" s="108"/>
    </row>
    <row r="94" spans="1:51" x14ac:dyDescent="0.2">
      <c r="A94" s="42" t="s">
        <v>669</v>
      </c>
      <c r="B94" s="56" t="s">
        <v>669</v>
      </c>
      <c r="C94" s="42" t="s">
        <v>261</v>
      </c>
      <c r="G94" s="71"/>
      <c r="H94" s="44"/>
      <c r="I94" s="71" t="s">
        <v>662</v>
      </c>
      <c r="J94" s="44">
        <v>100</v>
      </c>
      <c r="AU94" s="121">
        <f t="shared" ref="AU94:AU120" si="41">J94/(1.2*12)</f>
        <v>6.9444444444444455</v>
      </c>
    </row>
    <row r="95" spans="1:51" x14ac:dyDescent="0.2">
      <c r="A95" s="42" t="s">
        <v>669</v>
      </c>
      <c r="B95" s="56" t="s">
        <v>669</v>
      </c>
      <c r="C95" s="42" t="s">
        <v>262</v>
      </c>
      <c r="G95" s="71"/>
      <c r="H95" s="44"/>
      <c r="I95" s="71" t="s">
        <v>662</v>
      </c>
      <c r="J95" s="44">
        <v>100</v>
      </c>
      <c r="Y95" s="37"/>
      <c r="AU95" s="121">
        <f t="shared" si="41"/>
        <v>6.9444444444444455</v>
      </c>
    </row>
    <row r="96" spans="1:51" x14ac:dyDescent="0.2">
      <c r="A96" s="42" t="s">
        <v>669</v>
      </c>
      <c r="B96" s="56" t="s">
        <v>669</v>
      </c>
      <c r="C96" s="42" t="s">
        <v>263</v>
      </c>
      <c r="G96" s="71"/>
      <c r="H96" s="44"/>
      <c r="I96" s="71" t="s">
        <v>662</v>
      </c>
      <c r="J96" s="44">
        <v>100</v>
      </c>
      <c r="Y96" s="37"/>
      <c r="AU96" s="121">
        <f t="shared" si="41"/>
        <v>6.9444444444444455</v>
      </c>
    </row>
    <row r="97" spans="1:47" x14ac:dyDescent="0.2">
      <c r="A97" s="42" t="s">
        <v>669</v>
      </c>
      <c r="B97" s="56" t="s">
        <v>669</v>
      </c>
      <c r="C97" s="42" t="s">
        <v>264</v>
      </c>
      <c r="G97" s="71"/>
      <c r="H97" s="44"/>
      <c r="I97" s="71" t="s">
        <v>662</v>
      </c>
      <c r="J97" s="44">
        <v>100</v>
      </c>
      <c r="Y97" s="37"/>
      <c r="AU97" s="121">
        <f t="shared" si="41"/>
        <v>6.9444444444444455</v>
      </c>
    </row>
    <row r="98" spans="1:47" x14ac:dyDescent="0.2">
      <c r="A98" s="42" t="s">
        <v>669</v>
      </c>
      <c r="B98" s="56" t="s">
        <v>669</v>
      </c>
      <c r="C98" s="42" t="s">
        <v>265</v>
      </c>
      <c r="G98" s="71"/>
      <c r="H98" s="44"/>
      <c r="I98" s="71" t="s">
        <v>662</v>
      </c>
      <c r="J98" s="44">
        <v>100</v>
      </c>
      <c r="Y98" s="38"/>
      <c r="AU98" s="121">
        <f t="shared" si="41"/>
        <v>6.9444444444444455</v>
      </c>
    </row>
    <row r="99" spans="1:47" x14ac:dyDescent="0.2">
      <c r="A99" s="42" t="s">
        <v>669</v>
      </c>
      <c r="B99" s="56" t="s">
        <v>669</v>
      </c>
      <c r="C99" s="42" t="s">
        <v>267</v>
      </c>
      <c r="G99" s="71"/>
      <c r="H99" s="44"/>
      <c r="I99" s="71" t="s">
        <v>662</v>
      </c>
      <c r="J99" s="44">
        <v>100</v>
      </c>
      <c r="Y99" s="37"/>
      <c r="AU99" s="121">
        <f t="shared" si="41"/>
        <v>6.9444444444444455</v>
      </c>
    </row>
    <row r="100" spans="1:47" x14ac:dyDescent="0.2">
      <c r="A100" s="42" t="s">
        <v>669</v>
      </c>
      <c r="B100" s="56" t="s">
        <v>669</v>
      </c>
      <c r="C100" s="42" t="s">
        <v>268</v>
      </c>
      <c r="G100" s="71"/>
      <c r="H100" s="44"/>
      <c r="I100" s="71" t="s">
        <v>662</v>
      </c>
      <c r="J100" s="44">
        <v>100</v>
      </c>
      <c r="Y100" s="38"/>
      <c r="AU100" s="121">
        <f t="shared" si="41"/>
        <v>6.9444444444444455</v>
      </c>
    </row>
    <row r="101" spans="1:47" x14ac:dyDescent="0.2">
      <c r="A101" s="42" t="s">
        <v>669</v>
      </c>
      <c r="B101" s="56" t="s">
        <v>669</v>
      </c>
      <c r="C101" s="42" t="s">
        <v>269</v>
      </c>
      <c r="G101" s="71"/>
      <c r="H101" s="44"/>
      <c r="I101" s="71" t="s">
        <v>662</v>
      </c>
      <c r="J101" s="44">
        <v>100</v>
      </c>
      <c r="Y101" s="37"/>
      <c r="AU101" s="121">
        <f t="shared" si="41"/>
        <v>6.9444444444444455</v>
      </c>
    </row>
    <row r="102" spans="1:47" x14ac:dyDescent="0.2">
      <c r="A102" s="42" t="s">
        <v>669</v>
      </c>
      <c r="B102" s="56" t="s">
        <v>669</v>
      </c>
      <c r="C102" s="42" t="s">
        <v>270</v>
      </c>
      <c r="G102" s="71"/>
      <c r="H102" s="44"/>
      <c r="I102" s="71" t="s">
        <v>662</v>
      </c>
      <c r="J102" s="44">
        <v>100</v>
      </c>
      <c r="Y102" s="38"/>
      <c r="AU102" s="121">
        <f t="shared" si="41"/>
        <v>6.9444444444444455</v>
      </c>
    </row>
    <row r="103" spans="1:47" x14ac:dyDescent="0.2">
      <c r="A103" s="42" t="s">
        <v>669</v>
      </c>
      <c r="B103" s="56" t="s">
        <v>669</v>
      </c>
      <c r="C103" s="42" t="s">
        <v>271</v>
      </c>
      <c r="G103" s="71"/>
      <c r="H103" s="44"/>
      <c r="I103" s="71" t="s">
        <v>662</v>
      </c>
      <c r="J103" s="44">
        <v>100</v>
      </c>
      <c r="Y103" s="37"/>
      <c r="AU103" s="121">
        <f t="shared" si="41"/>
        <v>6.9444444444444455</v>
      </c>
    </row>
    <row r="104" spans="1:47" x14ac:dyDescent="0.2">
      <c r="A104" s="42" t="s">
        <v>669</v>
      </c>
      <c r="B104" s="56" t="s">
        <v>669</v>
      </c>
      <c r="C104" s="42" t="s">
        <v>272</v>
      </c>
      <c r="G104" s="71"/>
      <c r="H104" s="44"/>
      <c r="I104" s="71" t="s">
        <v>662</v>
      </c>
      <c r="J104" s="44">
        <v>100</v>
      </c>
      <c r="Y104" s="38"/>
      <c r="AU104" s="121">
        <f t="shared" si="41"/>
        <v>6.9444444444444455</v>
      </c>
    </row>
    <row r="105" spans="1:47" x14ac:dyDescent="0.2">
      <c r="A105" s="42" t="s">
        <v>669</v>
      </c>
      <c r="B105" s="56" t="s">
        <v>669</v>
      </c>
      <c r="C105" s="42" t="s">
        <v>273</v>
      </c>
      <c r="G105" s="71"/>
      <c r="H105" s="44"/>
      <c r="I105" s="71" t="s">
        <v>662</v>
      </c>
      <c r="J105" s="44">
        <v>100</v>
      </c>
      <c r="AU105" s="121">
        <f t="shared" si="41"/>
        <v>6.9444444444444455</v>
      </c>
    </row>
    <row r="106" spans="1:47" x14ac:dyDescent="0.2">
      <c r="A106" s="42" t="s">
        <v>669</v>
      </c>
      <c r="B106" s="56" t="s">
        <v>669</v>
      </c>
      <c r="C106" s="42" t="s">
        <v>274</v>
      </c>
      <c r="G106" s="71"/>
      <c r="H106" s="44"/>
      <c r="I106" s="71" t="s">
        <v>662</v>
      </c>
      <c r="J106" s="44">
        <v>100</v>
      </c>
      <c r="AU106" s="121">
        <f t="shared" si="41"/>
        <v>6.9444444444444455</v>
      </c>
    </row>
    <row r="107" spans="1:47" x14ac:dyDescent="0.2">
      <c r="A107" s="42" t="s">
        <v>669</v>
      </c>
      <c r="B107" s="56" t="s">
        <v>669</v>
      </c>
      <c r="C107" s="42" t="s">
        <v>275</v>
      </c>
      <c r="G107" s="71"/>
      <c r="H107" s="44"/>
      <c r="I107" s="71" t="s">
        <v>662</v>
      </c>
      <c r="J107" s="44">
        <v>100</v>
      </c>
      <c r="AU107" s="121">
        <f t="shared" si="41"/>
        <v>6.9444444444444455</v>
      </c>
    </row>
    <row r="108" spans="1:47" x14ac:dyDescent="0.2">
      <c r="A108" s="42" t="s">
        <v>669</v>
      </c>
      <c r="B108" s="56" t="s">
        <v>669</v>
      </c>
      <c r="C108" s="42" t="s">
        <v>276</v>
      </c>
      <c r="G108" s="71"/>
      <c r="H108" s="44"/>
      <c r="I108" s="71" t="s">
        <v>662</v>
      </c>
      <c r="J108" s="44">
        <v>100</v>
      </c>
      <c r="AU108" s="121">
        <f t="shared" si="41"/>
        <v>6.9444444444444455</v>
      </c>
    </row>
    <row r="109" spans="1:47" x14ac:dyDescent="0.2">
      <c r="A109" s="42" t="s">
        <v>669</v>
      </c>
      <c r="B109" s="56" t="s">
        <v>669</v>
      </c>
      <c r="C109" s="42" t="s">
        <v>277</v>
      </c>
      <c r="G109" s="71"/>
      <c r="H109" s="44"/>
      <c r="I109" s="71" t="s">
        <v>662</v>
      </c>
      <c r="J109" s="44">
        <v>100</v>
      </c>
      <c r="AU109" s="121">
        <f t="shared" si="41"/>
        <v>6.9444444444444455</v>
      </c>
    </row>
    <row r="110" spans="1:47" x14ac:dyDescent="0.2">
      <c r="A110" s="42" t="s">
        <v>669</v>
      </c>
      <c r="B110" s="56" t="s">
        <v>669</v>
      </c>
      <c r="C110" s="42" t="s">
        <v>278</v>
      </c>
      <c r="G110" s="71"/>
      <c r="H110" s="44"/>
      <c r="I110" s="71" t="s">
        <v>662</v>
      </c>
      <c r="J110" s="44">
        <v>100</v>
      </c>
      <c r="AU110" s="121">
        <f t="shared" si="41"/>
        <v>6.9444444444444455</v>
      </c>
    </row>
    <row r="111" spans="1:47" x14ac:dyDescent="0.2">
      <c r="A111" s="42" t="s">
        <v>669</v>
      </c>
      <c r="B111" s="56" t="s">
        <v>669</v>
      </c>
      <c r="C111" s="42" t="s">
        <v>279</v>
      </c>
      <c r="G111" s="71"/>
      <c r="H111" s="44"/>
      <c r="I111" s="71" t="s">
        <v>662</v>
      </c>
      <c r="J111" s="44">
        <v>100</v>
      </c>
      <c r="AU111" s="121">
        <f t="shared" si="41"/>
        <v>6.9444444444444455</v>
      </c>
    </row>
    <row r="112" spans="1:47" x14ac:dyDescent="0.2">
      <c r="A112" s="42" t="s">
        <v>669</v>
      </c>
      <c r="B112" s="56" t="s">
        <v>669</v>
      </c>
      <c r="C112" s="42" t="s">
        <v>280</v>
      </c>
      <c r="G112" s="71"/>
      <c r="H112" s="44"/>
      <c r="I112" s="71" t="s">
        <v>662</v>
      </c>
      <c r="J112" s="44">
        <v>100</v>
      </c>
      <c r="AU112" s="121">
        <f t="shared" si="41"/>
        <v>6.9444444444444455</v>
      </c>
    </row>
    <row r="113" spans="1:47" x14ac:dyDescent="0.2">
      <c r="A113" s="42" t="s">
        <v>669</v>
      </c>
      <c r="B113" s="56" t="s">
        <v>669</v>
      </c>
      <c r="C113" s="42" t="s">
        <v>371</v>
      </c>
      <c r="G113" s="71"/>
      <c r="H113" s="44"/>
      <c r="I113" s="71" t="s">
        <v>662</v>
      </c>
      <c r="J113" s="44">
        <v>100</v>
      </c>
      <c r="AU113" s="121">
        <f t="shared" si="41"/>
        <v>6.9444444444444455</v>
      </c>
    </row>
    <row r="114" spans="1:47" x14ac:dyDescent="0.2">
      <c r="A114" s="42" t="s">
        <v>669</v>
      </c>
      <c r="B114" s="56" t="s">
        <v>669</v>
      </c>
      <c r="C114" s="42" t="s">
        <v>372</v>
      </c>
      <c r="G114" s="71"/>
      <c r="H114" s="44"/>
      <c r="I114" s="71" t="s">
        <v>662</v>
      </c>
      <c r="J114" s="44">
        <v>100</v>
      </c>
      <c r="AU114" s="121">
        <f t="shared" si="41"/>
        <v>6.9444444444444455</v>
      </c>
    </row>
    <row r="115" spans="1:47" x14ac:dyDescent="0.2">
      <c r="A115" s="42" t="s">
        <v>669</v>
      </c>
      <c r="B115" s="56" t="s">
        <v>669</v>
      </c>
      <c r="C115" s="42" t="s">
        <v>373</v>
      </c>
      <c r="G115" s="71"/>
      <c r="H115" s="44"/>
      <c r="I115" s="71" t="s">
        <v>662</v>
      </c>
      <c r="J115" s="44">
        <v>100</v>
      </c>
      <c r="AU115" s="121">
        <f t="shared" si="41"/>
        <v>6.9444444444444455</v>
      </c>
    </row>
    <row r="116" spans="1:47" x14ac:dyDescent="0.2">
      <c r="A116" s="42" t="s">
        <v>669</v>
      </c>
      <c r="B116" s="56" t="s">
        <v>669</v>
      </c>
      <c r="C116" s="42" t="s">
        <v>374</v>
      </c>
      <c r="G116" s="71"/>
      <c r="H116" s="44"/>
      <c r="I116" s="71" t="s">
        <v>662</v>
      </c>
      <c r="J116" s="44">
        <v>100</v>
      </c>
      <c r="AU116" s="121">
        <f t="shared" si="41"/>
        <v>6.9444444444444455</v>
      </c>
    </row>
    <row r="117" spans="1:47" x14ac:dyDescent="0.2">
      <c r="A117" s="42" t="s">
        <v>669</v>
      </c>
      <c r="B117" s="56" t="s">
        <v>669</v>
      </c>
      <c r="C117" s="42" t="s">
        <v>375</v>
      </c>
      <c r="G117" s="71"/>
      <c r="H117" s="44"/>
      <c r="I117" s="71" t="s">
        <v>662</v>
      </c>
      <c r="J117" s="44">
        <v>100</v>
      </c>
      <c r="AU117" s="121">
        <f t="shared" si="41"/>
        <v>6.9444444444444455</v>
      </c>
    </row>
    <row r="118" spans="1:47" x14ac:dyDescent="0.2">
      <c r="A118" s="42" t="s">
        <v>669</v>
      </c>
      <c r="B118" s="56" t="s">
        <v>669</v>
      </c>
      <c r="C118" s="42" t="s">
        <v>376</v>
      </c>
      <c r="G118" s="71"/>
      <c r="H118" s="44"/>
      <c r="I118" s="71" t="s">
        <v>662</v>
      </c>
      <c r="J118" s="44">
        <v>100</v>
      </c>
      <c r="AU118" s="121">
        <f t="shared" si="41"/>
        <v>6.9444444444444455</v>
      </c>
    </row>
    <row r="119" spans="1:47" x14ac:dyDescent="0.2">
      <c r="A119" s="42" t="s">
        <v>669</v>
      </c>
      <c r="B119" s="56" t="s">
        <v>669</v>
      </c>
      <c r="C119" s="42" t="s">
        <v>377</v>
      </c>
      <c r="G119" s="71"/>
      <c r="H119" s="44"/>
      <c r="I119" s="71" t="s">
        <v>662</v>
      </c>
      <c r="J119" s="44">
        <v>100</v>
      </c>
      <c r="AU119" s="121">
        <f t="shared" si="41"/>
        <v>6.9444444444444455</v>
      </c>
    </row>
    <row r="120" spans="1:47" x14ac:dyDescent="0.2">
      <c r="A120" s="42" t="s">
        <v>669</v>
      </c>
      <c r="B120" s="56" t="s">
        <v>669</v>
      </c>
      <c r="C120" s="42" t="s">
        <v>378</v>
      </c>
      <c r="G120" s="71"/>
      <c r="H120" s="44"/>
      <c r="I120" s="71" t="s">
        <v>662</v>
      </c>
      <c r="J120" s="44">
        <v>100</v>
      </c>
      <c r="AU120" s="121">
        <f t="shared" si="41"/>
        <v>6.9444444444444455</v>
      </c>
    </row>
    <row r="121" spans="1:47" x14ac:dyDescent="0.2">
      <c r="A121" s="42"/>
      <c r="B121" s="56"/>
      <c r="C121" s="42"/>
      <c r="G121" s="71"/>
      <c r="H121" s="44"/>
      <c r="I121" s="71"/>
      <c r="J121" s="44"/>
      <c r="AU121" s="121"/>
    </row>
    <row r="122" spans="1:47" x14ac:dyDescent="0.2">
      <c r="A122" s="42"/>
      <c r="B122" s="56"/>
      <c r="G122" s="71"/>
    </row>
    <row r="123" spans="1:47" x14ac:dyDescent="0.2">
      <c r="A123" s="42"/>
      <c r="B123" s="56"/>
    </row>
    <row r="124" spans="1:47" x14ac:dyDescent="0.2">
      <c r="A124" s="42"/>
      <c r="B124" s="56"/>
    </row>
    <row r="125" spans="1:47" x14ac:dyDescent="0.2">
      <c r="C125" s="37"/>
    </row>
    <row r="126" spans="1:47" x14ac:dyDescent="0.2">
      <c r="C126" s="37"/>
    </row>
    <row r="127" spans="1:47" x14ac:dyDescent="0.2">
      <c r="C127" s="37"/>
    </row>
    <row r="128" spans="1:47" x14ac:dyDescent="0.2">
      <c r="C128" s="37"/>
    </row>
    <row r="129" spans="3:3" x14ac:dyDescent="0.2">
      <c r="C129" s="37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E9D6-89A1-1344-8657-34EABB5BD897}">
  <sheetPr>
    <tabColor theme="8"/>
  </sheetPr>
  <dimension ref="A1:R265"/>
  <sheetViews>
    <sheetView zoomScale="140" zoomScaleNormal="140" workbookViewId="0">
      <pane xSplit="1" ySplit="1" topLeftCell="B142" activePane="bottomRight" state="frozen"/>
      <selection pane="topRight" activeCell="C1" sqref="C1"/>
      <selection pane="bottomLeft" activeCell="A2" sqref="A2"/>
      <selection pane="bottomRight" activeCell="D25" sqref="D25"/>
    </sheetView>
  </sheetViews>
  <sheetFormatPr baseColWidth="10" defaultRowHeight="16" x14ac:dyDescent="0.2"/>
  <cols>
    <col min="1" max="1" width="17.5" customWidth="1"/>
    <col min="2" max="2" width="16.5" customWidth="1"/>
    <col min="3" max="4" width="14.83203125" customWidth="1"/>
    <col min="5" max="6" width="15.5" customWidth="1"/>
    <col min="7" max="9" width="14.6640625" customWidth="1"/>
    <col min="10" max="10" width="15.5" customWidth="1"/>
    <col min="11" max="12" width="15.6640625" customWidth="1"/>
    <col min="13" max="13" width="21" customWidth="1"/>
    <col min="14" max="14" width="25.1640625" customWidth="1"/>
    <col min="15" max="15" width="17" customWidth="1"/>
    <col min="16" max="16" width="13.83203125" customWidth="1"/>
    <col min="17" max="17" width="19" customWidth="1"/>
    <col min="18" max="18" width="13.83203125" customWidth="1"/>
  </cols>
  <sheetData>
    <row r="1" spans="1:18" s="40" customFormat="1" x14ac:dyDescent="0.2">
      <c r="A1" s="40" t="s">
        <v>2</v>
      </c>
      <c r="B1" s="40" t="s">
        <v>627</v>
      </c>
      <c r="C1" s="40" t="s">
        <v>628</v>
      </c>
      <c r="D1" s="40" t="s">
        <v>1073</v>
      </c>
      <c r="E1" s="40" t="s">
        <v>1072</v>
      </c>
      <c r="F1" s="40" t="s">
        <v>1074</v>
      </c>
      <c r="G1" s="40" t="s">
        <v>1075</v>
      </c>
      <c r="H1" s="40" t="s">
        <v>1077</v>
      </c>
      <c r="I1" s="40" t="s">
        <v>1076</v>
      </c>
      <c r="J1" s="40" t="s">
        <v>245</v>
      </c>
      <c r="K1" s="40" t="s">
        <v>1</v>
      </c>
      <c r="L1" s="40" t="s">
        <v>1080</v>
      </c>
      <c r="M1" s="40" t="s">
        <v>1078</v>
      </c>
      <c r="N1" s="40" t="s">
        <v>1079</v>
      </c>
      <c r="O1" s="46" t="s">
        <v>295</v>
      </c>
      <c r="P1" s="46" t="s">
        <v>383</v>
      </c>
      <c r="Q1" s="46" t="s">
        <v>391</v>
      </c>
      <c r="R1" s="46" t="s">
        <v>394</v>
      </c>
    </row>
    <row r="2" spans="1:18" x14ac:dyDescent="0.2">
      <c r="A2" s="38" t="s">
        <v>396</v>
      </c>
      <c r="B2" s="37" t="s">
        <v>448</v>
      </c>
      <c r="C2" t="s">
        <v>604</v>
      </c>
      <c r="D2" s="37" t="s">
        <v>452</v>
      </c>
      <c r="E2" t="s">
        <v>604</v>
      </c>
      <c r="F2" s="37" t="s">
        <v>454</v>
      </c>
      <c r="G2" t="s">
        <v>604</v>
      </c>
      <c r="H2" s="37" t="s">
        <v>74</v>
      </c>
      <c r="I2" t="s">
        <v>75</v>
      </c>
      <c r="J2" s="37" t="s">
        <v>446</v>
      </c>
      <c r="K2" t="s">
        <v>397</v>
      </c>
      <c r="L2" t="s">
        <v>764</v>
      </c>
      <c r="O2" t="s">
        <v>455</v>
      </c>
      <c r="P2" t="s">
        <v>456</v>
      </c>
      <c r="Q2" t="s">
        <v>457</v>
      </c>
      <c r="R2" t="s">
        <v>458</v>
      </c>
    </row>
    <row r="3" spans="1:18" x14ac:dyDescent="0.2">
      <c r="A3" s="38" t="s">
        <v>398</v>
      </c>
      <c r="B3" s="37" t="s">
        <v>449</v>
      </c>
      <c r="C3" t="s">
        <v>604</v>
      </c>
      <c r="D3" s="37" t="s">
        <v>452</v>
      </c>
      <c r="E3" t="s">
        <v>604</v>
      </c>
      <c r="F3" s="37" t="s">
        <v>454</v>
      </c>
      <c r="G3" t="s">
        <v>604</v>
      </c>
      <c r="H3" s="37" t="s">
        <v>74</v>
      </c>
      <c r="I3" t="s">
        <v>75</v>
      </c>
      <c r="J3" s="37" t="s">
        <v>446</v>
      </c>
      <c r="K3" t="s">
        <v>397</v>
      </c>
      <c r="L3" t="s">
        <v>764</v>
      </c>
      <c r="O3" t="s">
        <v>455</v>
      </c>
      <c r="P3" t="s">
        <v>456</v>
      </c>
      <c r="Q3" t="s">
        <v>457</v>
      </c>
      <c r="R3" t="s">
        <v>458</v>
      </c>
    </row>
    <row r="4" spans="1:18" x14ac:dyDescent="0.2">
      <c r="A4" s="38" t="s">
        <v>399</v>
      </c>
      <c r="B4" s="37" t="s">
        <v>450</v>
      </c>
      <c r="C4" t="s">
        <v>604</v>
      </c>
      <c r="D4" s="37" t="s">
        <v>453</v>
      </c>
      <c r="E4" t="s">
        <v>604</v>
      </c>
      <c r="F4" s="37" t="s">
        <v>454</v>
      </c>
      <c r="G4" t="s">
        <v>604</v>
      </c>
      <c r="H4" s="37" t="s">
        <v>74</v>
      </c>
      <c r="I4" t="s">
        <v>75</v>
      </c>
      <c r="J4" s="37" t="s">
        <v>446</v>
      </c>
      <c r="K4" t="s">
        <v>397</v>
      </c>
      <c r="L4" t="s">
        <v>764</v>
      </c>
      <c r="O4" t="s">
        <v>455</v>
      </c>
      <c r="P4" t="s">
        <v>456</v>
      </c>
      <c r="Q4" t="s">
        <v>457</v>
      </c>
      <c r="R4" t="s">
        <v>458</v>
      </c>
    </row>
    <row r="5" spans="1:18" x14ac:dyDescent="0.2">
      <c r="A5" s="38" t="s">
        <v>400</v>
      </c>
      <c r="B5" s="37" t="s">
        <v>451</v>
      </c>
      <c r="C5" t="s">
        <v>604</v>
      </c>
      <c r="D5" s="37" t="s">
        <v>453</v>
      </c>
      <c r="E5" t="s">
        <v>604</v>
      </c>
      <c r="F5" s="37" t="s">
        <v>454</v>
      </c>
      <c r="G5" t="s">
        <v>604</v>
      </c>
      <c r="H5" s="37" t="s">
        <v>74</v>
      </c>
      <c r="I5" t="s">
        <v>75</v>
      </c>
      <c r="J5" s="37" t="s">
        <v>446</v>
      </c>
      <c r="K5" t="s">
        <v>397</v>
      </c>
      <c r="L5" t="s">
        <v>764</v>
      </c>
      <c r="O5" t="s">
        <v>455</v>
      </c>
      <c r="P5" t="s">
        <v>456</v>
      </c>
      <c r="Q5" t="s">
        <v>457</v>
      </c>
      <c r="R5" t="s">
        <v>458</v>
      </c>
    </row>
    <row r="6" spans="1:18" x14ac:dyDescent="0.2">
      <c r="A6" s="38" t="s">
        <v>401</v>
      </c>
      <c r="B6" s="37" t="s">
        <v>448</v>
      </c>
      <c r="C6" t="s">
        <v>604</v>
      </c>
      <c r="D6" s="37" t="s">
        <v>452</v>
      </c>
      <c r="E6" t="s">
        <v>604</v>
      </c>
      <c r="F6" s="37" t="s">
        <v>454</v>
      </c>
      <c r="G6" t="s">
        <v>604</v>
      </c>
      <c r="H6" s="37" t="s">
        <v>74</v>
      </c>
      <c r="I6" t="s">
        <v>75</v>
      </c>
      <c r="J6" s="37" t="s">
        <v>446</v>
      </c>
      <c r="K6" t="s">
        <v>397</v>
      </c>
      <c r="L6" t="s">
        <v>764</v>
      </c>
      <c r="O6" t="s">
        <v>455</v>
      </c>
      <c r="P6" t="s">
        <v>456</v>
      </c>
      <c r="Q6" t="s">
        <v>457</v>
      </c>
      <c r="R6" t="s">
        <v>458</v>
      </c>
    </row>
    <row r="7" spans="1:18" x14ac:dyDescent="0.2">
      <c r="A7" s="38" t="s">
        <v>402</v>
      </c>
      <c r="B7" s="37" t="s">
        <v>449</v>
      </c>
      <c r="C7" t="s">
        <v>604</v>
      </c>
      <c r="D7" s="37" t="s">
        <v>452</v>
      </c>
      <c r="E7" t="s">
        <v>604</v>
      </c>
      <c r="F7" s="37" t="s">
        <v>454</v>
      </c>
      <c r="G7" t="s">
        <v>604</v>
      </c>
      <c r="H7" s="37" t="s">
        <v>74</v>
      </c>
      <c r="I7" t="s">
        <v>75</v>
      </c>
      <c r="J7" s="37" t="s">
        <v>446</v>
      </c>
      <c r="K7" t="s">
        <v>397</v>
      </c>
      <c r="L7" t="s">
        <v>764</v>
      </c>
      <c r="O7" t="s">
        <v>455</v>
      </c>
      <c r="P7" t="s">
        <v>456</v>
      </c>
      <c r="Q7" t="s">
        <v>457</v>
      </c>
      <c r="R7" t="s">
        <v>458</v>
      </c>
    </row>
    <row r="8" spans="1:18" x14ac:dyDescent="0.2">
      <c r="A8" s="38" t="s">
        <v>403</v>
      </c>
      <c r="B8" s="37" t="s">
        <v>450</v>
      </c>
      <c r="C8" t="s">
        <v>604</v>
      </c>
      <c r="D8" s="37" t="s">
        <v>453</v>
      </c>
      <c r="E8" t="s">
        <v>604</v>
      </c>
      <c r="F8" s="37" t="s">
        <v>454</v>
      </c>
      <c r="G8" t="s">
        <v>604</v>
      </c>
      <c r="H8" s="37" t="s">
        <v>74</v>
      </c>
      <c r="I8" t="s">
        <v>75</v>
      </c>
      <c r="J8" s="37" t="s">
        <v>446</v>
      </c>
      <c r="K8" t="s">
        <v>397</v>
      </c>
      <c r="L8" t="s">
        <v>764</v>
      </c>
      <c r="O8" t="s">
        <v>455</v>
      </c>
      <c r="P8" t="s">
        <v>456</v>
      </c>
      <c r="Q8" t="s">
        <v>457</v>
      </c>
      <c r="R8" t="s">
        <v>458</v>
      </c>
    </row>
    <row r="9" spans="1:18" x14ac:dyDescent="0.2">
      <c r="A9" s="38" t="s">
        <v>404</v>
      </c>
      <c r="B9" s="37" t="s">
        <v>451</v>
      </c>
      <c r="C9" t="s">
        <v>604</v>
      </c>
      <c r="D9" s="37" t="s">
        <v>453</v>
      </c>
      <c r="E9" t="s">
        <v>604</v>
      </c>
      <c r="F9" s="37" t="s">
        <v>454</v>
      </c>
      <c r="G9" t="s">
        <v>604</v>
      </c>
      <c r="H9" s="37" t="s">
        <v>74</v>
      </c>
      <c r="I9" t="s">
        <v>75</v>
      </c>
      <c r="J9" s="37" t="s">
        <v>446</v>
      </c>
      <c r="K9" t="s">
        <v>397</v>
      </c>
      <c r="L9" t="s">
        <v>764</v>
      </c>
      <c r="O9" t="s">
        <v>455</v>
      </c>
      <c r="P9" t="s">
        <v>456</v>
      </c>
      <c r="Q9" t="s">
        <v>457</v>
      </c>
      <c r="R9" t="s">
        <v>458</v>
      </c>
    </row>
    <row r="10" spans="1:18" x14ac:dyDescent="0.2">
      <c r="A10" s="38" t="s">
        <v>405</v>
      </c>
      <c r="B10" s="37" t="s">
        <v>448</v>
      </c>
      <c r="C10" t="s">
        <v>604</v>
      </c>
      <c r="D10" s="37" t="s">
        <v>452</v>
      </c>
      <c r="E10" t="s">
        <v>604</v>
      </c>
      <c r="F10" s="37" t="s">
        <v>454</v>
      </c>
      <c r="G10" t="s">
        <v>604</v>
      </c>
      <c r="H10" s="37" t="s">
        <v>74</v>
      </c>
      <c r="I10" t="s">
        <v>75</v>
      </c>
      <c r="J10" s="37" t="s">
        <v>446</v>
      </c>
      <c r="K10" t="s">
        <v>397</v>
      </c>
      <c r="L10" t="s">
        <v>764</v>
      </c>
      <c r="O10" t="s">
        <v>455</v>
      </c>
      <c r="P10" t="s">
        <v>456</v>
      </c>
      <c r="Q10" t="s">
        <v>457</v>
      </c>
      <c r="R10" t="s">
        <v>458</v>
      </c>
    </row>
    <row r="11" spans="1:18" x14ac:dyDescent="0.2">
      <c r="A11" s="38" t="s">
        <v>406</v>
      </c>
      <c r="B11" s="37" t="s">
        <v>449</v>
      </c>
      <c r="C11" t="s">
        <v>604</v>
      </c>
      <c r="D11" s="37" t="s">
        <v>452</v>
      </c>
      <c r="E11" t="s">
        <v>604</v>
      </c>
      <c r="F11" s="37" t="s">
        <v>454</v>
      </c>
      <c r="G11" t="s">
        <v>604</v>
      </c>
      <c r="H11" s="37" t="s">
        <v>74</v>
      </c>
      <c r="I11" t="s">
        <v>75</v>
      </c>
      <c r="J11" s="37" t="s">
        <v>446</v>
      </c>
      <c r="K11" t="s">
        <v>397</v>
      </c>
      <c r="L11" t="s">
        <v>764</v>
      </c>
      <c r="O11" t="s">
        <v>455</v>
      </c>
      <c r="P11" t="s">
        <v>456</v>
      </c>
      <c r="Q11" t="s">
        <v>457</v>
      </c>
      <c r="R11" t="s">
        <v>458</v>
      </c>
    </row>
    <row r="12" spans="1:18" x14ac:dyDescent="0.2">
      <c r="A12" s="38" t="s">
        <v>407</v>
      </c>
      <c r="B12" s="37" t="s">
        <v>450</v>
      </c>
      <c r="C12" t="s">
        <v>604</v>
      </c>
      <c r="D12" s="37" t="s">
        <v>453</v>
      </c>
      <c r="E12" t="s">
        <v>604</v>
      </c>
      <c r="F12" s="37" t="s">
        <v>454</v>
      </c>
      <c r="G12" t="s">
        <v>604</v>
      </c>
      <c r="H12" s="37" t="s">
        <v>74</v>
      </c>
      <c r="I12" t="s">
        <v>75</v>
      </c>
      <c r="J12" s="37" t="s">
        <v>446</v>
      </c>
      <c r="K12" t="s">
        <v>397</v>
      </c>
      <c r="L12" t="s">
        <v>764</v>
      </c>
      <c r="O12" t="s">
        <v>455</v>
      </c>
      <c r="P12" t="s">
        <v>456</v>
      </c>
      <c r="Q12" t="s">
        <v>457</v>
      </c>
      <c r="R12" t="s">
        <v>458</v>
      </c>
    </row>
    <row r="13" spans="1:18" x14ac:dyDescent="0.2">
      <c r="A13" s="38" t="s">
        <v>408</v>
      </c>
      <c r="B13" s="37" t="s">
        <v>451</v>
      </c>
      <c r="C13" t="s">
        <v>604</v>
      </c>
      <c r="D13" s="37" t="s">
        <v>453</v>
      </c>
      <c r="E13" t="s">
        <v>604</v>
      </c>
      <c r="F13" s="37" t="s">
        <v>454</v>
      </c>
      <c r="G13" t="s">
        <v>604</v>
      </c>
      <c r="H13" s="37" t="s">
        <v>74</v>
      </c>
      <c r="I13" t="s">
        <v>75</v>
      </c>
      <c r="J13" s="37" t="s">
        <v>446</v>
      </c>
      <c r="K13" t="s">
        <v>397</v>
      </c>
      <c r="L13" t="s">
        <v>764</v>
      </c>
      <c r="O13" t="s">
        <v>455</v>
      </c>
      <c r="P13" t="s">
        <v>456</v>
      </c>
      <c r="Q13" t="s">
        <v>457</v>
      </c>
      <c r="R13" t="s">
        <v>458</v>
      </c>
    </row>
    <row r="14" spans="1:18" x14ac:dyDescent="0.2">
      <c r="A14" s="38" t="s">
        <v>409</v>
      </c>
      <c r="B14" s="37" t="s">
        <v>448</v>
      </c>
      <c r="C14" t="s">
        <v>604</v>
      </c>
      <c r="D14" s="37" t="s">
        <v>452</v>
      </c>
      <c r="E14" t="s">
        <v>604</v>
      </c>
      <c r="F14" s="37" t="s">
        <v>454</v>
      </c>
      <c r="G14" t="s">
        <v>604</v>
      </c>
      <c r="H14" s="37" t="s">
        <v>74</v>
      </c>
      <c r="I14" t="s">
        <v>75</v>
      </c>
      <c r="J14" s="37" t="s">
        <v>446</v>
      </c>
      <c r="K14" t="s">
        <v>397</v>
      </c>
      <c r="L14" t="s">
        <v>764</v>
      </c>
      <c r="O14" t="s">
        <v>455</v>
      </c>
      <c r="P14" t="s">
        <v>456</v>
      </c>
      <c r="Q14" t="s">
        <v>457</v>
      </c>
      <c r="R14" t="s">
        <v>458</v>
      </c>
    </row>
    <row r="15" spans="1:18" x14ac:dyDescent="0.2">
      <c r="A15" s="38" t="s">
        <v>410</v>
      </c>
      <c r="B15" s="37" t="s">
        <v>449</v>
      </c>
      <c r="C15" t="s">
        <v>604</v>
      </c>
      <c r="D15" s="37" t="s">
        <v>452</v>
      </c>
      <c r="E15" t="s">
        <v>604</v>
      </c>
      <c r="F15" s="37" t="s">
        <v>454</v>
      </c>
      <c r="G15" t="s">
        <v>604</v>
      </c>
      <c r="H15" s="37" t="s">
        <v>74</v>
      </c>
      <c r="I15" t="s">
        <v>75</v>
      </c>
      <c r="J15" s="37" t="s">
        <v>446</v>
      </c>
      <c r="K15" t="s">
        <v>397</v>
      </c>
      <c r="L15" t="s">
        <v>764</v>
      </c>
      <c r="O15" t="s">
        <v>455</v>
      </c>
      <c r="P15" t="s">
        <v>456</v>
      </c>
      <c r="Q15" t="s">
        <v>457</v>
      </c>
      <c r="R15" t="s">
        <v>458</v>
      </c>
    </row>
    <row r="16" spans="1:18" x14ac:dyDescent="0.2">
      <c r="A16" s="38" t="s">
        <v>411</v>
      </c>
      <c r="B16" s="37" t="s">
        <v>450</v>
      </c>
      <c r="C16" t="s">
        <v>604</v>
      </c>
      <c r="D16" s="37" t="s">
        <v>453</v>
      </c>
      <c r="E16" t="s">
        <v>604</v>
      </c>
      <c r="F16" s="37" t="s">
        <v>454</v>
      </c>
      <c r="G16" t="s">
        <v>604</v>
      </c>
      <c r="H16" s="37" t="s">
        <v>74</v>
      </c>
      <c r="I16" t="s">
        <v>75</v>
      </c>
      <c r="J16" s="37" t="s">
        <v>446</v>
      </c>
      <c r="K16" t="s">
        <v>397</v>
      </c>
      <c r="L16" t="s">
        <v>764</v>
      </c>
      <c r="O16" t="s">
        <v>455</v>
      </c>
      <c r="P16" t="s">
        <v>456</v>
      </c>
      <c r="Q16" t="s">
        <v>457</v>
      </c>
      <c r="R16" t="s">
        <v>458</v>
      </c>
    </row>
    <row r="17" spans="1:18" x14ac:dyDescent="0.2">
      <c r="A17" s="38" t="s">
        <v>412</v>
      </c>
      <c r="B17" s="37" t="s">
        <v>451</v>
      </c>
      <c r="C17" t="s">
        <v>604</v>
      </c>
      <c r="D17" s="37" t="s">
        <v>453</v>
      </c>
      <c r="E17" t="s">
        <v>604</v>
      </c>
      <c r="F17" s="37" t="s">
        <v>454</v>
      </c>
      <c r="G17" t="s">
        <v>604</v>
      </c>
      <c r="H17" s="37" t="s">
        <v>74</v>
      </c>
      <c r="I17" t="s">
        <v>75</v>
      </c>
      <c r="J17" s="37" t="s">
        <v>446</v>
      </c>
      <c r="K17" t="s">
        <v>397</v>
      </c>
      <c r="L17" t="s">
        <v>764</v>
      </c>
      <c r="O17" t="s">
        <v>455</v>
      </c>
      <c r="P17" t="s">
        <v>456</v>
      </c>
      <c r="Q17" t="s">
        <v>457</v>
      </c>
      <c r="R17" t="s">
        <v>458</v>
      </c>
    </row>
    <row r="18" spans="1:18" x14ac:dyDescent="0.2">
      <c r="A18" s="38" t="s">
        <v>413</v>
      </c>
      <c r="B18" s="37" t="s">
        <v>448</v>
      </c>
      <c r="C18" t="s">
        <v>604</v>
      </c>
      <c r="D18" s="37" t="s">
        <v>452</v>
      </c>
      <c r="E18" t="s">
        <v>604</v>
      </c>
      <c r="F18" s="37" t="s">
        <v>454</v>
      </c>
      <c r="G18" t="s">
        <v>604</v>
      </c>
      <c r="H18" s="37" t="s">
        <v>74</v>
      </c>
      <c r="I18" t="s">
        <v>75</v>
      </c>
      <c r="J18" s="37" t="s">
        <v>446</v>
      </c>
      <c r="K18" t="s">
        <v>397</v>
      </c>
      <c r="L18" t="s">
        <v>764</v>
      </c>
      <c r="O18" t="s">
        <v>455</v>
      </c>
      <c r="P18" t="s">
        <v>456</v>
      </c>
      <c r="Q18" t="s">
        <v>457</v>
      </c>
      <c r="R18" t="s">
        <v>458</v>
      </c>
    </row>
    <row r="19" spans="1:18" x14ac:dyDescent="0.2">
      <c r="A19" s="38" t="s">
        <v>414</v>
      </c>
      <c r="B19" s="37" t="s">
        <v>449</v>
      </c>
      <c r="C19" t="s">
        <v>604</v>
      </c>
      <c r="D19" s="37" t="s">
        <v>452</v>
      </c>
      <c r="E19" t="s">
        <v>604</v>
      </c>
      <c r="F19" s="37" t="s">
        <v>454</v>
      </c>
      <c r="G19" t="s">
        <v>604</v>
      </c>
      <c r="H19" s="37" t="s">
        <v>74</v>
      </c>
      <c r="I19" t="s">
        <v>75</v>
      </c>
      <c r="J19" s="37" t="s">
        <v>446</v>
      </c>
      <c r="K19" t="s">
        <v>397</v>
      </c>
      <c r="L19" t="s">
        <v>764</v>
      </c>
      <c r="O19" t="s">
        <v>455</v>
      </c>
      <c r="P19" t="s">
        <v>456</v>
      </c>
      <c r="Q19" t="s">
        <v>457</v>
      </c>
      <c r="R19" t="s">
        <v>458</v>
      </c>
    </row>
    <row r="20" spans="1:18" x14ac:dyDescent="0.2">
      <c r="A20" s="38" t="s">
        <v>415</v>
      </c>
      <c r="B20" s="37" t="s">
        <v>450</v>
      </c>
      <c r="C20" t="s">
        <v>604</v>
      </c>
      <c r="D20" s="37" t="s">
        <v>453</v>
      </c>
      <c r="E20" t="s">
        <v>604</v>
      </c>
      <c r="F20" s="37" t="s">
        <v>454</v>
      </c>
      <c r="G20" t="s">
        <v>604</v>
      </c>
      <c r="H20" s="37" t="s">
        <v>74</v>
      </c>
      <c r="I20" t="s">
        <v>75</v>
      </c>
      <c r="J20" s="37" t="s">
        <v>446</v>
      </c>
      <c r="K20" t="s">
        <v>397</v>
      </c>
      <c r="L20" t="s">
        <v>764</v>
      </c>
      <c r="O20" t="s">
        <v>455</v>
      </c>
      <c r="P20" t="s">
        <v>456</v>
      </c>
      <c r="Q20" t="s">
        <v>457</v>
      </c>
      <c r="R20" t="s">
        <v>458</v>
      </c>
    </row>
    <row r="21" spans="1:18" x14ac:dyDescent="0.2">
      <c r="A21" s="38" t="s">
        <v>416</v>
      </c>
      <c r="B21" s="37" t="s">
        <v>451</v>
      </c>
      <c r="C21" t="s">
        <v>604</v>
      </c>
      <c r="D21" s="37" t="s">
        <v>453</v>
      </c>
      <c r="E21" t="s">
        <v>604</v>
      </c>
      <c r="F21" s="37" t="s">
        <v>454</v>
      </c>
      <c r="G21" t="s">
        <v>604</v>
      </c>
      <c r="H21" s="37" t="s">
        <v>74</v>
      </c>
      <c r="I21" t="s">
        <v>75</v>
      </c>
      <c r="J21" s="37" t="s">
        <v>446</v>
      </c>
      <c r="K21" t="s">
        <v>397</v>
      </c>
      <c r="L21" t="s">
        <v>764</v>
      </c>
      <c r="O21" t="s">
        <v>455</v>
      </c>
      <c r="P21" t="s">
        <v>456</v>
      </c>
      <c r="Q21" t="s">
        <v>457</v>
      </c>
      <c r="R21" t="s">
        <v>458</v>
      </c>
    </row>
    <row r="22" spans="1:18" x14ac:dyDescent="0.2">
      <c r="A22" s="38" t="s">
        <v>417</v>
      </c>
      <c r="B22" s="37" t="s">
        <v>448</v>
      </c>
      <c r="C22" t="s">
        <v>604</v>
      </c>
      <c r="D22" s="37" t="s">
        <v>452</v>
      </c>
      <c r="E22" t="s">
        <v>604</v>
      </c>
      <c r="F22" s="37" t="s">
        <v>454</v>
      </c>
      <c r="G22" t="s">
        <v>604</v>
      </c>
      <c r="H22" s="37" t="s">
        <v>74</v>
      </c>
      <c r="I22" t="s">
        <v>75</v>
      </c>
      <c r="J22" s="37" t="s">
        <v>446</v>
      </c>
      <c r="K22" t="s">
        <v>397</v>
      </c>
      <c r="L22" t="s">
        <v>764</v>
      </c>
      <c r="O22" t="s">
        <v>455</v>
      </c>
      <c r="P22" t="s">
        <v>456</v>
      </c>
      <c r="Q22" t="s">
        <v>457</v>
      </c>
      <c r="R22" t="s">
        <v>458</v>
      </c>
    </row>
    <row r="23" spans="1:18" x14ac:dyDescent="0.2">
      <c r="A23" s="38" t="s">
        <v>418</v>
      </c>
      <c r="B23" s="37" t="s">
        <v>449</v>
      </c>
      <c r="C23" t="s">
        <v>604</v>
      </c>
      <c r="D23" s="37" t="s">
        <v>452</v>
      </c>
      <c r="E23" t="s">
        <v>604</v>
      </c>
      <c r="F23" s="37" t="s">
        <v>454</v>
      </c>
      <c r="G23" t="s">
        <v>604</v>
      </c>
      <c r="H23" s="37" t="s">
        <v>74</v>
      </c>
      <c r="I23" t="s">
        <v>75</v>
      </c>
      <c r="J23" s="37" t="s">
        <v>446</v>
      </c>
      <c r="K23" t="s">
        <v>397</v>
      </c>
      <c r="L23" t="s">
        <v>764</v>
      </c>
      <c r="O23" t="s">
        <v>455</v>
      </c>
      <c r="P23" t="s">
        <v>456</v>
      </c>
      <c r="Q23" t="s">
        <v>457</v>
      </c>
      <c r="R23" t="s">
        <v>458</v>
      </c>
    </row>
    <row r="24" spans="1:18" x14ac:dyDescent="0.2">
      <c r="A24" s="38" t="s">
        <v>419</v>
      </c>
      <c r="B24" s="37" t="s">
        <v>450</v>
      </c>
      <c r="C24" t="s">
        <v>604</v>
      </c>
      <c r="D24" s="37" t="s">
        <v>453</v>
      </c>
      <c r="E24" t="s">
        <v>604</v>
      </c>
      <c r="F24" s="37" t="s">
        <v>454</v>
      </c>
      <c r="G24" t="s">
        <v>604</v>
      </c>
      <c r="H24" s="37" t="s">
        <v>74</v>
      </c>
      <c r="I24" t="s">
        <v>75</v>
      </c>
      <c r="J24" s="37" t="s">
        <v>446</v>
      </c>
      <c r="K24" t="s">
        <v>397</v>
      </c>
      <c r="L24" t="s">
        <v>764</v>
      </c>
      <c r="O24" t="s">
        <v>455</v>
      </c>
      <c r="P24" t="s">
        <v>456</v>
      </c>
      <c r="Q24" t="s">
        <v>457</v>
      </c>
      <c r="R24" t="s">
        <v>458</v>
      </c>
    </row>
    <row r="25" spans="1:18" x14ac:dyDescent="0.2">
      <c r="A25" s="38" t="s">
        <v>420</v>
      </c>
      <c r="B25" s="37" t="s">
        <v>451</v>
      </c>
      <c r="C25" t="s">
        <v>604</v>
      </c>
      <c r="D25" s="37" t="s">
        <v>453</v>
      </c>
      <c r="E25" t="s">
        <v>604</v>
      </c>
      <c r="F25" s="37" t="s">
        <v>454</v>
      </c>
      <c r="G25" t="s">
        <v>604</v>
      </c>
      <c r="H25" s="37" t="s">
        <v>74</v>
      </c>
      <c r="I25" t="s">
        <v>75</v>
      </c>
      <c r="J25" s="37" t="s">
        <v>446</v>
      </c>
      <c r="K25" t="s">
        <v>397</v>
      </c>
      <c r="L25" t="s">
        <v>764</v>
      </c>
      <c r="O25" t="s">
        <v>455</v>
      </c>
      <c r="P25" t="s">
        <v>456</v>
      </c>
      <c r="Q25" t="s">
        <v>457</v>
      </c>
      <c r="R25" t="s">
        <v>458</v>
      </c>
    </row>
    <row r="26" spans="1:18" x14ac:dyDescent="0.2">
      <c r="A26" s="38" t="s">
        <v>421</v>
      </c>
      <c r="B26" s="37" t="s">
        <v>448</v>
      </c>
      <c r="C26" t="s">
        <v>604</v>
      </c>
      <c r="D26" s="37" t="s">
        <v>452</v>
      </c>
      <c r="E26" t="s">
        <v>604</v>
      </c>
      <c r="F26" s="37" t="s">
        <v>454</v>
      </c>
      <c r="G26" t="s">
        <v>604</v>
      </c>
      <c r="H26" s="37" t="s">
        <v>74</v>
      </c>
      <c r="I26" t="s">
        <v>75</v>
      </c>
      <c r="J26" s="37" t="s">
        <v>447</v>
      </c>
      <c r="K26" t="s">
        <v>422</v>
      </c>
      <c r="L26" t="s">
        <v>764</v>
      </c>
      <c r="O26" t="s">
        <v>455</v>
      </c>
      <c r="P26" t="s">
        <v>456</v>
      </c>
      <c r="Q26" t="s">
        <v>457</v>
      </c>
      <c r="R26" t="s">
        <v>458</v>
      </c>
    </row>
    <row r="27" spans="1:18" x14ac:dyDescent="0.2">
      <c r="A27" s="38" t="s">
        <v>423</v>
      </c>
      <c r="B27" s="37" t="s">
        <v>449</v>
      </c>
      <c r="C27" t="s">
        <v>604</v>
      </c>
      <c r="D27" s="37" t="s">
        <v>452</v>
      </c>
      <c r="E27" t="s">
        <v>604</v>
      </c>
      <c r="F27" s="37" t="s">
        <v>454</v>
      </c>
      <c r="G27" t="s">
        <v>604</v>
      </c>
      <c r="H27" s="37" t="s">
        <v>74</v>
      </c>
      <c r="I27" t="s">
        <v>75</v>
      </c>
      <c r="J27" s="37" t="s">
        <v>447</v>
      </c>
      <c r="K27" t="s">
        <v>422</v>
      </c>
      <c r="L27" t="s">
        <v>764</v>
      </c>
      <c r="O27" t="s">
        <v>455</v>
      </c>
      <c r="P27" t="s">
        <v>456</v>
      </c>
      <c r="Q27" t="s">
        <v>457</v>
      </c>
      <c r="R27" t="s">
        <v>458</v>
      </c>
    </row>
    <row r="28" spans="1:18" x14ac:dyDescent="0.2">
      <c r="A28" s="38" t="s">
        <v>424</v>
      </c>
      <c r="B28" s="37" t="s">
        <v>450</v>
      </c>
      <c r="C28" t="s">
        <v>604</v>
      </c>
      <c r="D28" s="37" t="s">
        <v>453</v>
      </c>
      <c r="E28" t="s">
        <v>604</v>
      </c>
      <c r="F28" s="37" t="s">
        <v>454</v>
      </c>
      <c r="G28" t="s">
        <v>604</v>
      </c>
      <c r="H28" s="37" t="s">
        <v>74</v>
      </c>
      <c r="I28" t="s">
        <v>75</v>
      </c>
      <c r="J28" s="37" t="s">
        <v>447</v>
      </c>
      <c r="K28" t="s">
        <v>422</v>
      </c>
      <c r="L28" t="s">
        <v>764</v>
      </c>
      <c r="O28" t="s">
        <v>455</v>
      </c>
      <c r="P28" t="s">
        <v>456</v>
      </c>
      <c r="Q28" t="s">
        <v>457</v>
      </c>
      <c r="R28" t="s">
        <v>458</v>
      </c>
    </row>
    <row r="29" spans="1:18" x14ac:dyDescent="0.2">
      <c r="A29" s="38" t="s">
        <v>425</v>
      </c>
      <c r="B29" s="37" t="s">
        <v>451</v>
      </c>
      <c r="C29" t="s">
        <v>604</v>
      </c>
      <c r="D29" s="37" t="s">
        <v>453</v>
      </c>
      <c r="E29" t="s">
        <v>604</v>
      </c>
      <c r="F29" s="37" t="s">
        <v>454</v>
      </c>
      <c r="G29" t="s">
        <v>604</v>
      </c>
      <c r="H29" s="37" t="s">
        <v>74</v>
      </c>
      <c r="I29" t="s">
        <v>75</v>
      </c>
      <c r="J29" s="37" t="s">
        <v>447</v>
      </c>
      <c r="K29" t="s">
        <v>422</v>
      </c>
      <c r="L29" t="s">
        <v>764</v>
      </c>
      <c r="O29" t="s">
        <v>455</v>
      </c>
      <c r="P29" t="s">
        <v>456</v>
      </c>
      <c r="Q29" t="s">
        <v>457</v>
      </c>
      <c r="R29" t="s">
        <v>458</v>
      </c>
    </row>
    <row r="30" spans="1:18" x14ac:dyDescent="0.2">
      <c r="A30" s="38" t="s">
        <v>426</v>
      </c>
      <c r="B30" s="37" t="s">
        <v>448</v>
      </c>
      <c r="C30" t="s">
        <v>604</v>
      </c>
      <c r="D30" s="37" t="s">
        <v>452</v>
      </c>
      <c r="E30" t="s">
        <v>604</v>
      </c>
      <c r="F30" s="37" t="s">
        <v>454</v>
      </c>
      <c r="G30" t="s">
        <v>604</v>
      </c>
      <c r="H30" s="37" t="s">
        <v>74</v>
      </c>
      <c r="I30" t="s">
        <v>75</v>
      </c>
      <c r="J30" s="37" t="s">
        <v>447</v>
      </c>
      <c r="K30" t="s">
        <v>422</v>
      </c>
      <c r="L30" t="s">
        <v>764</v>
      </c>
      <c r="O30" t="s">
        <v>455</v>
      </c>
      <c r="P30" t="s">
        <v>456</v>
      </c>
      <c r="Q30" t="s">
        <v>457</v>
      </c>
      <c r="R30" t="s">
        <v>458</v>
      </c>
    </row>
    <row r="31" spans="1:18" x14ac:dyDescent="0.2">
      <c r="A31" s="38" t="s">
        <v>427</v>
      </c>
      <c r="B31" s="37" t="s">
        <v>449</v>
      </c>
      <c r="C31" t="s">
        <v>604</v>
      </c>
      <c r="D31" s="37" t="s">
        <v>452</v>
      </c>
      <c r="E31" t="s">
        <v>604</v>
      </c>
      <c r="F31" s="37" t="s">
        <v>454</v>
      </c>
      <c r="G31" t="s">
        <v>604</v>
      </c>
      <c r="H31" s="37" t="s">
        <v>74</v>
      </c>
      <c r="I31" t="s">
        <v>75</v>
      </c>
      <c r="J31" s="37" t="s">
        <v>447</v>
      </c>
      <c r="K31" t="s">
        <v>422</v>
      </c>
      <c r="L31" t="s">
        <v>764</v>
      </c>
      <c r="O31" t="s">
        <v>455</v>
      </c>
      <c r="P31" t="s">
        <v>456</v>
      </c>
      <c r="Q31" t="s">
        <v>457</v>
      </c>
      <c r="R31" t="s">
        <v>458</v>
      </c>
    </row>
    <row r="32" spans="1:18" x14ac:dyDescent="0.2">
      <c r="A32" s="38" t="s">
        <v>428</v>
      </c>
      <c r="B32" s="37" t="s">
        <v>450</v>
      </c>
      <c r="C32" t="s">
        <v>604</v>
      </c>
      <c r="D32" s="37" t="s">
        <v>453</v>
      </c>
      <c r="E32" t="s">
        <v>604</v>
      </c>
      <c r="F32" s="37" t="s">
        <v>454</v>
      </c>
      <c r="G32" t="s">
        <v>604</v>
      </c>
      <c r="H32" s="37" t="s">
        <v>74</v>
      </c>
      <c r="I32" t="s">
        <v>75</v>
      </c>
      <c r="J32" s="37" t="s">
        <v>447</v>
      </c>
      <c r="K32" t="s">
        <v>422</v>
      </c>
      <c r="L32" t="s">
        <v>764</v>
      </c>
      <c r="O32" t="s">
        <v>455</v>
      </c>
      <c r="P32" t="s">
        <v>456</v>
      </c>
      <c r="Q32" t="s">
        <v>457</v>
      </c>
      <c r="R32" t="s">
        <v>458</v>
      </c>
    </row>
    <row r="33" spans="1:18" x14ac:dyDescent="0.2">
      <c r="A33" s="38" t="s">
        <v>429</v>
      </c>
      <c r="B33" s="37" t="s">
        <v>451</v>
      </c>
      <c r="C33" t="s">
        <v>604</v>
      </c>
      <c r="D33" s="37" t="s">
        <v>453</v>
      </c>
      <c r="E33" t="s">
        <v>604</v>
      </c>
      <c r="F33" s="37" t="s">
        <v>454</v>
      </c>
      <c r="G33" t="s">
        <v>604</v>
      </c>
      <c r="H33" s="37" t="s">
        <v>74</v>
      </c>
      <c r="I33" t="s">
        <v>75</v>
      </c>
      <c r="J33" s="37" t="s">
        <v>447</v>
      </c>
      <c r="K33" t="s">
        <v>422</v>
      </c>
      <c r="L33" t="s">
        <v>764</v>
      </c>
      <c r="O33" t="s">
        <v>455</v>
      </c>
      <c r="P33" t="s">
        <v>456</v>
      </c>
      <c r="Q33" t="s">
        <v>457</v>
      </c>
      <c r="R33" t="s">
        <v>458</v>
      </c>
    </row>
    <row r="34" spans="1:18" x14ac:dyDescent="0.2">
      <c r="A34" s="38" t="s">
        <v>430</v>
      </c>
      <c r="B34" s="37" t="s">
        <v>448</v>
      </c>
      <c r="C34" t="s">
        <v>604</v>
      </c>
      <c r="D34" s="37" t="s">
        <v>452</v>
      </c>
      <c r="E34" t="s">
        <v>604</v>
      </c>
      <c r="F34" s="37" t="s">
        <v>454</v>
      </c>
      <c r="G34" t="s">
        <v>604</v>
      </c>
      <c r="H34" s="37" t="s">
        <v>74</v>
      </c>
      <c r="I34" t="s">
        <v>75</v>
      </c>
      <c r="J34" s="37" t="s">
        <v>447</v>
      </c>
      <c r="K34" t="s">
        <v>422</v>
      </c>
      <c r="L34" t="s">
        <v>764</v>
      </c>
      <c r="O34" t="s">
        <v>455</v>
      </c>
      <c r="P34" t="s">
        <v>456</v>
      </c>
      <c r="Q34" t="s">
        <v>457</v>
      </c>
      <c r="R34" t="s">
        <v>458</v>
      </c>
    </row>
    <row r="35" spans="1:18" x14ac:dyDescent="0.2">
      <c r="A35" s="38" t="s">
        <v>431</v>
      </c>
      <c r="B35" s="37" t="s">
        <v>449</v>
      </c>
      <c r="C35" t="s">
        <v>604</v>
      </c>
      <c r="D35" s="37" t="s">
        <v>452</v>
      </c>
      <c r="E35" t="s">
        <v>604</v>
      </c>
      <c r="F35" s="37" t="s">
        <v>454</v>
      </c>
      <c r="G35" t="s">
        <v>604</v>
      </c>
      <c r="H35" s="37" t="s">
        <v>74</v>
      </c>
      <c r="I35" t="s">
        <v>75</v>
      </c>
      <c r="J35" s="37" t="s">
        <v>447</v>
      </c>
      <c r="K35" t="s">
        <v>422</v>
      </c>
      <c r="L35" t="s">
        <v>764</v>
      </c>
      <c r="O35" t="s">
        <v>455</v>
      </c>
      <c r="P35" t="s">
        <v>456</v>
      </c>
      <c r="Q35" t="s">
        <v>457</v>
      </c>
      <c r="R35" t="s">
        <v>458</v>
      </c>
    </row>
    <row r="36" spans="1:18" x14ac:dyDescent="0.2">
      <c r="A36" s="38" t="s">
        <v>432</v>
      </c>
      <c r="B36" s="37" t="s">
        <v>450</v>
      </c>
      <c r="C36" t="s">
        <v>604</v>
      </c>
      <c r="D36" s="37" t="s">
        <v>453</v>
      </c>
      <c r="E36" t="s">
        <v>604</v>
      </c>
      <c r="F36" s="37" t="s">
        <v>454</v>
      </c>
      <c r="G36" t="s">
        <v>604</v>
      </c>
      <c r="H36" s="37" t="s">
        <v>74</v>
      </c>
      <c r="I36" t="s">
        <v>75</v>
      </c>
      <c r="J36" s="37" t="s">
        <v>447</v>
      </c>
      <c r="K36" t="s">
        <v>422</v>
      </c>
      <c r="L36" t="s">
        <v>764</v>
      </c>
      <c r="O36" t="s">
        <v>455</v>
      </c>
      <c r="P36" t="s">
        <v>456</v>
      </c>
      <c r="Q36" t="s">
        <v>457</v>
      </c>
      <c r="R36" t="s">
        <v>458</v>
      </c>
    </row>
    <row r="37" spans="1:18" x14ac:dyDescent="0.2">
      <c r="A37" s="38" t="s">
        <v>433</v>
      </c>
      <c r="B37" s="37" t="s">
        <v>451</v>
      </c>
      <c r="C37" t="s">
        <v>604</v>
      </c>
      <c r="D37" s="37" t="s">
        <v>453</v>
      </c>
      <c r="E37" t="s">
        <v>604</v>
      </c>
      <c r="F37" s="37" t="s">
        <v>454</v>
      </c>
      <c r="G37" t="s">
        <v>604</v>
      </c>
      <c r="H37" s="37" t="s">
        <v>74</v>
      </c>
      <c r="I37" t="s">
        <v>75</v>
      </c>
      <c r="J37" s="37" t="s">
        <v>447</v>
      </c>
      <c r="K37" t="s">
        <v>422</v>
      </c>
      <c r="L37" t="s">
        <v>764</v>
      </c>
      <c r="O37" t="s">
        <v>455</v>
      </c>
      <c r="P37" t="s">
        <v>456</v>
      </c>
      <c r="Q37" t="s">
        <v>457</v>
      </c>
      <c r="R37" t="s">
        <v>458</v>
      </c>
    </row>
    <row r="38" spans="1:18" x14ac:dyDescent="0.2">
      <c r="A38" s="38" t="s">
        <v>434</v>
      </c>
      <c r="B38" s="37" t="s">
        <v>448</v>
      </c>
      <c r="C38" t="s">
        <v>604</v>
      </c>
      <c r="D38" s="37" t="s">
        <v>452</v>
      </c>
      <c r="E38" t="s">
        <v>604</v>
      </c>
      <c r="F38" s="37" t="s">
        <v>454</v>
      </c>
      <c r="G38" t="s">
        <v>604</v>
      </c>
      <c r="H38" s="37" t="s">
        <v>74</v>
      </c>
      <c r="I38" t="s">
        <v>75</v>
      </c>
      <c r="J38" s="37" t="s">
        <v>447</v>
      </c>
      <c r="K38" t="s">
        <v>422</v>
      </c>
      <c r="L38" t="s">
        <v>764</v>
      </c>
      <c r="O38" t="s">
        <v>455</v>
      </c>
      <c r="P38" t="s">
        <v>456</v>
      </c>
      <c r="Q38" t="s">
        <v>457</v>
      </c>
      <c r="R38" t="s">
        <v>458</v>
      </c>
    </row>
    <row r="39" spans="1:18" x14ac:dyDescent="0.2">
      <c r="A39" s="38" t="s">
        <v>435</v>
      </c>
      <c r="B39" s="37" t="s">
        <v>449</v>
      </c>
      <c r="C39" t="s">
        <v>604</v>
      </c>
      <c r="D39" s="37" t="s">
        <v>452</v>
      </c>
      <c r="E39" t="s">
        <v>604</v>
      </c>
      <c r="F39" s="37" t="s">
        <v>454</v>
      </c>
      <c r="G39" t="s">
        <v>604</v>
      </c>
      <c r="H39" s="37" t="s">
        <v>74</v>
      </c>
      <c r="I39" t="s">
        <v>75</v>
      </c>
      <c r="J39" s="37" t="s">
        <v>447</v>
      </c>
      <c r="K39" t="s">
        <v>422</v>
      </c>
      <c r="L39" t="s">
        <v>764</v>
      </c>
      <c r="O39" t="s">
        <v>455</v>
      </c>
      <c r="P39" t="s">
        <v>456</v>
      </c>
      <c r="Q39" t="s">
        <v>457</v>
      </c>
      <c r="R39" t="s">
        <v>458</v>
      </c>
    </row>
    <row r="40" spans="1:18" x14ac:dyDescent="0.2">
      <c r="A40" s="38" t="s">
        <v>436</v>
      </c>
      <c r="B40" s="37" t="s">
        <v>450</v>
      </c>
      <c r="C40" t="s">
        <v>604</v>
      </c>
      <c r="D40" s="37" t="s">
        <v>453</v>
      </c>
      <c r="E40" t="s">
        <v>604</v>
      </c>
      <c r="F40" s="37" t="s">
        <v>454</v>
      </c>
      <c r="G40" t="s">
        <v>604</v>
      </c>
      <c r="H40" s="37" t="s">
        <v>74</v>
      </c>
      <c r="I40" t="s">
        <v>75</v>
      </c>
      <c r="J40" s="37" t="s">
        <v>447</v>
      </c>
      <c r="K40" t="s">
        <v>422</v>
      </c>
      <c r="L40" t="s">
        <v>764</v>
      </c>
      <c r="O40" t="s">
        <v>455</v>
      </c>
      <c r="P40" t="s">
        <v>456</v>
      </c>
      <c r="Q40" t="s">
        <v>457</v>
      </c>
      <c r="R40" t="s">
        <v>458</v>
      </c>
    </row>
    <row r="41" spans="1:18" x14ac:dyDescent="0.2">
      <c r="A41" s="38" t="s">
        <v>437</v>
      </c>
      <c r="B41" s="37" t="s">
        <v>451</v>
      </c>
      <c r="C41" t="s">
        <v>604</v>
      </c>
      <c r="D41" s="37" t="s">
        <v>453</v>
      </c>
      <c r="E41" t="s">
        <v>604</v>
      </c>
      <c r="F41" s="37" t="s">
        <v>454</v>
      </c>
      <c r="G41" t="s">
        <v>604</v>
      </c>
      <c r="H41" s="37" t="s">
        <v>74</v>
      </c>
      <c r="I41" t="s">
        <v>75</v>
      </c>
      <c r="J41" s="37" t="s">
        <v>447</v>
      </c>
      <c r="K41" t="s">
        <v>422</v>
      </c>
      <c r="L41" t="s">
        <v>764</v>
      </c>
      <c r="O41" t="s">
        <v>455</v>
      </c>
      <c r="P41" t="s">
        <v>456</v>
      </c>
      <c r="Q41" t="s">
        <v>457</v>
      </c>
      <c r="R41" t="s">
        <v>458</v>
      </c>
    </row>
    <row r="42" spans="1:18" x14ac:dyDescent="0.2">
      <c r="A42" s="38" t="s">
        <v>438</v>
      </c>
      <c r="B42" s="37" t="s">
        <v>448</v>
      </c>
      <c r="C42" t="s">
        <v>604</v>
      </c>
      <c r="D42" s="37" t="s">
        <v>452</v>
      </c>
      <c r="E42" t="s">
        <v>604</v>
      </c>
      <c r="F42" s="37" t="s">
        <v>454</v>
      </c>
      <c r="G42" t="s">
        <v>604</v>
      </c>
      <c r="H42" s="37" t="s">
        <v>74</v>
      </c>
      <c r="I42" t="s">
        <v>75</v>
      </c>
      <c r="J42" s="37" t="s">
        <v>447</v>
      </c>
      <c r="K42" t="s">
        <v>422</v>
      </c>
      <c r="L42" t="s">
        <v>764</v>
      </c>
      <c r="O42" t="s">
        <v>455</v>
      </c>
      <c r="P42" t="s">
        <v>456</v>
      </c>
      <c r="Q42" t="s">
        <v>457</v>
      </c>
      <c r="R42" t="s">
        <v>458</v>
      </c>
    </row>
    <row r="43" spans="1:18" x14ac:dyDescent="0.2">
      <c r="A43" s="38" t="s">
        <v>439</v>
      </c>
      <c r="B43" s="37" t="s">
        <v>449</v>
      </c>
      <c r="C43" t="s">
        <v>604</v>
      </c>
      <c r="D43" s="37" t="s">
        <v>452</v>
      </c>
      <c r="E43" t="s">
        <v>604</v>
      </c>
      <c r="F43" s="37" t="s">
        <v>454</v>
      </c>
      <c r="G43" t="s">
        <v>604</v>
      </c>
      <c r="H43" s="37" t="s">
        <v>74</v>
      </c>
      <c r="I43" t="s">
        <v>75</v>
      </c>
      <c r="J43" s="37" t="s">
        <v>447</v>
      </c>
      <c r="K43" t="s">
        <v>422</v>
      </c>
      <c r="L43" t="s">
        <v>764</v>
      </c>
      <c r="O43" t="s">
        <v>455</v>
      </c>
      <c r="P43" t="s">
        <v>456</v>
      </c>
      <c r="Q43" t="s">
        <v>457</v>
      </c>
      <c r="R43" t="s">
        <v>458</v>
      </c>
    </row>
    <row r="44" spans="1:18" x14ac:dyDescent="0.2">
      <c r="A44" s="38" t="s">
        <v>440</v>
      </c>
      <c r="B44" s="37" t="s">
        <v>450</v>
      </c>
      <c r="C44" t="s">
        <v>604</v>
      </c>
      <c r="D44" s="37" t="s">
        <v>453</v>
      </c>
      <c r="E44" t="s">
        <v>604</v>
      </c>
      <c r="F44" s="37" t="s">
        <v>454</v>
      </c>
      <c r="G44" t="s">
        <v>604</v>
      </c>
      <c r="H44" s="37" t="s">
        <v>74</v>
      </c>
      <c r="I44" t="s">
        <v>75</v>
      </c>
      <c r="J44" s="37" t="s">
        <v>447</v>
      </c>
      <c r="K44" t="s">
        <v>422</v>
      </c>
      <c r="L44" t="s">
        <v>764</v>
      </c>
      <c r="O44" t="s">
        <v>455</v>
      </c>
      <c r="P44" t="s">
        <v>456</v>
      </c>
      <c r="Q44" t="s">
        <v>457</v>
      </c>
      <c r="R44" t="s">
        <v>458</v>
      </c>
    </row>
    <row r="45" spans="1:18" x14ac:dyDescent="0.2">
      <c r="A45" s="38" t="s">
        <v>441</v>
      </c>
      <c r="B45" s="37" t="s">
        <v>451</v>
      </c>
      <c r="C45" t="s">
        <v>604</v>
      </c>
      <c r="D45" s="37" t="s">
        <v>453</v>
      </c>
      <c r="E45" t="s">
        <v>604</v>
      </c>
      <c r="F45" s="37" t="s">
        <v>454</v>
      </c>
      <c r="G45" t="s">
        <v>604</v>
      </c>
      <c r="H45" s="37" t="s">
        <v>74</v>
      </c>
      <c r="I45" t="s">
        <v>75</v>
      </c>
      <c r="J45" s="37" t="s">
        <v>447</v>
      </c>
      <c r="K45" t="s">
        <v>422</v>
      </c>
      <c r="L45" t="s">
        <v>764</v>
      </c>
      <c r="O45" t="s">
        <v>455</v>
      </c>
      <c r="P45" t="s">
        <v>456</v>
      </c>
      <c r="Q45" t="s">
        <v>457</v>
      </c>
      <c r="R45" t="s">
        <v>458</v>
      </c>
    </row>
    <row r="46" spans="1:18" x14ac:dyDescent="0.2">
      <c r="A46" s="38" t="s">
        <v>442</v>
      </c>
      <c r="B46" s="37" t="s">
        <v>448</v>
      </c>
      <c r="C46" t="s">
        <v>604</v>
      </c>
      <c r="D46" s="37" t="s">
        <v>452</v>
      </c>
      <c r="E46" t="s">
        <v>604</v>
      </c>
      <c r="F46" s="37" t="s">
        <v>454</v>
      </c>
      <c r="G46" t="s">
        <v>604</v>
      </c>
      <c r="H46" s="37" t="s">
        <v>74</v>
      </c>
      <c r="I46" t="s">
        <v>75</v>
      </c>
      <c r="J46" s="37" t="s">
        <v>447</v>
      </c>
      <c r="K46" t="s">
        <v>422</v>
      </c>
      <c r="L46" t="s">
        <v>764</v>
      </c>
      <c r="O46" t="s">
        <v>455</v>
      </c>
      <c r="P46" t="s">
        <v>456</v>
      </c>
      <c r="Q46" t="s">
        <v>457</v>
      </c>
      <c r="R46" t="s">
        <v>458</v>
      </c>
    </row>
    <row r="47" spans="1:18" x14ac:dyDescent="0.2">
      <c r="A47" s="38" t="s">
        <v>443</v>
      </c>
      <c r="B47" s="37" t="s">
        <v>449</v>
      </c>
      <c r="C47" t="s">
        <v>604</v>
      </c>
      <c r="D47" s="37" t="s">
        <v>452</v>
      </c>
      <c r="E47" t="s">
        <v>604</v>
      </c>
      <c r="F47" s="37" t="s">
        <v>454</v>
      </c>
      <c r="G47" t="s">
        <v>604</v>
      </c>
      <c r="H47" s="37" t="s">
        <v>74</v>
      </c>
      <c r="I47" t="s">
        <v>75</v>
      </c>
      <c r="J47" s="37" t="s">
        <v>447</v>
      </c>
      <c r="K47" t="s">
        <v>422</v>
      </c>
      <c r="L47" t="s">
        <v>764</v>
      </c>
      <c r="O47" t="s">
        <v>455</v>
      </c>
      <c r="P47" t="s">
        <v>456</v>
      </c>
      <c r="Q47" t="s">
        <v>457</v>
      </c>
      <c r="R47" t="s">
        <v>458</v>
      </c>
    </row>
    <row r="48" spans="1:18" x14ac:dyDescent="0.2">
      <c r="A48" s="38" t="s">
        <v>444</v>
      </c>
      <c r="B48" s="37" t="s">
        <v>450</v>
      </c>
      <c r="C48" t="s">
        <v>604</v>
      </c>
      <c r="D48" s="37" t="s">
        <v>453</v>
      </c>
      <c r="E48" t="s">
        <v>604</v>
      </c>
      <c r="F48" s="37" t="s">
        <v>454</v>
      </c>
      <c r="G48" t="s">
        <v>604</v>
      </c>
      <c r="H48" s="37" t="s">
        <v>74</v>
      </c>
      <c r="I48" t="s">
        <v>75</v>
      </c>
      <c r="J48" s="37" t="s">
        <v>447</v>
      </c>
      <c r="K48" t="s">
        <v>422</v>
      </c>
      <c r="L48" t="s">
        <v>764</v>
      </c>
      <c r="O48" t="s">
        <v>455</v>
      </c>
      <c r="P48" t="s">
        <v>456</v>
      </c>
      <c r="Q48" t="s">
        <v>457</v>
      </c>
      <c r="R48" t="s">
        <v>458</v>
      </c>
    </row>
    <row r="49" spans="1:18" x14ac:dyDescent="0.2">
      <c r="A49" s="38" t="s">
        <v>445</v>
      </c>
      <c r="B49" s="37" t="s">
        <v>451</v>
      </c>
      <c r="C49" t="s">
        <v>604</v>
      </c>
      <c r="D49" s="37" t="s">
        <v>453</v>
      </c>
      <c r="E49" t="s">
        <v>604</v>
      </c>
      <c r="F49" s="37" t="s">
        <v>454</v>
      </c>
      <c r="G49" t="s">
        <v>604</v>
      </c>
      <c r="H49" s="37" t="s">
        <v>74</v>
      </c>
      <c r="I49" t="s">
        <v>75</v>
      </c>
      <c r="J49" s="37" t="s">
        <v>447</v>
      </c>
      <c r="K49" t="s">
        <v>422</v>
      </c>
      <c r="L49" t="s">
        <v>764</v>
      </c>
      <c r="O49" t="s">
        <v>455</v>
      </c>
      <c r="P49" t="s">
        <v>456</v>
      </c>
      <c r="Q49" t="s">
        <v>457</v>
      </c>
      <c r="R49" t="s">
        <v>458</v>
      </c>
    </row>
    <row r="50" spans="1:18" x14ac:dyDescent="0.2">
      <c r="A50" s="38" t="s">
        <v>85</v>
      </c>
      <c r="B50" s="37" t="s">
        <v>27</v>
      </c>
      <c r="C50" t="s">
        <v>29</v>
      </c>
      <c r="D50" s="37" t="s">
        <v>70</v>
      </c>
      <c r="E50" t="s">
        <v>72</v>
      </c>
      <c r="F50" s="37" t="s">
        <v>293</v>
      </c>
      <c r="G50" t="s">
        <v>294</v>
      </c>
      <c r="H50" s="37" t="s">
        <v>74</v>
      </c>
      <c r="I50" t="s">
        <v>75</v>
      </c>
      <c r="J50" s="37" t="s">
        <v>248</v>
      </c>
      <c r="K50" t="s">
        <v>246</v>
      </c>
      <c r="M50" t="s">
        <v>281</v>
      </c>
      <c r="N50" t="s">
        <v>283</v>
      </c>
      <c r="O50" t="s">
        <v>385</v>
      </c>
      <c r="P50" t="s">
        <v>384</v>
      </c>
      <c r="Q50" t="s">
        <v>392</v>
      </c>
      <c r="R50" t="s">
        <v>395</v>
      </c>
    </row>
    <row r="51" spans="1:18" x14ac:dyDescent="0.2">
      <c r="A51" s="38" t="s">
        <v>86</v>
      </c>
      <c r="B51" s="37" t="s">
        <v>27</v>
      </c>
      <c r="C51" t="s">
        <v>29</v>
      </c>
      <c r="D51" s="37" t="s">
        <v>70</v>
      </c>
      <c r="E51" t="s">
        <v>72</v>
      </c>
      <c r="F51" s="37" t="s">
        <v>293</v>
      </c>
      <c r="G51" t="s">
        <v>294</v>
      </c>
      <c r="H51" s="37" t="s">
        <v>74</v>
      </c>
      <c r="I51" t="s">
        <v>75</v>
      </c>
      <c r="J51" s="37" t="s">
        <v>248</v>
      </c>
      <c r="K51" t="s">
        <v>246</v>
      </c>
      <c r="M51" t="s">
        <v>281</v>
      </c>
      <c r="N51" t="s">
        <v>283</v>
      </c>
      <c r="O51" t="s">
        <v>385</v>
      </c>
      <c r="P51" t="s">
        <v>384</v>
      </c>
      <c r="Q51" t="s">
        <v>392</v>
      </c>
      <c r="R51" t="s">
        <v>395</v>
      </c>
    </row>
    <row r="52" spans="1:18" x14ac:dyDescent="0.2">
      <c r="A52" s="38" t="s">
        <v>87</v>
      </c>
      <c r="B52" s="37" t="s">
        <v>27</v>
      </c>
      <c r="C52" t="s">
        <v>29</v>
      </c>
      <c r="D52" s="37" t="s">
        <v>70</v>
      </c>
      <c r="E52" t="s">
        <v>72</v>
      </c>
      <c r="F52" s="37" t="s">
        <v>293</v>
      </c>
      <c r="G52" t="s">
        <v>294</v>
      </c>
      <c r="H52" s="37" t="s">
        <v>74</v>
      </c>
      <c r="I52" t="s">
        <v>75</v>
      </c>
      <c r="J52" s="37" t="s">
        <v>248</v>
      </c>
      <c r="K52" t="s">
        <v>246</v>
      </c>
      <c r="M52" t="s">
        <v>281</v>
      </c>
      <c r="N52" t="s">
        <v>283</v>
      </c>
      <c r="O52" t="s">
        <v>385</v>
      </c>
      <c r="P52" t="s">
        <v>384</v>
      </c>
      <c r="Q52" t="s">
        <v>392</v>
      </c>
      <c r="R52" t="s">
        <v>395</v>
      </c>
    </row>
    <row r="53" spans="1:18" x14ac:dyDescent="0.2">
      <c r="A53" s="38" t="s">
        <v>88</v>
      </c>
      <c r="B53" s="37" t="s">
        <v>27</v>
      </c>
      <c r="C53" t="s">
        <v>29</v>
      </c>
      <c r="D53" s="37" t="s">
        <v>70</v>
      </c>
      <c r="E53" t="s">
        <v>72</v>
      </c>
      <c r="F53" s="37" t="s">
        <v>293</v>
      </c>
      <c r="G53" t="s">
        <v>294</v>
      </c>
      <c r="H53" s="37" t="s">
        <v>74</v>
      </c>
      <c r="I53" t="s">
        <v>75</v>
      </c>
      <c r="J53" s="37" t="s">
        <v>248</v>
      </c>
      <c r="K53" t="s">
        <v>246</v>
      </c>
      <c r="M53" t="s">
        <v>281</v>
      </c>
      <c r="N53" t="s">
        <v>283</v>
      </c>
      <c r="O53" t="s">
        <v>385</v>
      </c>
      <c r="P53" t="s">
        <v>384</v>
      </c>
      <c r="Q53" t="s">
        <v>392</v>
      </c>
      <c r="R53" t="s">
        <v>395</v>
      </c>
    </row>
    <row r="54" spans="1:18" x14ac:dyDescent="0.2">
      <c r="A54" s="38" t="s">
        <v>89</v>
      </c>
      <c r="B54" s="37" t="s">
        <v>30</v>
      </c>
      <c r="C54" t="s">
        <v>28</v>
      </c>
      <c r="D54" s="37" t="s">
        <v>70</v>
      </c>
      <c r="E54" t="s">
        <v>72</v>
      </c>
      <c r="F54" s="37" t="s">
        <v>293</v>
      </c>
      <c r="G54" t="s">
        <v>294</v>
      </c>
      <c r="H54" s="37" t="s">
        <v>74</v>
      </c>
      <c r="I54" t="s">
        <v>75</v>
      </c>
      <c r="J54" s="37" t="s">
        <v>248</v>
      </c>
      <c r="K54" t="s">
        <v>246</v>
      </c>
      <c r="M54" t="s">
        <v>281</v>
      </c>
      <c r="N54" t="s">
        <v>283</v>
      </c>
      <c r="O54" t="s">
        <v>385</v>
      </c>
      <c r="P54" t="s">
        <v>384</v>
      </c>
      <c r="Q54" t="s">
        <v>392</v>
      </c>
      <c r="R54" t="s">
        <v>395</v>
      </c>
    </row>
    <row r="55" spans="1:18" x14ac:dyDescent="0.2">
      <c r="A55" s="38" t="s">
        <v>90</v>
      </c>
      <c r="B55" s="37" t="s">
        <v>30</v>
      </c>
      <c r="C55" t="s">
        <v>28</v>
      </c>
      <c r="D55" s="37" t="s">
        <v>70</v>
      </c>
      <c r="E55" t="s">
        <v>72</v>
      </c>
      <c r="F55" s="37" t="s">
        <v>293</v>
      </c>
      <c r="G55" t="s">
        <v>294</v>
      </c>
      <c r="H55" s="37" t="s">
        <v>74</v>
      </c>
      <c r="I55" t="s">
        <v>75</v>
      </c>
      <c r="J55" s="37" t="s">
        <v>248</v>
      </c>
      <c r="K55" t="s">
        <v>246</v>
      </c>
      <c r="M55" t="s">
        <v>281</v>
      </c>
      <c r="N55" t="s">
        <v>283</v>
      </c>
      <c r="O55" t="s">
        <v>385</v>
      </c>
      <c r="P55" t="s">
        <v>384</v>
      </c>
      <c r="Q55" t="s">
        <v>392</v>
      </c>
      <c r="R55" t="s">
        <v>395</v>
      </c>
    </row>
    <row r="56" spans="1:18" x14ac:dyDescent="0.2">
      <c r="A56" s="38" t="s">
        <v>91</v>
      </c>
      <c r="B56" s="37" t="s">
        <v>30</v>
      </c>
      <c r="C56" t="s">
        <v>31</v>
      </c>
      <c r="D56" s="37" t="s">
        <v>70</v>
      </c>
      <c r="E56" t="s">
        <v>71</v>
      </c>
      <c r="F56" s="37" t="s">
        <v>293</v>
      </c>
      <c r="G56" t="s">
        <v>294</v>
      </c>
      <c r="H56" s="37" t="s">
        <v>74</v>
      </c>
      <c r="I56" t="s">
        <v>75</v>
      </c>
      <c r="J56" s="37" t="s">
        <v>248</v>
      </c>
      <c r="K56" t="s">
        <v>246</v>
      </c>
      <c r="M56" t="s">
        <v>281</v>
      </c>
      <c r="N56" t="s">
        <v>283</v>
      </c>
      <c r="O56" t="s">
        <v>385</v>
      </c>
      <c r="P56" t="s">
        <v>384</v>
      </c>
      <c r="Q56" t="s">
        <v>392</v>
      </c>
      <c r="R56" t="s">
        <v>395</v>
      </c>
    </row>
    <row r="57" spans="1:18" x14ac:dyDescent="0.2">
      <c r="A57" s="38" t="s">
        <v>92</v>
      </c>
      <c r="B57" s="37" t="s">
        <v>30</v>
      </c>
      <c r="C57" t="s">
        <v>31</v>
      </c>
      <c r="D57" s="37" t="s">
        <v>70</v>
      </c>
      <c r="E57" t="s">
        <v>71</v>
      </c>
      <c r="F57" s="37" t="s">
        <v>293</v>
      </c>
      <c r="G57" t="s">
        <v>294</v>
      </c>
      <c r="H57" s="37" t="s">
        <v>74</v>
      </c>
      <c r="I57" t="s">
        <v>75</v>
      </c>
      <c r="J57" s="37" t="s">
        <v>248</v>
      </c>
      <c r="K57" t="s">
        <v>246</v>
      </c>
      <c r="M57" t="s">
        <v>281</v>
      </c>
      <c r="N57" t="s">
        <v>283</v>
      </c>
      <c r="O57" t="s">
        <v>385</v>
      </c>
      <c r="P57" t="s">
        <v>384</v>
      </c>
      <c r="Q57" t="s">
        <v>392</v>
      </c>
      <c r="R57" t="s">
        <v>395</v>
      </c>
    </row>
    <row r="58" spans="1:18" x14ac:dyDescent="0.2">
      <c r="A58" s="38" t="s">
        <v>93</v>
      </c>
      <c r="B58" s="37" t="s">
        <v>27</v>
      </c>
      <c r="C58" t="s">
        <v>31</v>
      </c>
      <c r="D58" s="37" t="s">
        <v>70</v>
      </c>
      <c r="E58" t="s">
        <v>71</v>
      </c>
      <c r="F58" s="37" t="s">
        <v>293</v>
      </c>
      <c r="G58" t="s">
        <v>294</v>
      </c>
      <c r="H58" s="37" t="s">
        <v>74</v>
      </c>
      <c r="I58" t="s">
        <v>75</v>
      </c>
      <c r="J58" s="37" t="s">
        <v>248</v>
      </c>
      <c r="K58" t="s">
        <v>246</v>
      </c>
      <c r="M58" t="s">
        <v>281</v>
      </c>
      <c r="N58" t="s">
        <v>283</v>
      </c>
      <c r="O58" t="s">
        <v>385</v>
      </c>
      <c r="P58" t="s">
        <v>384</v>
      </c>
      <c r="Q58" t="s">
        <v>392</v>
      </c>
      <c r="R58" t="s">
        <v>395</v>
      </c>
    </row>
    <row r="59" spans="1:18" x14ac:dyDescent="0.2">
      <c r="A59" s="38" t="s">
        <v>94</v>
      </c>
      <c r="B59" s="37" t="s">
        <v>27</v>
      </c>
      <c r="C59" t="s">
        <v>31</v>
      </c>
      <c r="D59" s="37" t="s">
        <v>70</v>
      </c>
      <c r="E59" t="s">
        <v>71</v>
      </c>
      <c r="F59" s="37" t="s">
        <v>293</v>
      </c>
      <c r="G59" t="s">
        <v>294</v>
      </c>
      <c r="H59" s="37" t="s">
        <v>74</v>
      </c>
      <c r="I59" t="s">
        <v>75</v>
      </c>
      <c r="J59" s="37" t="s">
        <v>248</v>
      </c>
      <c r="K59" t="s">
        <v>246</v>
      </c>
      <c r="M59" t="s">
        <v>281</v>
      </c>
      <c r="N59" t="s">
        <v>283</v>
      </c>
      <c r="O59" t="s">
        <v>385</v>
      </c>
      <c r="P59" t="s">
        <v>384</v>
      </c>
      <c r="Q59" t="s">
        <v>392</v>
      </c>
      <c r="R59" t="s">
        <v>395</v>
      </c>
    </row>
    <row r="60" spans="1:18" x14ac:dyDescent="0.2">
      <c r="A60" s="38" t="s">
        <v>95</v>
      </c>
      <c r="B60" s="37" t="s">
        <v>27</v>
      </c>
      <c r="C60" t="s">
        <v>31</v>
      </c>
      <c r="D60" s="37" t="s">
        <v>70</v>
      </c>
      <c r="E60" t="s">
        <v>71</v>
      </c>
      <c r="F60" s="37" t="s">
        <v>293</v>
      </c>
      <c r="G60" t="s">
        <v>294</v>
      </c>
      <c r="H60" s="37" t="s">
        <v>74</v>
      </c>
      <c r="I60" t="s">
        <v>75</v>
      </c>
      <c r="J60" s="37" t="s">
        <v>248</v>
      </c>
      <c r="K60" t="s">
        <v>246</v>
      </c>
      <c r="M60" t="s">
        <v>281</v>
      </c>
      <c r="N60" t="s">
        <v>283</v>
      </c>
      <c r="O60" t="s">
        <v>385</v>
      </c>
      <c r="P60" t="s">
        <v>384</v>
      </c>
      <c r="Q60" t="s">
        <v>392</v>
      </c>
      <c r="R60" t="s">
        <v>395</v>
      </c>
    </row>
    <row r="61" spans="1:18" x14ac:dyDescent="0.2">
      <c r="A61" s="38" t="s">
        <v>96</v>
      </c>
      <c r="B61" s="37" t="s">
        <v>27</v>
      </c>
      <c r="C61" t="s">
        <v>31</v>
      </c>
      <c r="D61" s="37" t="s">
        <v>70</v>
      </c>
      <c r="E61" t="s">
        <v>71</v>
      </c>
      <c r="F61" s="37" t="s">
        <v>293</v>
      </c>
      <c r="G61" t="s">
        <v>294</v>
      </c>
      <c r="H61" s="37" t="s">
        <v>74</v>
      </c>
      <c r="I61" t="s">
        <v>75</v>
      </c>
      <c r="J61" s="37" t="s">
        <v>248</v>
      </c>
      <c r="K61" t="s">
        <v>246</v>
      </c>
      <c r="M61" t="s">
        <v>281</v>
      </c>
      <c r="N61" t="s">
        <v>283</v>
      </c>
      <c r="O61" t="s">
        <v>385</v>
      </c>
      <c r="P61" t="s">
        <v>384</v>
      </c>
      <c r="Q61" t="s">
        <v>392</v>
      </c>
      <c r="R61" t="s">
        <v>395</v>
      </c>
    </row>
    <row r="62" spans="1:18" x14ac:dyDescent="0.2">
      <c r="A62" s="38" t="s">
        <v>98</v>
      </c>
      <c r="B62" s="37" t="s">
        <v>30</v>
      </c>
      <c r="C62" t="s">
        <v>31</v>
      </c>
      <c r="D62" s="37" t="s">
        <v>70</v>
      </c>
      <c r="E62" t="s">
        <v>71</v>
      </c>
      <c r="F62" s="37" t="s">
        <v>293</v>
      </c>
      <c r="G62" t="s">
        <v>294</v>
      </c>
      <c r="H62" s="37" t="s">
        <v>74</v>
      </c>
      <c r="I62" t="s">
        <v>75</v>
      </c>
      <c r="J62" s="37" t="s">
        <v>248</v>
      </c>
      <c r="K62" t="s">
        <v>246</v>
      </c>
      <c r="M62" t="s">
        <v>281</v>
      </c>
      <c r="N62" t="s">
        <v>283</v>
      </c>
      <c r="O62" t="s">
        <v>385</v>
      </c>
      <c r="P62" t="s">
        <v>384</v>
      </c>
      <c r="Q62" t="s">
        <v>392</v>
      </c>
      <c r="R62" t="s">
        <v>395</v>
      </c>
    </row>
    <row r="63" spans="1:18" x14ac:dyDescent="0.2">
      <c r="A63" s="38" t="s">
        <v>99</v>
      </c>
      <c r="B63" s="37" t="s">
        <v>30</v>
      </c>
      <c r="C63" t="s">
        <v>31</v>
      </c>
      <c r="D63" s="37" t="s">
        <v>70</v>
      </c>
      <c r="E63" t="s">
        <v>71</v>
      </c>
      <c r="F63" s="37" t="s">
        <v>293</v>
      </c>
      <c r="G63" t="s">
        <v>294</v>
      </c>
      <c r="H63" s="37" t="s">
        <v>74</v>
      </c>
      <c r="I63" t="s">
        <v>75</v>
      </c>
      <c r="J63" s="37" t="s">
        <v>248</v>
      </c>
      <c r="K63" t="s">
        <v>246</v>
      </c>
      <c r="M63" t="s">
        <v>281</v>
      </c>
      <c r="N63" t="s">
        <v>283</v>
      </c>
      <c r="O63" t="s">
        <v>385</v>
      </c>
      <c r="P63" t="s">
        <v>384</v>
      </c>
      <c r="Q63" t="s">
        <v>392</v>
      </c>
      <c r="R63" t="s">
        <v>395</v>
      </c>
    </row>
    <row r="64" spans="1:18" x14ac:dyDescent="0.2">
      <c r="A64" s="38" t="s">
        <v>100</v>
      </c>
      <c r="B64" s="37" t="s">
        <v>30</v>
      </c>
      <c r="C64" t="s">
        <v>31</v>
      </c>
      <c r="D64" s="37" t="s">
        <v>70</v>
      </c>
      <c r="E64" t="s">
        <v>71</v>
      </c>
      <c r="F64" s="37" t="s">
        <v>293</v>
      </c>
      <c r="G64" t="s">
        <v>294</v>
      </c>
      <c r="H64" s="37" t="s">
        <v>74</v>
      </c>
      <c r="I64" t="s">
        <v>75</v>
      </c>
      <c r="J64" s="37" t="s">
        <v>248</v>
      </c>
      <c r="K64" t="s">
        <v>246</v>
      </c>
      <c r="M64" t="s">
        <v>281</v>
      </c>
      <c r="N64" t="s">
        <v>283</v>
      </c>
      <c r="O64" t="s">
        <v>385</v>
      </c>
      <c r="P64" t="s">
        <v>384</v>
      </c>
      <c r="Q64" t="s">
        <v>392</v>
      </c>
      <c r="R64" t="s">
        <v>395</v>
      </c>
    </row>
    <row r="65" spans="1:18" x14ac:dyDescent="0.2">
      <c r="A65" s="38" t="s">
        <v>101</v>
      </c>
      <c r="B65" s="37" t="s">
        <v>30</v>
      </c>
      <c r="C65" t="s">
        <v>31</v>
      </c>
      <c r="D65" s="37" t="s">
        <v>70</v>
      </c>
      <c r="E65" t="s">
        <v>71</v>
      </c>
      <c r="F65" s="37" t="s">
        <v>293</v>
      </c>
      <c r="G65" t="s">
        <v>294</v>
      </c>
      <c r="H65" s="37" t="s">
        <v>74</v>
      </c>
      <c r="I65" t="s">
        <v>75</v>
      </c>
      <c r="J65" s="37" t="s">
        <v>248</v>
      </c>
      <c r="K65" t="s">
        <v>246</v>
      </c>
      <c r="M65" t="s">
        <v>281</v>
      </c>
      <c r="N65" t="s">
        <v>283</v>
      </c>
      <c r="O65" t="s">
        <v>385</v>
      </c>
      <c r="P65" t="s">
        <v>384</v>
      </c>
      <c r="Q65" t="s">
        <v>392</v>
      </c>
      <c r="R65" t="s">
        <v>395</v>
      </c>
    </row>
    <row r="66" spans="1:18" x14ac:dyDescent="0.2">
      <c r="A66" s="38" t="s">
        <v>102</v>
      </c>
      <c r="B66" s="37" t="s">
        <v>27</v>
      </c>
      <c r="C66" t="s">
        <v>31</v>
      </c>
      <c r="D66" s="37" t="s">
        <v>70</v>
      </c>
      <c r="E66" t="s">
        <v>71</v>
      </c>
      <c r="F66" s="37" t="s">
        <v>293</v>
      </c>
      <c r="G66" t="s">
        <v>294</v>
      </c>
      <c r="H66" s="37" t="s">
        <v>74</v>
      </c>
      <c r="I66" t="s">
        <v>75</v>
      </c>
      <c r="J66" s="37" t="s">
        <v>248</v>
      </c>
      <c r="K66" t="s">
        <v>246</v>
      </c>
      <c r="M66" t="s">
        <v>281</v>
      </c>
      <c r="N66" t="s">
        <v>283</v>
      </c>
      <c r="O66" t="s">
        <v>385</v>
      </c>
      <c r="P66" t="s">
        <v>384</v>
      </c>
      <c r="Q66" t="s">
        <v>392</v>
      </c>
      <c r="R66" t="s">
        <v>395</v>
      </c>
    </row>
    <row r="67" spans="1:18" x14ac:dyDescent="0.2">
      <c r="A67" s="38" t="s">
        <v>103</v>
      </c>
      <c r="B67" s="37" t="s">
        <v>27</v>
      </c>
      <c r="C67" t="s">
        <v>31</v>
      </c>
      <c r="D67" s="37" t="s">
        <v>70</v>
      </c>
      <c r="E67" t="s">
        <v>71</v>
      </c>
      <c r="F67" s="37" t="s">
        <v>293</v>
      </c>
      <c r="G67" t="s">
        <v>294</v>
      </c>
      <c r="H67" s="37" t="s">
        <v>74</v>
      </c>
      <c r="I67" t="s">
        <v>75</v>
      </c>
      <c r="J67" s="37" t="s">
        <v>248</v>
      </c>
      <c r="K67" t="s">
        <v>246</v>
      </c>
      <c r="M67" t="s">
        <v>281</v>
      </c>
      <c r="N67" t="s">
        <v>283</v>
      </c>
      <c r="O67" t="s">
        <v>385</v>
      </c>
      <c r="P67" t="s">
        <v>384</v>
      </c>
      <c r="Q67" t="s">
        <v>392</v>
      </c>
      <c r="R67" t="s">
        <v>395</v>
      </c>
    </row>
    <row r="68" spans="1:18" x14ac:dyDescent="0.2">
      <c r="A68" s="38" t="s">
        <v>104</v>
      </c>
      <c r="B68" s="37" t="s">
        <v>27</v>
      </c>
      <c r="C68" t="s">
        <v>29</v>
      </c>
      <c r="D68" s="37" t="s">
        <v>70</v>
      </c>
      <c r="E68" t="s">
        <v>72</v>
      </c>
      <c r="F68" s="37" t="s">
        <v>293</v>
      </c>
      <c r="G68" t="s">
        <v>294</v>
      </c>
      <c r="H68" s="37" t="s">
        <v>74</v>
      </c>
      <c r="I68" t="s">
        <v>75</v>
      </c>
      <c r="J68" s="37" t="s">
        <v>248</v>
      </c>
      <c r="K68" t="s">
        <v>246</v>
      </c>
      <c r="M68" t="s">
        <v>281</v>
      </c>
      <c r="N68" t="s">
        <v>283</v>
      </c>
      <c r="O68" t="s">
        <v>385</v>
      </c>
      <c r="P68" t="s">
        <v>384</v>
      </c>
      <c r="Q68" t="s">
        <v>392</v>
      </c>
      <c r="R68" t="s">
        <v>395</v>
      </c>
    </row>
    <row r="69" spans="1:18" x14ac:dyDescent="0.2">
      <c r="A69" s="38" t="s">
        <v>105</v>
      </c>
      <c r="B69" s="37" t="s">
        <v>27</v>
      </c>
      <c r="C69" t="s">
        <v>29</v>
      </c>
      <c r="D69" s="37" t="s">
        <v>70</v>
      </c>
      <c r="E69" t="s">
        <v>72</v>
      </c>
      <c r="F69" s="37" t="s">
        <v>293</v>
      </c>
      <c r="G69" t="s">
        <v>294</v>
      </c>
      <c r="H69" s="37" t="s">
        <v>74</v>
      </c>
      <c r="I69" t="s">
        <v>75</v>
      </c>
      <c r="J69" s="37" t="s">
        <v>248</v>
      </c>
      <c r="K69" t="s">
        <v>246</v>
      </c>
      <c r="M69" t="s">
        <v>281</v>
      </c>
      <c r="N69" t="s">
        <v>283</v>
      </c>
      <c r="O69" t="s">
        <v>385</v>
      </c>
      <c r="P69" t="s">
        <v>384</v>
      </c>
      <c r="Q69" t="s">
        <v>392</v>
      </c>
      <c r="R69" t="s">
        <v>395</v>
      </c>
    </row>
    <row r="70" spans="1:18" x14ac:dyDescent="0.2">
      <c r="A70" s="38" t="s">
        <v>106</v>
      </c>
      <c r="B70" s="37" t="s">
        <v>30</v>
      </c>
      <c r="C70" t="s">
        <v>28</v>
      </c>
      <c r="D70" s="37" t="s">
        <v>70</v>
      </c>
      <c r="E70" t="s">
        <v>72</v>
      </c>
      <c r="F70" s="37" t="s">
        <v>293</v>
      </c>
      <c r="G70" t="s">
        <v>294</v>
      </c>
      <c r="H70" s="37" t="s">
        <v>74</v>
      </c>
      <c r="I70" t="s">
        <v>75</v>
      </c>
      <c r="J70" s="37" t="s">
        <v>248</v>
      </c>
      <c r="K70" t="s">
        <v>246</v>
      </c>
      <c r="M70" t="s">
        <v>281</v>
      </c>
      <c r="N70" t="s">
        <v>283</v>
      </c>
      <c r="O70" t="s">
        <v>385</v>
      </c>
      <c r="P70" t="s">
        <v>384</v>
      </c>
      <c r="Q70" t="s">
        <v>392</v>
      </c>
      <c r="R70" t="s">
        <v>395</v>
      </c>
    </row>
    <row r="71" spans="1:18" x14ac:dyDescent="0.2">
      <c r="A71" s="38" t="s">
        <v>107</v>
      </c>
      <c r="B71" s="37" t="s">
        <v>30</v>
      </c>
      <c r="C71" t="s">
        <v>28</v>
      </c>
      <c r="D71" s="37" t="s">
        <v>70</v>
      </c>
      <c r="E71" t="s">
        <v>72</v>
      </c>
      <c r="F71" s="37" t="s">
        <v>293</v>
      </c>
      <c r="G71" t="s">
        <v>294</v>
      </c>
      <c r="H71" s="37" t="s">
        <v>74</v>
      </c>
      <c r="I71" t="s">
        <v>75</v>
      </c>
      <c r="J71" s="37" t="s">
        <v>248</v>
      </c>
      <c r="K71" t="s">
        <v>246</v>
      </c>
      <c r="M71" t="s">
        <v>281</v>
      </c>
      <c r="N71" t="s">
        <v>283</v>
      </c>
      <c r="O71" t="s">
        <v>385</v>
      </c>
      <c r="P71" t="s">
        <v>384</v>
      </c>
      <c r="Q71" t="s">
        <v>392</v>
      </c>
      <c r="R71" t="s">
        <v>395</v>
      </c>
    </row>
    <row r="72" spans="1:18" x14ac:dyDescent="0.2">
      <c r="A72" s="38" t="s">
        <v>108</v>
      </c>
      <c r="B72" s="37" t="s">
        <v>30</v>
      </c>
      <c r="C72" t="s">
        <v>28</v>
      </c>
      <c r="D72" s="37" t="s">
        <v>70</v>
      </c>
      <c r="E72" t="s">
        <v>72</v>
      </c>
      <c r="F72" s="37" t="s">
        <v>293</v>
      </c>
      <c r="G72" t="s">
        <v>294</v>
      </c>
      <c r="H72" s="37" t="s">
        <v>74</v>
      </c>
      <c r="I72" t="s">
        <v>75</v>
      </c>
      <c r="J72" s="37" t="s">
        <v>248</v>
      </c>
      <c r="K72" t="s">
        <v>246</v>
      </c>
      <c r="M72" t="s">
        <v>281</v>
      </c>
      <c r="N72" t="s">
        <v>283</v>
      </c>
      <c r="O72" t="s">
        <v>385</v>
      </c>
      <c r="P72" t="s">
        <v>384</v>
      </c>
      <c r="Q72" t="s">
        <v>392</v>
      </c>
      <c r="R72" t="s">
        <v>395</v>
      </c>
    </row>
    <row r="73" spans="1:18" x14ac:dyDescent="0.2">
      <c r="A73" s="38" t="s">
        <v>109</v>
      </c>
      <c r="B73" s="37" t="s">
        <v>30</v>
      </c>
      <c r="C73" t="s">
        <v>28</v>
      </c>
      <c r="D73" s="37" t="s">
        <v>70</v>
      </c>
      <c r="E73" t="s">
        <v>72</v>
      </c>
      <c r="F73" s="37" t="s">
        <v>293</v>
      </c>
      <c r="G73" t="s">
        <v>294</v>
      </c>
      <c r="H73" s="37" t="s">
        <v>74</v>
      </c>
      <c r="I73" t="s">
        <v>75</v>
      </c>
      <c r="J73" s="37" t="s">
        <v>248</v>
      </c>
      <c r="K73" t="s">
        <v>246</v>
      </c>
      <c r="M73" t="s">
        <v>281</v>
      </c>
      <c r="N73" t="s">
        <v>283</v>
      </c>
      <c r="O73" t="s">
        <v>385</v>
      </c>
      <c r="P73" t="s">
        <v>384</v>
      </c>
      <c r="Q73" t="s">
        <v>392</v>
      </c>
      <c r="R73" t="s">
        <v>395</v>
      </c>
    </row>
    <row r="74" spans="1:18" x14ac:dyDescent="0.2">
      <c r="A74" s="38" t="s">
        <v>112</v>
      </c>
      <c r="B74" s="37" t="s">
        <v>27</v>
      </c>
      <c r="C74" t="s">
        <v>29</v>
      </c>
      <c r="D74" s="37" t="s">
        <v>70</v>
      </c>
      <c r="E74" t="s">
        <v>72</v>
      </c>
      <c r="F74" s="37" t="s">
        <v>293</v>
      </c>
      <c r="G74" t="s">
        <v>294</v>
      </c>
      <c r="H74" s="37" t="s">
        <v>74</v>
      </c>
      <c r="I74" t="s">
        <v>75</v>
      </c>
      <c r="J74" s="37" t="s">
        <v>248</v>
      </c>
      <c r="K74" t="s">
        <v>246</v>
      </c>
      <c r="M74" t="s">
        <v>281</v>
      </c>
      <c r="N74" t="s">
        <v>283</v>
      </c>
      <c r="O74" t="s">
        <v>385</v>
      </c>
      <c r="P74" t="s">
        <v>384</v>
      </c>
      <c r="Q74" t="s">
        <v>392</v>
      </c>
      <c r="R74" t="s">
        <v>395</v>
      </c>
    </row>
    <row r="75" spans="1:18" x14ac:dyDescent="0.2">
      <c r="A75" s="38" t="s">
        <v>113</v>
      </c>
      <c r="B75" s="37" t="s">
        <v>27</v>
      </c>
      <c r="C75" t="s">
        <v>29</v>
      </c>
      <c r="D75" s="37" t="s">
        <v>70</v>
      </c>
      <c r="E75" t="s">
        <v>72</v>
      </c>
      <c r="F75" s="37" t="s">
        <v>293</v>
      </c>
      <c r="G75" t="s">
        <v>294</v>
      </c>
      <c r="H75" s="37" t="s">
        <v>74</v>
      </c>
      <c r="I75" t="s">
        <v>75</v>
      </c>
      <c r="J75" s="37" t="s">
        <v>248</v>
      </c>
      <c r="K75" t="s">
        <v>246</v>
      </c>
      <c r="M75" t="s">
        <v>281</v>
      </c>
      <c r="N75" t="s">
        <v>283</v>
      </c>
      <c r="O75" t="s">
        <v>385</v>
      </c>
      <c r="P75" t="s">
        <v>384</v>
      </c>
      <c r="Q75" t="s">
        <v>392</v>
      </c>
      <c r="R75" t="s">
        <v>395</v>
      </c>
    </row>
    <row r="76" spans="1:18" x14ac:dyDescent="0.2">
      <c r="A76" s="38" t="s">
        <v>114</v>
      </c>
      <c r="B76" s="37" t="s">
        <v>27</v>
      </c>
      <c r="C76" t="s">
        <v>29</v>
      </c>
      <c r="D76" s="37" t="s">
        <v>70</v>
      </c>
      <c r="E76" t="s">
        <v>72</v>
      </c>
      <c r="F76" s="37" t="s">
        <v>293</v>
      </c>
      <c r="G76" t="s">
        <v>294</v>
      </c>
      <c r="H76" s="37" t="s">
        <v>74</v>
      </c>
      <c r="I76" t="s">
        <v>75</v>
      </c>
      <c r="J76" s="37" t="s">
        <v>248</v>
      </c>
      <c r="K76" t="s">
        <v>246</v>
      </c>
      <c r="M76" t="s">
        <v>281</v>
      </c>
      <c r="N76" t="s">
        <v>283</v>
      </c>
      <c r="O76" t="s">
        <v>385</v>
      </c>
      <c r="P76" t="s">
        <v>384</v>
      </c>
      <c r="Q76" t="s">
        <v>392</v>
      </c>
      <c r="R76" t="s">
        <v>395</v>
      </c>
    </row>
    <row r="77" spans="1:18" x14ac:dyDescent="0.2">
      <c r="A77" s="38" t="s">
        <v>115</v>
      </c>
      <c r="B77" s="37" t="s">
        <v>27</v>
      </c>
      <c r="C77" t="s">
        <v>29</v>
      </c>
      <c r="D77" s="37" t="s">
        <v>70</v>
      </c>
      <c r="E77" t="s">
        <v>72</v>
      </c>
      <c r="F77" s="37" t="s">
        <v>293</v>
      </c>
      <c r="G77" t="s">
        <v>294</v>
      </c>
      <c r="H77" s="37" t="s">
        <v>74</v>
      </c>
      <c r="I77" t="s">
        <v>75</v>
      </c>
      <c r="J77" s="37" t="s">
        <v>248</v>
      </c>
      <c r="K77" t="s">
        <v>246</v>
      </c>
      <c r="M77" t="s">
        <v>281</v>
      </c>
      <c r="N77" t="s">
        <v>283</v>
      </c>
      <c r="O77" t="s">
        <v>385</v>
      </c>
      <c r="P77" t="s">
        <v>384</v>
      </c>
      <c r="Q77" t="s">
        <v>392</v>
      </c>
      <c r="R77" t="s">
        <v>395</v>
      </c>
    </row>
    <row r="78" spans="1:18" x14ac:dyDescent="0.2">
      <c r="A78" s="38" t="s">
        <v>116</v>
      </c>
      <c r="B78" s="37" t="s">
        <v>30</v>
      </c>
      <c r="C78" t="s">
        <v>29</v>
      </c>
      <c r="D78" s="37" t="s">
        <v>70</v>
      </c>
      <c r="E78" t="s">
        <v>72</v>
      </c>
      <c r="F78" s="37" t="s">
        <v>293</v>
      </c>
      <c r="G78" t="s">
        <v>294</v>
      </c>
      <c r="H78" s="37" t="s">
        <v>74</v>
      </c>
      <c r="I78" t="s">
        <v>75</v>
      </c>
      <c r="J78" s="37" t="s">
        <v>248</v>
      </c>
      <c r="K78" t="s">
        <v>246</v>
      </c>
      <c r="M78" t="s">
        <v>281</v>
      </c>
      <c r="N78" t="s">
        <v>283</v>
      </c>
      <c r="O78" t="s">
        <v>385</v>
      </c>
      <c r="P78" t="s">
        <v>384</v>
      </c>
      <c r="Q78" t="s">
        <v>392</v>
      </c>
      <c r="R78" t="s">
        <v>395</v>
      </c>
    </row>
    <row r="79" spans="1:18" x14ac:dyDescent="0.2">
      <c r="A79" s="38" t="s">
        <v>117</v>
      </c>
      <c r="B79" s="37" t="s">
        <v>30</v>
      </c>
      <c r="C79" t="s">
        <v>29</v>
      </c>
      <c r="D79" s="37" t="s">
        <v>70</v>
      </c>
      <c r="E79" t="s">
        <v>72</v>
      </c>
      <c r="F79" s="37" t="s">
        <v>293</v>
      </c>
      <c r="G79" t="s">
        <v>294</v>
      </c>
      <c r="H79" s="37" t="s">
        <v>74</v>
      </c>
      <c r="I79" t="s">
        <v>75</v>
      </c>
      <c r="J79" s="37" t="s">
        <v>248</v>
      </c>
      <c r="K79" t="s">
        <v>246</v>
      </c>
      <c r="M79" t="s">
        <v>281</v>
      </c>
      <c r="N79" t="s">
        <v>283</v>
      </c>
      <c r="O79" t="s">
        <v>385</v>
      </c>
      <c r="P79" t="s">
        <v>384</v>
      </c>
      <c r="Q79" t="s">
        <v>392</v>
      </c>
      <c r="R79" t="s">
        <v>395</v>
      </c>
    </row>
    <row r="80" spans="1:18" x14ac:dyDescent="0.2">
      <c r="A80" s="38" t="s">
        <v>118</v>
      </c>
      <c r="B80" s="37" t="s">
        <v>30</v>
      </c>
      <c r="C80" t="s">
        <v>31</v>
      </c>
      <c r="D80" s="37" t="s">
        <v>70</v>
      </c>
      <c r="E80" t="s">
        <v>71</v>
      </c>
      <c r="F80" s="37" t="s">
        <v>293</v>
      </c>
      <c r="G80" t="s">
        <v>294</v>
      </c>
      <c r="H80" s="37" t="s">
        <v>74</v>
      </c>
      <c r="I80" t="s">
        <v>75</v>
      </c>
      <c r="J80" s="37" t="s">
        <v>248</v>
      </c>
      <c r="K80" t="s">
        <v>246</v>
      </c>
      <c r="M80" t="s">
        <v>281</v>
      </c>
      <c r="N80" t="s">
        <v>283</v>
      </c>
      <c r="O80" t="s">
        <v>385</v>
      </c>
      <c r="P80" t="s">
        <v>384</v>
      </c>
      <c r="Q80" t="s">
        <v>392</v>
      </c>
      <c r="R80" t="s">
        <v>395</v>
      </c>
    </row>
    <row r="81" spans="1:18" x14ac:dyDescent="0.2">
      <c r="A81" s="38" t="s">
        <v>119</v>
      </c>
      <c r="B81" s="37" t="s">
        <v>30</v>
      </c>
      <c r="C81" t="s">
        <v>31</v>
      </c>
      <c r="D81" s="37" t="s">
        <v>70</v>
      </c>
      <c r="E81" t="s">
        <v>71</v>
      </c>
      <c r="F81" s="37" t="s">
        <v>293</v>
      </c>
      <c r="G81" t="s">
        <v>294</v>
      </c>
      <c r="H81" s="37" t="s">
        <v>74</v>
      </c>
      <c r="I81" t="s">
        <v>75</v>
      </c>
      <c r="J81" s="37" t="s">
        <v>248</v>
      </c>
      <c r="K81" t="s">
        <v>246</v>
      </c>
      <c r="M81" t="s">
        <v>281</v>
      </c>
      <c r="N81" t="s">
        <v>283</v>
      </c>
      <c r="O81" t="s">
        <v>385</v>
      </c>
      <c r="P81" t="s">
        <v>384</v>
      </c>
      <c r="Q81" t="s">
        <v>392</v>
      </c>
      <c r="R81" t="s">
        <v>395</v>
      </c>
    </row>
    <row r="82" spans="1:18" x14ac:dyDescent="0.2">
      <c r="A82" s="38" t="s">
        <v>120</v>
      </c>
      <c r="B82" s="37" t="s">
        <v>27</v>
      </c>
      <c r="C82" t="s">
        <v>31</v>
      </c>
      <c r="D82" s="37" t="s">
        <v>70</v>
      </c>
      <c r="E82" t="s">
        <v>71</v>
      </c>
      <c r="F82" s="37" t="s">
        <v>293</v>
      </c>
      <c r="G82" t="s">
        <v>294</v>
      </c>
      <c r="H82" s="37" t="s">
        <v>74</v>
      </c>
      <c r="I82" t="s">
        <v>75</v>
      </c>
      <c r="J82" s="37" t="s">
        <v>248</v>
      </c>
      <c r="K82" t="s">
        <v>246</v>
      </c>
      <c r="M82" t="s">
        <v>281</v>
      </c>
      <c r="N82" t="s">
        <v>283</v>
      </c>
      <c r="O82" t="s">
        <v>385</v>
      </c>
      <c r="P82" t="s">
        <v>384</v>
      </c>
      <c r="Q82" t="s">
        <v>392</v>
      </c>
      <c r="R82" t="s">
        <v>395</v>
      </c>
    </row>
    <row r="83" spans="1:18" x14ac:dyDescent="0.2">
      <c r="A83" s="38" t="s">
        <v>121</v>
      </c>
      <c r="B83" s="37" t="s">
        <v>27</v>
      </c>
      <c r="C83" t="s">
        <v>31</v>
      </c>
      <c r="D83" s="37" t="s">
        <v>70</v>
      </c>
      <c r="E83" t="s">
        <v>71</v>
      </c>
      <c r="F83" s="37" t="s">
        <v>293</v>
      </c>
      <c r="G83" t="s">
        <v>294</v>
      </c>
      <c r="H83" s="37" t="s">
        <v>74</v>
      </c>
      <c r="I83" t="s">
        <v>75</v>
      </c>
      <c r="J83" s="37" t="s">
        <v>248</v>
      </c>
      <c r="K83" t="s">
        <v>246</v>
      </c>
      <c r="M83" t="s">
        <v>281</v>
      </c>
      <c r="N83" t="s">
        <v>283</v>
      </c>
      <c r="O83" t="s">
        <v>385</v>
      </c>
      <c r="P83" t="s">
        <v>384</v>
      </c>
      <c r="Q83" t="s">
        <v>392</v>
      </c>
      <c r="R83" t="s">
        <v>395</v>
      </c>
    </row>
    <row r="84" spans="1:18" x14ac:dyDescent="0.2">
      <c r="A84" s="38" t="s">
        <v>122</v>
      </c>
      <c r="B84" s="37" t="s">
        <v>27</v>
      </c>
      <c r="C84" t="s">
        <v>31</v>
      </c>
      <c r="D84" s="37" t="s">
        <v>70</v>
      </c>
      <c r="E84" t="s">
        <v>71</v>
      </c>
      <c r="F84" s="37" t="s">
        <v>293</v>
      </c>
      <c r="G84" t="s">
        <v>294</v>
      </c>
      <c r="H84" s="37" t="s">
        <v>74</v>
      </c>
      <c r="I84" t="s">
        <v>75</v>
      </c>
      <c r="J84" s="37" t="s">
        <v>248</v>
      </c>
      <c r="K84" t="s">
        <v>246</v>
      </c>
      <c r="M84" t="s">
        <v>281</v>
      </c>
      <c r="N84" t="s">
        <v>283</v>
      </c>
      <c r="O84" t="s">
        <v>385</v>
      </c>
      <c r="P84" t="s">
        <v>384</v>
      </c>
      <c r="Q84" t="s">
        <v>392</v>
      </c>
      <c r="R84" t="s">
        <v>395</v>
      </c>
    </row>
    <row r="85" spans="1:18" x14ac:dyDescent="0.2">
      <c r="A85" s="38" t="s">
        <v>123</v>
      </c>
      <c r="B85" s="37" t="s">
        <v>27</v>
      </c>
      <c r="C85" t="s">
        <v>31</v>
      </c>
      <c r="D85" s="37" t="s">
        <v>70</v>
      </c>
      <c r="E85" t="s">
        <v>71</v>
      </c>
      <c r="F85" s="37" t="s">
        <v>293</v>
      </c>
      <c r="G85" t="s">
        <v>294</v>
      </c>
      <c r="H85" s="37" t="s">
        <v>74</v>
      </c>
      <c r="I85" t="s">
        <v>75</v>
      </c>
      <c r="J85" s="37" t="s">
        <v>248</v>
      </c>
      <c r="K85" t="s">
        <v>246</v>
      </c>
      <c r="M85" t="s">
        <v>281</v>
      </c>
      <c r="N85" t="s">
        <v>283</v>
      </c>
      <c r="O85" t="s">
        <v>385</v>
      </c>
      <c r="P85" t="s">
        <v>384</v>
      </c>
      <c r="Q85" t="s">
        <v>392</v>
      </c>
      <c r="R85" t="s">
        <v>395</v>
      </c>
    </row>
    <row r="86" spans="1:18" x14ac:dyDescent="0.2">
      <c r="A86" s="38" t="s">
        <v>125</v>
      </c>
      <c r="B86" s="37" t="s">
        <v>30</v>
      </c>
      <c r="C86" t="s">
        <v>31</v>
      </c>
      <c r="D86" s="37" t="s">
        <v>70</v>
      </c>
      <c r="E86" t="s">
        <v>71</v>
      </c>
      <c r="F86" s="37" t="s">
        <v>293</v>
      </c>
      <c r="G86" t="s">
        <v>294</v>
      </c>
      <c r="H86" s="37" t="s">
        <v>74</v>
      </c>
      <c r="I86" t="s">
        <v>75</v>
      </c>
      <c r="J86" s="37" t="s">
        <v>248</v>
      </c>
      <c r="K86" t="s">
        <v>246</v>
      </c>
      <c r="M86" t="s">
        <v>281</v>
      </c>
      <c r="N86" t="s">
        <v>283</v>
      </c>
      <c r="O86" t="s">
        <v>385</v>
      </c>
      <c r="P86" t="s">
        <v>384</v>
      </c>
      <c r="Q86" t="s">
        <v>392</v>
      </c>
      <c r="R86" t="s">
        <v>395</v>
      </c>
    </row>
    <row r="87" spans="1:18" x14ac:dyDescent="0.2">
      <c r="A87" s="38" t="s">
        <v>126</v>
      </c>
      <c r="B87" s="37" t="s">
        <v>30</v>
      </c>
      <c r="C87" t="s">
        <v>31</v>
      </c>
      <c r="D87" s="37" t="s">
        <v>70</v>
      </c>
      <c r="E87" t="s">
        <v>71</v>
      </c>
      <c r="F87" s="37" t="s">
        <v>293</v>
      </c>
      <c r="G87" t="s">
        <v>294</v>
      </c>
      <c r="H87" s="37" t="s">
        <v>74</v>
      </c>
      <c r="I87" t="s">
        <v>75</v>
      </c>
      <c r="J87" s="37" t="s">
        <v>248</v>
      </c>
      <c r="K87" t="s">
        <v>246</v>
      </c>
      <c r="M87" t="s">
        <v>281</v>
      </c>
      <c r="N87" t="s">
        <v>283</v>
      </c>
      <c r="O87" t="s">
        <v>385</v>
      </c>
      <c r="P87" t="s">
        <v>384</v>
      </c>
      <c r="Q87" t="s">
        <v>392</v>
      </c>
      <c r="R87" t="s">
        <v>395</v>
      </c>
    </row>
    <row r="88" spans="1:18" x14ac:dyDescent="0.2">
      <c r="A88" s="38" t="s">
        <v>127</v>
      </c>
      <c r="B88" s="37" t="s">
        <v>30</v>
      </c>
      <c r="C88" t="s">
        <v>31</v>
      </c>
      <c r="D88" s="37" t="s">
        <v>70</v>
      </c>
      <c r="E88" t="s">
        <v>71</v>
      </c>
      <c r="F88" s="37" t="s">
        <v>293</v>
      </c>
      <c r="G88" t="s">
        <v>294</v>
      </c>
      <c r="H88" s="37" t="s">
        <v>74</v>
      </c>
      <c r="I88" t="s">
        <v>75</v>
      </c>
      <c r="J88" s="37" t="s">
        <v>248</v>
      </c>
      <c r="K88" t="s">
        <v>246</v>
      </c>
      <c r="M88" t="s">
        <v>281</v>
      </c>
      <c r="N88" t="s">
        <v>283</v>
      </c>
      <c r="O88" t="s">
        <v>385</v>
      </c>
      <c r="P88" t="s">
        <v>384</v>
      </c>
      <c r="Q88" t="s">
        <v>392</v>
      </c>
      <c r="R88" t="s">
        <v>395</v>
      </c>
    </row>
    <row r="89" spans="1:18" x14ac:dyDescent="0.2">
      <c r="A89" s="38" t="s">
        <v>128</v>
      </c>
      <c r="B89" s="37" t="s">
        <v>30</v>
      </c>
      <c r="C89" t="s">
        <v>31</v>
      </c>
      <c r="D89" s="37" t="s">
        <v>70</v>
      </c>
      <c r="E89" t="s">
        <v>71</v>
      </c>
      <c r="F89" s="37" t="s">
        <v>293</v>
      </c>
      <c r="G89" t="s">
        <v>294</v>
      </c>
      <c r="H89" s="37" t="s">
        <v>74</v>
      </c>
      <c r="I89" t="s">
        <v>75</v>
      </c>
      <c r="J89" s="37" t="s">
        <v>248</v>
      </c>
      <c r="K89" t="s">
        <v>246</v>
      </c>
      <c r="M89" t="s">
        <v>281</v>
      </c>
      <c r="N89" t="s">
        <v>283</v>
      </c>
      <c r="O89" t="s">
        <v>385</v>
      </c>
      <c r="P89" t="s">
        <v>384</v>
      </c>
      <c r="Q89" t="s">
        <v>392</v>
      </c>
      <c r="R89" t="s">
        <v>395</v>
      </c>
    </row>
    <row r="90" spans="1:18" x14ac:dyDescent="0.2">
      <c r="A90" s="38" t="s">
        <v>129</v>
      </c>
      <c r="B90" s="37" t="s">
        <v>27</v>
      </c>
      <c r="C90" t="s">
        <v>31</v>
      </c>
      <c r="D90" s="37" t="s">
        <v>70</v>
      </c>
      <c r="E90" t="s">
        <v>71</v>
      </c>
      <c r="F90" s="37" t="s">
        <v>293</v>
      </c>
      <c r="G90" t="s">
        <v>294</v>
      </c>
      <c r="H90" s="37" t="s">
        <v>74</v>
      </c>
      <c r="I90" t="s">
        <v>75</v>
      </c>
      <c r="J90" s="37" t="s">
        <v>248</v>
      </c>
      <c r="K90" t="s">
        <v>246</v>
      </c>
      <c r="M90" t="s">
        <v>281</v>
      </c>
      <c r="N90" t="s">
        <v>283</v>
      </c>
      <c r="O90" t="s">
        <v>385</v>
      </c>
      <c r="P90" t="s">
        <v>384</v>
      </c>
      <c r="Q90" t="s">
        <v>392</v>
      </c>
      <c r="R90" t="s">
        <v>395</v>
      </c>
    </row>
    <row r="91" spans="1:18" x14ac:dyDescent="0.2">
      <c r="A91" s="38" t="s">
        <v>130</v>
      </c>
      <c r="B91" s="37" t="s">
        <v>27</v>
      </c>
      <c r="C91" t="s">
        <v>31</v>
      </c>
      <c r="D91" s="37" t="s">
        <v>70</v>
      </c>
      <c r="E91" t="s">
        <v>71</v>
      </c>
      <c r="F91" s="37" t="s">
        <v>293</v>
      </c>
      <c r="G91" t="s">
        <v>294</v>
      </c>
      <c r="H91" s="37" t="s">
        <v>74</v>
      </c>
      <c r="I91" t="s">
        <v>75</v>
      </c>
      <c r="J91" s="37" t="s">
        <v>248</v>
      </c>
      <c r="K91" t="s">
        <v>246</v>
      </c>
      <c r="M91" t="s">
        <v>281</v>
      </c>
      <c r="N91" t="s">
        <v>283</v>
      </c>
      <c r="O91" t="s">
        <v>385</v>
      </c>
      <c r="P91" t="s">
        <v>384</v>
      </c>
      <c r="Q91" t="s">
        <v>392</v>
      </c>
      <c r="R91" t="s">
        <v>395</v>
      </c>
    </row>
    <row r="92" spans="1:18" x14ac:dyDescent="0.2">
      <c r="A92" s="38" t="s">
        <v>131</v>
      </c>
      <c r="B92" s="37" t="s">
        <v>27</v>
      </c>
      <c r="C92" t="s">
        <v>28</v>
      </c>
      <c r="D92" s="37" t="s">
        <v>70</v>
      </c>
      <c r="E92" t="s">
        <v>72</v>
      </c>
      <c r="F92" s="37" t="s">
        <v>293</v>
      </c>
      <c r="G92" t="s">
        <v>294</v>
      </c>
      <c r="H92" s="37" t="s">
        <v>74</v>
      </c>
      <c r="I92" t="s">
        <v>75</v>
      </c>
      <c r="J92" s="37" t="s">
        <v>248</v>
      </c>
      <c r="K92" t="s">
        <v>246</v>
      </c>
      <c r="M92" t="s">
        <v>281</v>
      </c>
      <c r="N92" t="s">
        <v>283</v>
      </c>
      <c r="O92" t="s">
        <v>385</v>
      </c>
      <c r="P92" t="s">
        <v>384</v>
      </c>
      <c r="Q92" t="s">
        <v>392</v>
      </c>
      <c r="R92" t="s">
        <v>395</v>
      </c>
    </row>
    <row r="93" spans="1:18" x14ac:dyDescent="0.2">
      <c r="A93" s="38" t="s">
        <v>132</v>
      </c>
      <c r="B93" s="37" t="s">
        <v>27</v>
      </c>
      <c r="C93" t="s">
        <v>28</v>
      </c>
      <c r="D93" s="37" t="s">
        <v>70</v>
      </c>
      <c r="E93" t="s">
        <v>72</v>
      </c>
      <c r="F93" s="37" t="s">
        <v>293</v>
      </c>
      <c r="G93" t="s">
        <v>294</v>
      </c>
      <c r="H93" s="37" t="s">
        <v>74</v>
      </c>
      <c r="I93" t="s">
        <v>75</v>
      </c>
      <c r="J93" s="37" t="s">
        <v>248</v>
      </c>
      <c r="K93" t="s">
        <v>246</v>
      </c>
      <c r="M93" t="s">
        <v>281</v>
      </c>
      <c r="N93" t="s">
        <v>283</v>
      </c>
      <c r="O93" t="s">
        <v>385</v>
      </c>
      <c r="P93" t="s">
        <v>384</v>
      </c>
      <c r="Q93" t="s">
        <v>392</v>
      </c>
      <c r="R93" t="s">
        <v>395</v>
      </c>
    </row>
    <row r="94" spans="1:18" x14ac:dyDescent="0.2">
      <c r="A94" s="38" t="s">
        <v>133</v>
      </c>
      <c r="B94" s="37" t="s">
        <v>30</v>
      </c>
      <c r="C94" t="s">
        <v>28</v>
      </c>
      <c r="D94" s="37" t="s">
        <v>70</v>
      </c>
      <c r="E94" t="s">
        <v>72</v>
      </c>
      <c r="F94" s="37" t="s">
        <v>293</v>
      </c>
      <c r="G94" t="s">
        <v>294</v>
      </c>
      <c r="H94" s="37" t="s">
        <v>74</v>
      </c>
      <c r="I94" t="s">
        <v>75</v>
      </c>
      <c r="J94" s="37" t="s">
        <v>248</v>
      </c>
      <c r="K94" t="s">
        <v>246</v>
      </c>
      <c r="M94" t="s">
        <v>281</v>
      </c>
      <c r="N94" t="s">
        <v>283</v>
      </c>
      <c r="O94" t="s">
        <v>385</v>
      </c>
      <c r="P94" t="s">
        <v>384</v>
      </c>
      <c r="Q94" t="s">
        <v>392</v>
      </c>
      <c r="R94" t="s">
        <v>395</v>
      </c>
    </row>
    <row r="95" spans="1:18" x14ac:dyDescent="0.2">
      <c r="A95" s="38" t="s">
        <v>134</v>
      </c>
      <c r="B95" s="37" t="s">
        <v>30</v>
      </c>
      <c r="C95" t="s">
        <v>28</v>
      </c>
      <c r="D95" s="37" t="s">
        <v>70</v>
      </c>
      <c r="E95" t="s">
        <v>72</v>
      </c>
      <c r="F95" s="37" t="s">
        <v>293</v>
      </c>
      <c r="G95" t="s">
        <v>294</v>
      </c>
      <c r="H95" s="37" t="s">
        <v>74</v>
      </c>
      <c r="I95" t="s">
        <v>75</v>
      </c>
      <c r="J95" s="37" t="s">
        <v>248</v>
      </c>
      <c r="K95" t="s">
        <v>246</v>
      </c>
      <c r="M95" t="s">
        <v>281</v>
      </c>
      <c r="N95" t="s">
        <v>283</v>
      </c>
      <c r="O95" t="s">
        <v>385</v>
      </c>
      <c r="P95" t="s">
        <v>384</v>
      </c>
      <c r="Q95" t="s">
        <v>392</v>
      </c>
      <c r="R95" t="s">
        <v>395</v>
      </c>
    </row>
    <row r="96" spans="1:18" x14ac:dyDescent="0.2">
      <c r="A96" s="38" t="s">
        <v>135</v>
      </c>
      <c r="B96" s="37" t="s">
        <v>30</v>
      </c>
      <c r="C96" t="s">
        <v>28</v>
      </c>
      <c r="D96" s="37" t="s">
        <v>70</v>
      </c>
      <c r="E96" t="s">
        <v>72</v>
      </c>
      <c r="F96" s="37" t="s">
        <v>293</v>
      </c>
      <c r="G96" t="s">
        <v>294</v>
      </c>
      <c r="H96" s="37" t="s">
        <v>74</v>
      </c>
      <c r="I96" t="s">
        <v>75</v>
      </c>
      <c r="J96" s="37" t="s">
        <v>248</v>
      </c>
      <c r="K96" t="s">
        <v>246</v>
      </c>
      <c r="M96" t="s">
        <v>281</v>
      </c>
      <c r="N96" t="s">
        <v>283</v>
      </c>
      <c r="O96" t="s">
        <v>385</v>
      </c>
      <c r="P96" t="s">
        <v>384</v>
      </c>
      <c r="Q96" t="s">
        <v>392</v>
      </c>
      <c r="R96" t="s">
        <v>395</v>
      </c>
    </row>
    <row r="97" spans="1:18" x14ac:dyDescent="0.2">
      <c r="A97" s="38" t="s">
        <v>136</v>
      </c>
      <c r="B97" s="37" t="s">
        <v>30</v>
      </c>
      <c r="C97" t="s">
        <v>28</v>
      </c>
      <c r="D97" s="37" t="s">
        <v>70</v>
      </c>
      <c r="E97" t="s">
        <v>72</v>
      </c>
      <c r="F97" s="37" t="s">
        <v>293</v>
      </c>
      <c r="G97" t="s">
        <v>294</v>
      </c>
      <c r="H97" s="37" t="s">
        <v>74</v>
      </c>
      <c r="I97" t="s">
        <v>75</v>
      </c>
      <c r="J97" s="37" t="s">
        <v>248</v>
      </c>
      <c r="K97" t="s">
        <v>246</v>
      </c>
      <c r="M97" t="s">
        <v>281</v>
      </c>
      <c r="N97" t="s">
        <v>283</v>
      </c>
      <c r="O97" t="s">
        <v>385</v>
      </c>
      <c r="P97" t="s">
        <v>384</v>
      </c>
      <c r="Q97" t="s">
        <v>392</v>
      </c>
      <c r="R97" t="s">
        <v>395</v>
      </c>
    </row>
    <row r="98" spans="1:18" x14ac:dyDescent="0.2">
      <c r="A98" s="38" t="s">
        <v>139</v>
      </c>
      <c r="B98" s="37" t="s">
        <v>27</v>
      </c>
      <c r="C98" t="s">
        <v>28</v>
      </c>
      <c r="D98" s="37" t="s">
        <v>70</v>
      </c>
      <c r="E98" t="s">
        <v>72</v>
      </c>
      <c r="F98" s="37" t="s">
        <v>293</v>
      </c>
      <c r="G98" t="s">
        <v>294</v>
      </c>
      <c r="H98" s="37" t="s">
        <v>74</v>
      </c>
      <c r="I98" t="s">
        <v>75</v>
      </c>
      <c r="J98" s="37" t="s">
        <v>249</v>
      </c>
      <c r="K98" t="s">
        <v>246</v>
      </c>
      <c r="M98" t="s">
        <v>281</v>
      </c>
      <c r="N98" t="s">
        <v>283</v>
      </c>
      <c r="O98" t="s">
        <v>385</v>
      </c>
      <c r="P98" t="s">
        <v>384</v>
      </c>
      <c r="Q98" t="s">
        <v>392</v>
      </c>
      <c r="R98" t="s">
        <v>395</v>
      </c>
    </row>
    <row r="99" spans="1:18" x14ac:dyDescent="0.2">
      <c r="A99" s="38" t="s">
        <v>140</v>
      </c>
      <c r="B99" s="37" t="s">
        <v>27</v>
      </c>
      <c r="C99" t="s">
        <v>28</v>
      </c>
      <c r="D99" s="37" t="s">
        <v>70</v>
      </c>
      <c r="E99" t="s">
        <v>72</v>
      </c>
      <c r="F99" s="37" t="s">
        <v>293</v>
      </c>
      <c r="G99" t="s">
        <v>294</v>
      </c>
      <c r="H99" s="37" t="s">
        <v>74</v>
      </c>
      <c r="I99" t="s">
        <v>75</v>
      </c>
      <c r="J99" s="37" t="s">
        <v>249</v>
      </c>
      <c r="K99" t="s">
        <v>246</v>
      </c>
      <c r="M99" t="s">
        <v>281</v>
      </c>
      <c r="N99" t="s">
        <v>283</v>
      </c>
      <c r="O99" t="s">
        <v>385</v>
      </c>
      <c r="P99" t="s">
        <v>384</v>
      </c>
      <c r="Q99" t="s">
        <v>392</v>
      </c>
      <c r="R99" t="s">
        <v>395</v>
      </c>
    </row>
    <row r="100" spans="1:18" x14ac:dyDescent="0.2">
      <c r="A100" s="38" t="s">
        <v>141</v>
      </c>
      <c r="B100" s="37" t="s">
        <v>27</v>
      </c>
      <c r="C100" t="s">
        <v>28</v>
      </c>
      <c r="D100" s="37" t="s">
        <v>70</v>
      </c>
      <c r="E100" t="s">
        <v>72</v>
      </c>
      <c r="F100" s="37" t="s">
        <v>293</v>
      </c>
      <c r="G100" t="s">
        <v>294</v>
      </c>
      <c r="H100" s="37" t="s">
        <v>74</v>
      </c>
      <c r="I100" t="s">
        <v>75</v>
      </c>
      <c r="J100" s="37" t="s">
        <v>249</v>
      </c>
      <c r="K100" t="s">
        <v>246</v>
      </c>
      <c r="M100" t="s">
        <v>281</v>
      </c>
      <c r="N100" t="s">
        <v>283</v>
      </c>
      <c r="O100" t="s">
        <v>385</v>
      </c>
      <c r="P100" t="s">
        <v>384</v>
      </c>
      <c r="Q100" t="s">
        <v>392</v>
      </c>
      <c r="R100" t="s">
        <v>395</v>
      </c>
    </row>
    <row r="101" spans="1:18" x14ac:dyDescent="0.2">
      <c r="A101" s="38" t="s">
        <v>142</v>
      </c>
      <c r="B101" s="37" t="s">
        <v>27</v>
      </c>
      <c r="C101" t="s">
        <v>28</v>
      </c>
      <c r="D101" s="37" t="s">
        <v>70</v>
      </c>
      <c r="E101" t="s">
        <v>72</v>
      </c>
      <c r="F101" s="37" t="s">
        <v>293</v>
      </c>
      <c r="G101" t="s">
        <v>294</v>
      </c>
      <c r="H101" s="37" t="s">
        <v>74</v>
      </c>
      <c r="I101" t="s">
        <v>75</v>
      </c>
      <c r="J101" s="37" t="s">
        <v>249</v>
      </c>
      <c r="K101" t="s">
        <v>246</v>
      </c>
      <c r="M101" t="s">
        <v>281</v>
      </c>
      <c r="N101" t="s">
        <v>283</v>
      </c>
      <c r="O101" t="s">
        <v>385</v>
      </c>
      <c r="P101" t="s">
        <v>384</v>
      </c>
      <c r="Q101" t="s">
        <v>392</v>
      </c>
      <c r="R101" t="s">
        <v>395</v>
      </c>
    </row>
    <row r="102" spans="1:18" x14ac:dyDescent="0.2">
      <c r="A102" s="38" t="s">
        <v>143</v>
      </c>
      <c r="B102" s="37" t="s">
        <v>30</v>
      </c>
      <c r="C102" t="s">
        <v>28</v>
      </c>
      <c r="D102" s="37" t="s">
        <v>70</v>
      </c>
      <c r="E102" t="s">
        <v>72</v>
      </c>
      <c r="F102" s="37" t="s">
        <v>293</v>
      </c>
      <c r="G102" t="s">
        <v>294</v>
      </c>
      <c r="H102" s="37" t="s">
        <v>74</v>
      </c>
      <c r="I102" t="s">
        <v>75</v>
      </c>
      <c r="J102" s="37" t="s">
        <v>249</v>
      </c>
      <c r="K102" t="s">
        <v>246</v>
      </c>
      <c r="M102" t="s">
        <v>281</v>
      </c>
      <c r="N102" t="s">
        <v>283</v>
      </c>
      <c r="O102" t="s">
        <v>385</v>
      </c>
      <c r="P102" t="s">
        <v>384</v>
      </c>
      <c r="Q102" t="s">
        <v>392</v>
      </c>
      <c r="R102" t="s">
        <v>395</v>
      </c>
    </row>
    <row r="103" spans="1:18" x14ac:dyDescent="0.2">
      <c r="A103" s="38" t="s">
        <v>144</v>
      </c>
      <c r="B103" s="37" t="s">
        <v>30</v>
      </c>
      <c r="C103" t="s">
        <v>28</v>
      </c>
      <c r="D103" s="37" t="s">
        <v>70</v>
      </c>
      <c r="E103" t="s">
        <v>72</v>
      </c>
      <c r="F103" s="37" t="s">
        <v>293</v>
      </c>
      <c r="G103" t="s">
        <v>294</v>
      </c>
      <c r="H103" s="37" t="s">
        <v>74</v>
      </c>
      <c r="I103" t="s">
        <v>75</v>
      </c>
      <c r="J103" s="37" t="s">
        <v>249</v>
      </c>
      <c r="K103" t="s">
        <v>246</v>
      </c>
      <c r="M103" t="s">
        <v>281</v>
      </c>
      <c r="N103" t="s">
        <v>283</v>
      </c>
      <c r="O103" t="s">
        <v>385</v>
      </c>
      <c r="P103" t="s">
        <v>384</v>
      </c>
      <c r="Q103" t="s">
        <v>392</v>
      </c>
      <c r="R103" t="s">
        <v>395</v>
      </c>
    </row>
    <row r="104" spans="1:18" x14ac:dyDescent="0.2">
      <c r="A104" s="38" t="s">
        <v>145</v>
      </c>
      <c r="B104" s="37" t="s">
        <v>30</v>
      </c>
      <c r="C104" t="s">
        <v>31</v>
      </c>
      <c r="D104" s="37" t="s">
        <v>70</v>
      </c>
      <c r="E104" t="s">
        <v>71</v>
      </c>
      <c r="F104" s="37" t="s">
        <v>293</v>
      </c>
      <c r="G104" t="s">
        <v>294</v>
      </c>
      <c r="H104" s="37" t="s">
        <v>74</v>
      </c>
      <c r="I104" t="s">
        <v>75</v>
      </c>
      <c r="J104" s="37" t="s">
        <v>249</v>
      </c>
      <c r="K104" t="s">
        <v>246</v>
      </c>
      <c r="M104" t="s">
        <v>281</v>
      </c>
      <c r="N104" t="s">
        <v>283</v>
      </c>
      <c r="O104" t="s">
        <v>385</v>
      </c>
      <c r="P104" t="s">
        <v>384</v>
      </c>
      <c r="Q104" t="s">
        <v>392</v>
      </c>
      <c r="R104" t="s">
        <v>395</v>
      </c>
    </row>
    <row r="105" spans="1:18" x14ac:dyDescent="0.2">
      <c r="A105" s="38" t="s">
        <v>146</v>
      </c>
      <c r="B105" s="37" t="s">
        <v>30</v>
      </c>
      <c r="C105" t="s">
        <v>31</v>
      </c>
      <c r="D105" s="37" t="s">
        <v>70</v>
      </c>
      <c r="E105" t="s">
        <v>71</v>
      </c>
      <c r="F105" s="37" t="s">
        <v>293</v>
      </c>
      <c r="G105" t="s">
        <v>294</v>
      </c>
      <c r="H105" s="37" t="s">
        <v>74</v>
      </c>
      <c r="I105" t="s">
        <v>75</v>
      </c>
      <c r="J105" s="37" t="s">
        <v>249</v>
      </c>
      <c r="K105" t="s">
        <v>246</v>
      </c>
      <c r="M105" t="s">
        <v>281</v>
      </c>
      <c r="N105" t="s">
        <v>283</v>
      </c>
      <c r="O105" t="s">
        <v>385</v>
      </c>
      <c r="P105" t="s">
        <v>384</v>
      </c>
      <c r="Q105" t="s">
        <v>392</v>
      </c>
      <c r="R105" t="s">
        <v>395</v>
      </c>
    </row>
    <row r="106" spans="1:18" x14ac:dyDescent="0.2">
      <c r="A106" s="38" t="s">
        <v>147</v>
      </c>
      <c r="B106" s="37" t="s">
        <v>27</v>
      </c>
      <c r="C106" t="s">
        <v>31</v>
      </c>
      <c r="D106" s="37" t="s">
        <v>70</v>
      </c>
      <c r="E106" t="s">
        <v>71</v>
      </c>
      <c r="F106" s="37" t="s">
        <v>293</v>
      </c>
      <c r="G106" t="s">
        <v>294</v>
      </c>
      <c r="H106" s="37" t="s">
        <v>74</v>
      </c>
      <c r="I106" t="s">
        <v>75</v>
      </c>
      <c r="J106" s="37" t="s">
        <v>249</v>
      </c>
      <c r="K106" t="s">
        <v>246</v>
      </c>
      <c r="M106" t="s">
        <v>281</v>
      </c>
      <c r="N106" t="s">
        <v>283</v>
      </c>
      <c r="O106" t="s">
        <v>385</v>
      </c>
      <c r="P106" t="s">
        <v>384</v>
      </c>
      <c r="Q106" t="s">
        <v>392</v>
      </c>
      <c r="R106" t="s">
        <v>395</v>
      </c>
    </row>
    <row r="107" spans="1:18" x14ac:dyDescent="0.2">
      <c r="A107" s="38" t="s">
        <v>148</v>
      </c>
      <c r="B107" s="37" t="s">
        <v>27</v>
      </c>
      <c r="C107" t="s">
        <v>31</v>
      </c>
      <c r="D107" s="37" t="s">
        <v>70</v>
      </c>
      <c r="E107" t="s">
        <v>71</v>
      </c>
      <c r="F107" s="37" t="s">
        <v>293</v>
      </c>
      <c r="G107" t="s">
        <v>294</v>
      </c>
      <c r="H107" s="37" t="s">
        <v>74</v>
      </c>
      <c r="I107" t="s">
        <v>75</v>
      </c>
      <c r="J107" s="37" t="s">
        <v>249</v>
      </c>
      <c r="K107" t="s">
        <v>246</v>
      </c>
      <c r="M107" t="s">
        <v>281</v>
      </c>
      <c r="N107" t="s">
        <v>283</v>
      </c>
      <c r="O107" t="s">
        <v>385</v>
      </c>
      <c r="P107" t="s">
        <v>384</v>
      </c>
      <c r="Q107" t="s">
        <v>392</v>
      </c>
      <c r="R107" t="s">
        <v>395</v>
      </c>
    </row>
    <row r="108" spans="1:18" x14ac:dyDescent="0.2">
      <c r="A108" s="38" t="s">
        <v>149</v>
      </c>
      <c r="B108" s="37" t="s">
        <v>27</v>
      </c>
      <c r="C108" t="s">
        <v>31</v>
      </c>
      <c r="D108" s="37" t="s">
        <v>70</v>
      </c>
      <c r="E108" t="s">
        <v>71</v>
      </c>
      <c r="F108" s="37" t="s">
        <v>293</v>
      </c>
      <c r="G108" t="s">
        <v>294</v>
      </c>
      <c r="H108" s="37" t="s">
        <v>74</v>
      </c>
      <c r="I108" t="s">
        <v>75</v>
      </c>
      <c r="J108" s="37" t="s">
        <v>249</v>
      </c>
      <c r="K108" t="s">
        <v>246</v>
      </c>
      <c r="M108" t="s">
        <v>281</v>
      </c>
      <c r="N108" t="s">
        <v>283</v>
      </c>
      <c r="O108" t="s">
        <v>385</v>
      </c>
      <c r="P108" t="s">
        <v>384</v>
      </c>
      <c r="Q108" t="s">
        <v>392</v>
      </c>
      <c r="R108" t="s">
        <v>395</v>
      </c>
    </row>
    <row r="109" spans="1:18" x14ac:dyDescent="0.2">
      <c r="A109" s="38" t="s">
        <v>150</v>
      </c>
      <c r="B109" s="37" t="s">
        <v>27</v>
      </c>
      <c r="C109" t="s">
        <v>31</v>
      </c>
      <c r="D109" s="37" t="s">
        <v>70</v>
      </c>
      <c r="E109" t="s">
        <v>71</v>
      </c>
      <c r="F109" s="37" t="s">
        <v>293</v>
      </c>
      <c r="G109" t="s">
        <v>294</v>
      </c>
      <c r="H109" s="37" t="s">
        <v>74</v>
      </c>
      <c r="I109" t="s">
        <v>75</v>
      </c>
      <c r="J109" s="37" t="s">
        <v>249</v>
      </c>
      <c r="K109" t="s">
        <v>246</v>
      </c>
      <c r="M109" t="s">
        <v>281</v>
      </c>
      <c r="N109" t="s">
        <v>283</v>
      </c>
      <c r="O109" t="s">
        <v>385</v>
      </c>
      <c r="P109" t="s">
        <v>384</v>
      </c>
      <c r="Q109" t="s">
        <v>392</v>
      </c>
      <c r="R109" t="s">
        <v>395</v>
      </c>
    </row>
    <row r="110" spans="1:18" x14ac:dyDescent="0.2">
      <c r="A110" s="38" t="s">
        <v>152</v>
      </c>
      <c r="B110" s="37" t="s">
        <v>30</v>
      </c>
      <c r="C110" t="s">
        <v>29</v>
      </c>
      <c r="D110" s="37" t="s">
        <v>70</v>
      </c>
      <c r="E110" t="s">
        <v>72</v>
      </c>
      <c r="F110" s="37" t="s">
        <v>293</v>
      </c>
      <c r="G110" t="s">
        <v>294</v>
      </c>
      <c r="H110" s="37" t="s">
        <v>74</v>
      </c>
      <c r="I110" t="s">
        <v>75</v>
      </c>
      <c r="J110" s="37" t="s">
        <v>249</v>
      </c>
      <c r="K110" t="s">
        <v>246</v>
      </c>
      <c r="M110" t="s">
        <v>281</v>
      </c>
      <c r="N110" t="s">
        <v>283</v>
      </c>
      <c r="O110" t="s">
        <v>385</v>
      </c>
      <c r="P110" t="s">
        <v>384</v>
      </c>
      <c r="Q110" t="s">
        <v>392</v>
      </c>
      <c r="R110" t="s">
        <v>395</v>
      </c>
    </row>
    <row r="111" spans="1:18" x14ac:dyDescent="0.2">
      <c r="A111" s="38" t="s">
        <v>153</v>
      </c>
      <c r="B111" s="37" t="s">
        <v>30</v>
      </c>
      <c r="C111" t="s">
        <v>29</v>
      </c>
      <c r="D111" s="37" t="s">
        <v>70</v>
      </c>
      <c r="E111" t="s">
        <v>72</v>
      </c>
      <c r="F111" s="37" t="s">
        <v>293</v>
      </c>
      <c r="G111" t="s">
        <v>294</v>
      </c>
      <c r="H111" s="37" t="s">
        <v>74</v>
      </c>
      <c r="I111" t="s">
        <v>75</v>
      </c>
      <c r="J111" s="37" t="s">
        <v>249</v>
      </c>
      <c r="K111" t="s">
        <v>246</v>
      </c>
      <c r="M111" t="s">
        <v>281</v>
      </c>
      <c r="N111" t="s">
        <v>283</v>
      </c>
      <c r="O111" t="s">
        <v>385</v>
      </c>
      <c r="P111" t="s">
        <v>384</v>
      </c>
      <c r="Q111" t="s">
        <v>392</v>
      </c>
      <c r="R111" t="s">
        <v>395</v>
      </c>
    </row>
    <row r="112" spans="1:18" x14ac:dyDescent="0.2">
      <c r="A112" s="38" t="s">
        <v>154</v>
      </c>
      <c r="B112" s="37" t="s">
        <v>30</v>
      </c>
      <c r="C112" t="s">
        <v>29</v>
      </c>
      <c r="D112" s="37" t="s">
        <v>70</v>
      </c>
      <c r="E112" t="s">
        <v>72</v>
      </c>
      <c r="F112" s="37" t="s">
        <v>293</v>
      </c>
      <c r="G112" t="s">
        <v>294</v>
      </c>
      <c r="H112" s="37" t="s">
        <v>74</v>
      </c>
      <c r="I112" t="s">
        <v>75</v>
      </c>
      <c r="J112" s="37" t="s">
        <v>249</v>
      </c>
      <c r="K112" t="s">
        <v>246</v>
      </c>
      <c r="M112" t="s">
        <v>281</v>
      </c>
      <c r="N112" t="s">
        <v>283</v>
      </c>
      <c r="O112" t="s">
        <v>385</v>
      </c>
      <c r="P112" t="s">
        <v>384</v>
      </c>
      <c r="Q112" t="s">
        <v>392</v>
      </c>
      <c r="R112" t="s">
        <v>395</v>
      </c>
    </row>
    <row r="113" spans="1:18" x14ac:dyDescent="0.2">
      <c r="A113" s="38" t="s">
        <v>155</v>
      </c>
      <c r="B113" s="37" t="s">
        <v>30</v>
      </c>
      <c r="C113" t="s">
        <v>29</v>
      </c>
      <c r="D113" s="37" t="s">
        <v>70</v>
      </c>
      <c r="E113" t="s">
        <v>72</v>
      </c>
      <c r="F113" s="37" t="s">
        <v>293</v>
      </c>
      <c r="G113" t="s">
        <v>294</v>
      </c>
      <c r="H113" s="37" t="s">
        <v>74</v>
      </c>
      <c r="I113" t="s">
        <v>75</v>
      </c>
      <c r="J113" s="37" t="s">
        <v>249</v>
      </c>
      <c r="K113" t="s">
        <v>246</v>
      </c>
      <c r="M113" t="s">
        <v>281</v>
      </c>
      <c r="N113" t="s">
        <v>283</v>
      </c>
      <c r="O113" t="s">
        <v>385</v>
      </c>
      <c r="P113" t="s">
        <v>384</v>
      </c>
      <c r="Q113" t="s">
        <v>392</v>
      </c>
      <c r="R113" t="s">
        <v>395</v>
      </c>
    </row>
    <row r="114" spans="1:18" x14ac:dyDescent="0.2">
      <c r="A114" s="38" t="s">
        <v>156</v>
      </c>
      <c r="B114" s="37" t="s">
        <v>27</v>
      </c>
      <c r="C114" t="s">
        <v>29</v>
      </c>
      <c r="D114" s="37" t="s">
        <v>70</v>
      </c>
      <c r="E114" t="s">
        <v>72</v>
      </c>
      <c r="F114" s="37" t="s">
        <v>293</v>
      </c>
      <c r="G114" t="s">
        <v>294</v>
      </c>
      <c r="H114" s="37" t="s">
        <v>74</v>
      </c>
      <c r="I114" t="s">
        <v>75</v>
      </c>
      <c r="J114" s="37" t="s">
        <v>249</v>
      </c>
      <c r="K114" t="s">
        <v>246</v>
      </c>
      <c r="M114" t="s">
        <v>281</v>
      </c>
      <c r="N114" t="s">
        <v>283</v>
      </c>
      <c r="O114" t="s">
        <v>385</v>
      </c>
      <c r="P114" t="s">
        <v>384</v>
      </c>
      <c r="Q114" t="s">
        <v>392</v>
      </c>
      <c r="R114" t="s">
        <v>395</v>
      </c>
    </row>
    <row r="115" spans="1:18" x14ac:dyDescent="0.2">
      <c r="A115" s="38" t="s">
        <v>157</v>
      </c>
      <c r="B115" s="37" t="s">
        <v>27</v>
      </c>
      <c r="C115" t="s">
        <v>29</v>
      </c>
      <c r="D115" s="37" t="s">
        <v>70</v>
      </c>
      <c r="E115" t="s">
        <v>72</v>
      </c>
      <c r="F115" s="37" t="s">
        <v>293</v>
      </c>
      <c r="G115" t="s">
        <v>294</v>
      </c>
      <c r="H115" s="37" t="s">
        <v>74</v>
      </c>
      <c r="I115" t="s">
        <v>75</v>
      </c>
      <c r="J115" s="37" t="s">
        <v>249</v>
      </c>
      <c r="K115" t="s">
        <v>246</v>
      </c>
      <c r="M115" t="s">
        <v>281</v>
      </c>
      <c r="N115" t="s">
        <v>283</v>
      </c>
      <c r="O115" t="s">
        <v>385</v>
      </c>
      <c r="P115" t="s">
        <v>384</v>
      </c>
      <c r="Q115" t="s">
        <v>392</v>
      </c>
      <c r="R115" t="s">
        <v>395</v>
      </c>
    </row>
    <row r="116" spans="1:18" x14ac:dyDescent="0.2">
      <c r="A116" s="38" t="s">
        <v>158</v>
      </c>
      <c r="B116" s="37" t="s">
        <v>27</v>
      </c>
      <c r="C116" t="s">
        <v>31</v>
      </c>
      <c r="D116" s="37" t="s">
        <v>70</v>
      </c>
      <c r="E116" t="s">
        <v>71</v>
      </c>
      <c r="F116" s="37" t="s">
        <v>293</v>
      </c>
      <c r="G116" t="s">
        <v>294</v>
      </c>
      <c r="H116" s="37" t="s">
        <v>74</v>
      </c>
      <c r="I116" t="s">
        <v>75</v>
      </c>
      <c r="J116" s="37" t="s">
        <v>249</v>
      </c>
      <c r="K116" t="s">
        <v>246</v>
      </c>
      <c r="M116" t="s">
        <v>281</v>
      </c>
      <c r="N116" t="s">
        <v>283</v>
      </c>
      <c r="O116" t="s">
        <v>385</v>
      </c>
      <c r="P116" t="s">
        <v>384</v>
      </c>
      <c r="Q116" t="s">
        <v>392</v>
      </c>
      <c r="R116" t="s">
        <v>395</v>
      </c>
    </row>
    <row r="117" spans="1:18" x14ac:dyDescent="0.2">
      <c r="A117" s="38" t="s">
        <v>159</v>
      </c>
      <c r="B117" s="37" t="s">
        <v>27</v>
      </c>
      <c r="C117" t="s">
        <v>31</v>
      </c>
      <c r="D117" s="37" t="s">
        <v>70</v>
      </c>
      <c r="E117" t="s">
        <v>71</v>
      </c>
      <c r="F117" s="37" t="s">
        <v>293</v>
      </c>
      <c r="G117" t="s">
        <v>294</v>
      </c>
      <c r="H117" s="37" t="s">
        <v>74</v>
      </c>
      <c r="I117" t="s">
        <v>75</v>
      </c>
      <c r="J117" s="37" t="s">
        <v>249</v>
      </c>
      <c r="K117" t="s">
        <v>246</v>
      </c>
      <c r="M117" t="s">
        <v>281</v>
      </c>
      <c r="N117" t="s">
        <v>283</v>
      </c>
      <c r="O117" t="s">
        <v>385</v>
      </c>
      <c r="P117" t="s">
        <v>384</v>
      </c>
      <c r="Q117" t="s">
        <v>392</v>
      </c>
      <c r="R117" t="s">
        <v>395</v>
      </c>
    </row>
    <row r="118" spans="1:18" x14ac:dyDescent="0.2">
      <c r="A118" s="38" t="s">
        <v>160</v>
      </c>
      <c r="B118" s="37" t="s">
        <v>30</v>
      </c>
      <c r="C118" t="s">
        <v>31</v>
      </c>
      <c r="D118" s="37" t="s">
        <v>70</v>
      </c>
      <c r="E118" t="s">
        <v>71</v>
      </c>
      <c r="F118" s="37" t="s">
        <v>293</v>
      </c>
      <c r="G118" t="s">
        <v>294</v>
      </c>
      <c r="H118" s="37" t="s">
        <v>74</v>
      </c>
      <c r="I118" t="s">
        <v>75</v>
      </c>
      <c r="J118" s="37" t="s">
        <v>249</v>
      </c>
      <c r="K118" t="s">
        <v>246</v>
      </c>
      <c r="M118" t="s">
        <v>281</v>
      </c>
      <c r="N118" t="s">
        <v>283</v>
      </c>
      <c r="O118" t="s">
        <v>385</v>
      </c>
      <c r="P118" t="s">
        <v>384</v>
      </c>
      <c r="Q118" t="s">
        <v>392</v>
      </c>
      <c r="R118" t="s">
        <v>395</v>
      </c>
    </row>
    <row r="119" spans="1:18" x14ac:dyDescent="0.2">
      <c r="A119" s="38" t="s">
        <v>161</v>
      </c>
      <c r="B119" s="37" t="s">
        <v>30</v>
      </c>
      <c r="C119" t="s">
        <v>31</v>
      </c>
      <c r="D119" s="37" t="s">
        <v>70</v>
      </c>
      <c r="E119" t="s">
        <v>71</v>
      </c>
      <c r="F119" s="37" t="s">
        <v>293</v>
      </c>
      <c r="G119" t="s">
        <v>294</v>
      </c>
      <c r="H119" s="37" t="s">
        <v>74</v>
      </c>
      <c r="I119" t="s">
        <v>75</v>
      </c>
      <c r="J119" s="37" t="s">
        <v>249</v>
      </c>
      <c r="K119" t="s">
        <v>246</v>
      </c>
      <c r="M119" t="s">
        <v>281</v>
      </c>
      <c r="N119" t="s">
        <v>283</v>
      </c>
      <c r="O119" t="s">
        <v>385</v>
      </c>
      <c r="P119" t="s">
        <v>384</v>
      </c>
      <c r="Q119" t="s">
        <v>392</v>
      </c>
      <c r="R119" t="s">
        <v>395</v>
      </c>
    </row>
    <row r="120" spans="1:18" x14ac:dyDescent="0.2">
      <c r="A120" s="38" t="s">
        <v>162</v>
      </c>
      <c r="B120" s="37" t="s">
        <v>30</v>
      </c>
      <c r="C120" t="s">
        <v>31</v>
      </c>
      <c r="D120" s="37" t="s">
        <v>70</v>
      </c>
      <c r="E120" t="s">
        <v>71</v>
      </c>
      <c r="F120" s="37" t="s">
        <v>293</v>
      </c>
      <c r="G120" t="s">
        <v>294</v>
      </c>
      <c r="H120" s="37" t="s">
        <v>74</v>
      </c>
      <c r="I120" t="s">
        <v>75</v>
      </c>
      <c r="J120" s="37" t="s">
        <v>249</v>
      </c>
      <c r="K120" t="s">
        <v>246</v>
      </c>
      <c r="M120" t="s">
        <v>281</v>
      </c>
      <c r="N120" t="s">
        <v>283</v>
      </c>
      <c r="O120" t="s">
        <v>385</v>
      </c>
      <c r="P120" t="s">
        <v>384</v>
      </c>
      <c r="Q120" t="s">
        <v>392</v>
      </c>
      <c r="R120" t="s">
        <v>395</v>
      </c>
    </row>
    <row r="121" spans="1:18" x14ac:dyDescent="0.2">
      <c r="A121" s="38" t="s">
        <v>163</v>
      </c>
      <c r="B121" s="37" t="s">
        <v>30</v>
      </c>
      <c r="C121" t="s">
        <v>31</v>
      </c>
      <c r="D121" s="37" t="s">
        <v>70</v>
      </c>
      <c r="E121" t="s">
        <v>71</v>
      </c>
      <c r="F121" s="37" t="s">
        <v>293</v>
      </c>
      <c r="G121" t="s">
        <v>294</v>
      </c>
      <c r="H121" s="37" t="s">
        <v>74</v>
      </c>
      <c r="I121" t="s">
        <v>75</v>
      </c>
      <c r="J121" s="37" t="s">
        <v>249</v>
      </c>
      <c r="K121" t="s">
        <v>246</v>
      </c>
      <c r="M121" t="s">
        <v>281</v>
      </c>
      <c r="N121" t="s">
        <v>283</v>
      </c>
      <c r="O121" t="s">
        <v>385</v>
      </c>
      <c r="P121" t="s">
        <v>384</v>
      </c>
      <c r="Q121" t="s">
        <v>392</v>
      </c>
      <c r="R121" t="s">
        <v>395</v>
      </c>
    </row>
    <row r="122" spans="1:18" x14ac:dyDescent="0.2">
      <c r="A122" s="38" t="s">
        <v>166</v>
      </c>
      <c r="B122" s="37" t="s">
        <v>27</v>
      </c>
      <c r="C122" t="s">
        <v>29</v>
      </c>
      <c r="D122" s="37" t="s">
        <v>70</v>
      </c>
      <c r="E122" t="s">
        <v>72</v>
      </c>
      <c r="F122" s="37" t="s">
        <v>293</v>
      </c>
      <c r="G122" t="s">
        <v>294</v>
      </c>
      <c r="H122" s="37" t="s">
        <v>74</v>
      </c>
      <c r="I122" t="s">
        <v>75</v>
      </c>
      <c r="J122" s="37" t="s">
        <v>250</v>
      </c>
      <c r="K122" t="s">
        <v>247</v>
      </c>
      <c r="M122" t="s">
        <v>281</v>
      </c>
      <c r="N122" t="s">
        <v>283</v>
      </c>
      <c r="O122" t="s">
        <v>385</v>
      </c>
      <c r="P122" t="s">
        <v>384</v>
      </c>
      <c r="Q122" t="s">
        <v>392</v>
      </c>
      <c r="R122" t="s">
        <v>395</v>
      </c>
    </row>
    <row r="123" spans="1:18" x14ac:dyDescent="0.2">
      <c r="A123" s="38" t="s">
        <v>167</v>
      </c>
      <c r="B123" s="37" t="s">
        <v>27</v>
      </c>
      <c r="C123" t="s">
        <v>29</v>
      </c>
      <c r="D123" s="37" t="s">
        <v>70</v>
      </c>
      <c r="E123" t="s">
        <v>72</v>
      </c>
      <c r="F123" s="37" t="s">
        <v>293</v>
      </c>
      <c r="G123" t="s">
        <v>294</v>
      </c>
      <c r="H123" s="37" t="s">
        <v>74</v>
      </c>
      <c r="I123" t="s">
        <v>75</v>
      </c>
      <c r="J123" s="37" t="s">
        <v>250</v>
      </c>
      <c r="K123" t="s">
        <v>247</v>
      </c>
      <c r="M123" t="s">
        <v>281</v>
      </c>
      <c r="N123" t="s">
        <v>283</v>
      </c>
      <c r="O123" t="s">
        <v>385</v>
      </c>
      <c r="P123" t="s">
        <v>384</v>
      </c>
      <c r="Q123" t="s">
        <v>392</v>
      </c>
      <c r="R123" t="s">
        <v>395</v>
      </c>
    </row>
    <row r="124" spans="1:18" x14ac:dyDescent="0.2">
      <c r="A124" s="38" t="s">
        <v>168</v>
      </c>
      <c r="B124" s="37" t="s">
        <v>27</v>
      </c>
      <c r="C124" t="s">
        <v>29</v>
      </c>
      <c r="D124" s="37" t="s">
        <v>70</v>
      </c>
      <c r="E124" t="s">
        <v>72</v>
      </c>
      <c r="F124" s="37" t="s">
        <v>293</v>
      </c>
      <c r="G124" t="s">
        <v>294</v>
      </c>
      <c r="H124" s="37" t="s">
        <v>74</v>
      </c>
      <c r="I124" t="s">
        <v>75</v>
      </c>
      <c r="J124" s="37" t="s">
        <v>250</v>
      </c>
      <c r="K124" t="s">
        <v>247</v>
      </c>
      <c r="M124" t="s">
        <v>281</v>
      </c>
      <c r="N124" t="s">
        <v>283</v>
      </c>
      <c r="O124" t="s">
        <v>385</v>
      </c>
      <c r="P124" t="s">
        <v>384</v>
      </c>
      <c r="Q124" t="s">
        <v>392</v>
      </c>
      <c r="R124" t="s">
        <v>395</v>
      </c>
    </row>
    <row r="125" spans="1:18" x14ac:dyDescent="0.2">
      <c r="A125" s="38" t="s">
        <v>169</v>
      </c>
      <c r="B125" s="37" t="s">
        <v>27</v>
      </c>
      <c r="C125" t="s">
        <v>29</v>
      </c>
      <c r="D125" s="37" t="s">
        <v>70</v>
      </c>
      <c r="E125" t="s">
        <v>72</v>
      </c>
      <c r="F125" s="37" t="s">
        <v>293</v>
      </c>
      <c r="G125" t="s">
        <v>294</v>
      </c>
      <c r="H125" s="37" t="s">
        <v>74</v>
      </c>
      <c r="I125" t="s">
        <v>75</v>
      </c>
      <c r="J125" s="37" t="s">
        <v>250</v>
      </c>
      <c r="K125" t="s">
        <v>247</v>
      </c>
      <c r="M125" t="s">
        <v>281</v>
      </c>
      <c r="N125" t="s">
        <v>283</v>
      </c>
      <c r="O125" t="s">
        <v>385</v>
      </c>
      <c r="P125" t="s">
        <v>384</v>
      </c>
      <c r="Q125" t="s">
        <v>392</v>
      </c>
      <c r="R125" t="s">
        <v>395</v>
      </c>
    </row>
    <row r="126" spans="1:18" x14ac:dyDescent="0.2">
      <c r="A126" s="38" t="s">
        <v>170</v>
      </c>
      <c r="B126" s="37" t="s">
        <v>32</v>
      </c>
      <c r="C126" t="s">
        <v>29</v>
      </c>
      <c r="D126" s="37" t="s">
        <v>70</v>
      </c>
      <c r="E126" t="s">
        <v>72</v>
      </c>
      <c r="F126" s="37" t="s">
        <v>293</v>
      </c>
      <c r="G126" t="s">
        <v>294</v>
      </c>
      <c r="H126" s="37" t="s">
        <v>74</v>
      </c>
      <c r="I126" t="s">
        <v>75</v>
      </c>
      <c r="J126" s="37" t="s">
        <v>250</v>
      </c>
      <c r="K126" t="s">
        <v>247</v>
      </c>
      <c r="M126" t="s">
        <v>281</v>
      </c>
      <c r="N126" t="s">
        <v>283</v>
      </c>
      <c r="O126" t="s">
        <v>385</v>
      </c>
      <c r="P126" t="s">
        <v>384</v>
      </c>
      <c r="Q126" t="s">
        <v>392</v>
      </c>
      <c r="R126" t="s">
        <v>395</v>
      </c>
    </row>
    <row r="127" spans="1:18" x14ac:dyDescent="0.2">
      <c r="A127" s="38" t="s">
        <v>171</v>
      </c>
      <c r="B127" s="37" t="s">
        <v>32</v>
      </c>
      <c r="C127" t="s">
        <v>29</v>
      </c>
      <c r="D127" s="37" t="s">
        <v>70</v>
      </c>
      <c r="E127" t="s">
        <v>72</v>
      </c>
      <c r="F127" s="37" t="s">
        <v>293</v>
      </c>
      <c r="G127" t="s">
        <v>294</v>
      </c>
      <c r="H127" s="37" t="s">
        <v>74</v>
      </c>
      <c r="I127" t="s">
        <v>75</v>
      </c>
      <c r="J127" s="37" t="s">
        <v>250</v>
      </c>
      <c r="K127" t="s">
        <v>247</v>
      </c>
      <c r="M127" t="s">
        <v>281</v>
      </c>
      <c r="N127" t="s">
        <v>283</v>
      </c>
      <c r="O127" t="s">
        <v>385</v>
      </c>
      <c r="P127" t="s">
        <v>384</v>
      </c>
      <c r="Q127" t="s">
        <v>392</v>
      </c>
      <c r="R127" t="s">
        <v>395</v>
      </c>
    </row>
    <row r="128" spans="1:18" x14ac:dyDescent="0.2">
      <c r="A128" s="38" t="s">
        <v>172</v>
      </c>
      <c r="B128" s="37" t="s">
        <v>32</v>
      </c>
      <c r="C128" t="s">
        <v>34</v>
      </c>
      <c r="D128" s="37" t="s">
        <v>70</v>
      </c>
      <c r="E128" t="s">
        <v>72</v>
      </c>
      <c r="F128" s="37" t="s">
        <v>293</v>
      </c>
      <c r="G128" t="s">
        <v>294</v>
      </c>
      <c r="H128" s="37" t="s">
        <v>74</v>
      </c>
      <c r="I128" t="s">
        <v>75</v>
      </c>
      <c r="J128" s="37" t="s">
        <v>250</v>
      </c>
      <c r="K128" t="s">
        <v>247</v>
      </c>
      <c r="M128" t="s">
        <v>281</v>
      </c>
      <c r="N128" t="s">
        <v>283</v>
      </c>
      <c r="O128" t="s">
        <v>385</v>
      </c>
      <c r="P128" t="s">
        <v>384</v>
      </c>
      <c r="Q128" t="s">
        <v>392</v>
      </c>
      <c r="R128" t="s">
        <v>395</v>
      </c>
    </row>
    <row r="129" spans="1:18" x14ac:dyDescent="0.2">
      <c r="A129" s="38" t="s">
        <v>173</v>
      </c>
      <c r="B129" s="37" t="s">
        <v>32</v>
      </c>
      <c r="C129" t="s">
        <v>34</v>
      </c>
      <c r="D129" s="37" t="s">
        <v>70</v>
      </c>
      <c r="E129" t="s">
        <v>72</v>
      </c>
      <c r="F129" s="37" t="s">
        <v>293</v>
      </c>
      <c r="G129" t="s">
        <v>294</v>
      </c>
      <c r="H129" s="37" t="s">
        <v>74</v>
      </c>
      <c r="I129" t="s">
        <v>75</v>
      </c>
      <c r="J129" s="37" t="s">
        <v>250</v>
      </c>
      <c r="K129" t="s">
        <v>247</v>
      </c>
      <c r="M129" t="s">
        <v>281</v>
      </c>
      <c r="N129" t="s">
        <v>283</v>
      </c>
      <c r="O129" t="s">
        <v>385</v>
      </c>
      <c r="P129" t="s">
        <v>384</v>
      </c>
      <c r="Q129" t="s">
        <v>392</v>
      </c>
      <c r="R129" t="s">
        <v>395</v>
      </c>
    </row>
    <row r="130" spans="1:18" x14ac:dyDescent="0.2">
      <c r="A130" s="38" t="s">
        <v>174</v>
      </c>
      <c r="B130" s="37" t="s">
        <v>32</v>
      </c>
      <c r="C130" t="s">
        <v>34</v>
      </c>
      <c r="D130" s="37" t="s">
        <v>70</v>
      </c>
      <c r="E130" t="s">
        <v>72</v>
      </c>
      <c r="F130" s="37" t="s">
        <v>293</v>
      </c>
      <c r="G130" t="s">
        <v>294</v>
      </c>
      <c r="H130" s="37" t="s">
        <v>74</v>
      </c>
      <c r="I130" t="s">
        <v>75</v>
      </c>
      <c r="J130" s="37" t="s">
        <v>250</v>
      </c>
      <c r="K130" t="s">
        <v>247</v>
      </c>
      <c r="M130" t="s">
        <v>281</v>
      </c>
      <c r="N130" t="s">
        <v>283</v>
      </c>
      <c r="O130" t="s">
        <v>385</v>
      </c>
      <c r="P130" t="s">
        <v>384</v>
      </c>
      <c r="Q130" t="s">
        <v>392</v>
      </c>
      <c r="R130" t="s">
        <v>395</v>
      </c>
    </row>
    <row r="131" spans="1:18" x14ac:dyDescent="0.2">
      <c r="A131" s="38" t="s">
        <v>175</v>
      </c>
      <c r="B131" s="37" t="s">
        <v>32</v>
      </c>
      <c r="C131" t="s">
        <v>34</v>
      </c>
      <c r="D131" s="37" t="s">
        <v>70</v>
      </c>
      <c r="E131" t="s">
        <v>72</v>
      </c>
      <c r="F131" s="37" t="s">
        <v>293</v>
      </c>
      <c r="G131" t="s">
        <v>294</v>
      </c>
      <c r="H131" s="37" t="s">
        <v>74</v>
      </c>
      <c r="I131" t="s">
        <v>75</v>
      </c>
      <c r="J131" s="37" t="s">
        <v>250</v>
      </c>
      <c r="K131" t="s">
        <v>247</v>
      </c>
      <c r="M131" t="s">
        <v>281</v>
      </c>
      <c r="N131" t="s">
        <v>283</v>
      </c>
      <c r="O131" t="s">
        <v>385</v>
      </c>
      <c r="P131" t="s">
        <v>384</v>
      </c>
      <c r="Q131" t="s">
        <v>392</v>
      </c>
      <c r="R131" t="s">
        <v>395</v>
      </c>
    </row>
    <row r="132" spans="1:18" x14ac:dyDescent="0.2">
      <c r="A132" s="38" t="s">
        <v>176</v>
      </c>
      <c r="B132" s="37" t="s">
        <v>32</v>
      </c>
      <c r="C132" t="s">
        <v>34</v>
      </c>
      <c r="D132" s="37" t="s">
        <v>70</v>
      </c>
      <c r="E132" t="s">
        <v>72</v>
      </c>
      <c r="F132" s="37" t="s">
        <v>293</v>
      </c>
      <c r="G132" t="s">
        <v>294</v>
      </c>
      <c r="H132" s="37" t="s">
        <v>74</v>
      </c>
      <c r="I132" t="s">
        <v>75</v>
      </c>
      <c r="J132" s="37" t="s">
        <v>250</v>
      </c>
      <c r="K132" t="s">
        <v>247</v>
      </c>
      <c r="M132" t="s">
        <v>281</v>
      </c>
      <c r="N132" t="s">
        <v>283</v>
      </c>
      <c r="O132" t="s">
        <v>385</v>
      </c>
      <c r="P132" t="s">
        <v>384</v>
      </c>
      <c r="Q132" t="s">
        <v>392</v>
      </c>
      <c r="R132" t="s">
        <v>395</v>
      </c>
    </row>
    <row r="133" spans="1:18" x14ac:dyDescent="0.2">
      <c r="A133" s="38" t="s">
        <v>177</v>
      </c>
      <c r="B133" s="37" t="s">
        <v>32</v>
      </c>
      <c r="C133" t="s">
        <v>34</v>
      </c>
      <c r="D133" s="37" t="s">
        <v>70</v>
      </c>
      <c r="E133" t="s">
        <v>72</v>
      </c>
      <c r="F133" s="37" t="s">
        <v>293</v>
      </c>
      <c r="G133" t="s">
        <v>294</v>
      </c>
      <c r="H133" s="37" t="s">
        <v>74</v>
      </c>
      <c r="I133" t="s">
        <v>75</v>
      </c>
      <c r="J133" s="37" t="s">
        <v>250</v>
      </c>
      <c r="K133" t="s">
        <v>247</v>
      </c>
      <c r="M133" t="s">
        <v>281</v>
      </c>
      <c r="N133" t="s">
        <v>283</v>
      </c>
      <c r="O133" t="s">
        <v>385</v>
      </c>
      <c r="P133" t="s">
        <v>384</v>
      </c>
      <c r="Q133" t="s">
        <v>392</v>
      </c>
      <c r="R133" t="s">
        <v>395</v>
      </c>
    </row>
    <row r="134" spans="1:18" x14ac:dyDescent="0.2">
      <c r="A134" s="38" t="s">
        <v>179</v>
      </c>
      <c r="B134" s="37" t="s">
        <v>30</v>
      </c>
      <c r="C134" t="s">
        <v>28</v>
      </c>
      <c r="D134" s="37" t="s">
        <v>70</v>
      </c>
      <c r="E134" t="s">
        <v>72</v>
      </c>
      <c r="F134" s="37" t="s">
        <v>293</v>
      </c>
      <c r="G134" t="s">
        <v>294</v>
      </c>
      <c r="H134" s="37" t="s">
        <v>74</v>
      </c>
      <c r="I134" t="s">
        <v>75</v>
      </c>
      <c r="J134" s="37" t="s">
        <v>250</v>
      </c>
      <c r="K134" t="s">
        <v>247</v>
      </c>
      <c r="M134" t="s">
        <v>281</v>
      </c>
      <c r="N134" t="s">
        <v>283</v>
      </c>
      <c r="O134" t="s">
        <v>385</v>
      </c>
      <c r="P134" t="s">
        <v>384</v>
      </c>
      <c r="Q134" t="s">
        <v>392</v>
      </c>
      <c r="R134" t="s">
        <v>395</v>
      </c>
    </row>
    <row r="135" spans="1:18" x14ac:dyDescent="0.2">
      <c r="A135" s="38" t="s">
        <v>180</v>
      </c>
      <c r="B135" s="37" t="s">
        <v>30</v>
      </c>
      <c r="C135" t="s">
        <v>28</v>
      </c>
      <c r="D135" s="37" t="s">
        <v>70</v>
      </c>
      <c r="E135" t="s">
        <v>72</v>
      </c>
      <c r="F135" s="37" t="s">
        <v>293</v>
      </c>
      <c r="G135" t="s">
        <v>294</v>
      </c>
      <c r="H135" s="37" t="s">
        <v>74</v>
      </c>
      <c r="I135" t="s">
        <v>75</v>
      </c>
      <c r="J135" s="37" t="s">
        <v>250</v>
      </c>
      <c r="K135" t="s">
        <v>247</v>
      </c>
      <c r="M135" t="s">
        <v>281</v>
      </c>
      <c r="N135" t="s">
        <v>283</v>
      </c>
      <c r="O135" t="s">
        <v>385</v>
      </c>
      <c r="P135" t="s">
        <v>384</v>
      </c>
      <c r="Q135" t="s">
        <v>392</v>
      </c>
      <c r="R135" t="s">
        <v>395</v>
      </c>
    </row>
    <row r="136" spans="1:18" x14ac:dyDescent="0.2">
      <c r="A136" s="38" t="s">
        <v>181</v>
      </c>
      <c r="B136" s="37" t="s">
        <v>30</v>
      </c>
      <c r="C136" t="s">
        <v>28</v>
      </c>
      <c r="D136" s="37" t="s">
        <v>70</v>
      </c>
      <c r="E136" t="s">
        <v>72</v>
      </c>
      <c r="F136" s="37" t="s">
        <v>293</v>
      </c>
      <c r="G136" t="s">
        <v>294</v>
      </c>
      <c r="H136" s="37" t="s">
        <v>74</v>
      </c>
      <c r="I136" t="s">
        <v>75</v>
      </c>
      <c r="J136" s="37" t="s">
        <v>250</v>
      </c>
      <c r="K136" t="s">
        <v>247</v>
      </c>
      <c r="M136" t="s">
        <v>281</v>
      </c>
      <c r="N136" t="s">
        <v>283</v>
      </c>
      <c r="O136" t="s">
        <v>385</v>
      </c>
      <c r="P136" t="s">
        <v>384</v>
      </c>
      <c r="Q136" t="s">
        <v>392</v>
      </c>
      <c r="R136" t="s">
        <v>395</v>
      </c>
    </row>
    <row r="137" spans="1:18" x14ac:dyDescent="0.2">
      <c r="A137" s="38" t="s">
        <v>182</v>
      </c>
      <c r="B137" s="37" t="s">
        <v>30</v>
      </c>
      <c r="C137" t="s">
        <v>28</v>
      </c>
      <c r="D137" s="37" t="s">
        <v>70</v>
      </c>
      <c r="E137" t="s">
        <v>72</v>
      </c>
      <c r="F137" s="37" t="s">
        <v>293</v>
      </c>
      <c r="G137" t="s">
        <v>294</v>
      </c>
      <c r="H137" s="37" t="s">
        <v>74</v>
      </c>
      <c r="I137" t="s">
        <v>75</v>
      </c>
      <c r="J137" s="37" t="s">
        <v>250</v>
      </c>
      <c r="K137" t="s">
        <v>247</v>
      </c>
      <c r="M137" t="s">
        <v>281</v>
      </c>
      <c r="N137" t="s">
        <v>283</v>
      </c>
      <c r="O137" t="s">
        <v>385</v>
      </c>
      <c r="P137" t="s">
        <v>384</v>
      </c>
      <c r="Q137" t="s">
        <v>392</v>
      </c>
      <c r="R137" t="s">
        <v>395</v>
      </c>
    </row>
    <row r="138" spans="1:18" x14ac:dyDescent="0.2">
      <c r="A138" s="38" t="s">
        <v>183</v>
      </c>
      <c r="B138" s="37" t="s">
        <v>33</v>
      </c>
      <c r="C138" t="s">
        <v>28</v>
      </c>
      <c r="D138" s="37" t="s">
        <v>70</v>
      </c>
      <c r="E138" t="s">
        <v>72</v>
      </c>
      <c r="F138" s="37" t="s">
        <v>293</v>
      </c>
      <c r="G138" t="s">
        <v>294</v>
      </c>
      <c r="H138" s="37" t="s">
        <v>74</v>
      </c>
      <c r="I138" t="s">
        <v>75</v>
      </c>
      <c r="J138" s="37" t="s">
        <v>250</v>
      </c>
      <c r="K138" t="s">
        <v>247</v>
      </c>
      <c r="M138" t="s">
        <v>281</v>
      </c>
      <c r="N138" t="s">
        <v>283</v>
      </c>
      <c r="O138" t="s">
        <v>385</v>
      </c>
      <c r="P138" t="s">
        <v>384</v>
      </c>
      <c r="Q138" t="s">
        <v>392</v>
      </c>
      <c r="R138" t="s">
        <v>395</v>
      </c>
    </row>
    <row r="139" spans="1:18" x14ac:dyDescent="0.2">
      <c r="A139" s="38" t="s">
        <v>184</v>
      </c>
      <c r="B139" s="37" t="s">
        <v>33</v>
      </c>
      <c r="C139" t="s">
        <v>28</v>
      </c>
      <c r="D139" s="37" t="s">
        <v>70</v>
      </c>
      <c r="E139" t="s">
        <v>72</v>
      </c>
      <c r="F139" s="37" t="s">
        <v>293</v>
      </c>
      <c r="G139" t="s">
        <v>294</v>
      </c>
      <c r="H139" s="37" t="s">
        <v>74</v>
      </c>
      <c r="I139" t="s">
        <v>75</v>
      </c>
      <c r="J139" s="37" t="s">
        <v>250</v>
      </c>
      <c r="K139" t="s">
        <v>247</v>
      </c>
      <c r="M139" t="s">
        <v>281</v>
      </c>
      <c r="N139" t="s">
        <v>283</v>
      </c>
      <c r="O139" t="s">
        <v>385</v>
      </c>
      <c r="P139" t="s">
        <v>384</v>
      </c>
      <c r="Q139" t="s">
        <v>392</v>
      </c>
      <c r="R139" t="s">
        <v>395</v>
      </c>
    </row>
    <row r="140" spans="1:18" x14ac:dyDescent="0.2">
      <c r="A140" s="38" t="s">
        <v>185</v>
      </c>
      <c r="B140" s="37" t="s">
        <v>33</v>
      </c>
      <c r="C140" t="s">
        <v>34</v>
      </c>
      <c r="D140" s="37" t="s">
        <v>70</v>
      </c>
      <c r="E140" t="s">
        <v>72</v>
      </c>
      <c r="F140" s="37" t="s">
        <v>293</v>
      </c>
      <c r="G140" t="s">
        <v>294</v>
      </c>
      <c r="H140" s="37" t="s">
        <v>74</v>
      </c>
      <c r="I140" t="s">
        <v>75</v>
      </c>
      <c r="J140" s="37" t="s">
        <v>250</v>
      </c>
      <c r="K140" t="s">
        <v>247</v>
      </c>
      <c r="M140" t="s">
        <v>281</v>
      </c>
      <c r="N140" t="s">
        <v>283</v>
      </c>
      <c r="O140" t="s">
        <v>385</v>
      </c>
      <c r="P140" t="s">
        <v>384</v>
      </c>
      <c r="Q140" t="s">
        <v>392</v>
      </c>
      <c r="R140" t="s">
        <v>395</v>
      </c>
    </row>
    <row r="141" spans="1:18" x14ac:dyDescent="0.2">
      <c r="A141" s="38" t="s">
        <v>186</v>
      </c>
      <c r="B141" s="37" t="s">
        <v>33</v>
      </c>
      <c r="C141" t="s">
        <v>34</v>
      </c>
      <c r="D141" s="37" t="s">
        <v>70</v>
      </c>
      <c r="E141" t="s">
        <v>72</v>
      </c>
      <c r="F141" s="37" t="s">
        <v>293</v>
      </c>
      <c r="G141" t="s">
        <v>294</v>
      </c>
      <c r="H141" s="37" t="s">
        <v>74</v>
      </c>
      <c r="I141" t="s">
        <v>75</v>
      </c>
      <c r="J141" s="37" t="s">
        <v>250</v>
      </c>
      <c r="K141" t="s">
        <v>247</v>
      </c>
      <c r="M141" t="s">
        <v>281</v>
      </c>
      <c r="N141" t="s">
        <v>283</v>
      </c>
      <c r="O141" t="s">
        <v>385</v>
      </c>
      <c r="P141" t="s">
        <v>384</v>
      </c>
      <c r="Q141" t="s">
        <v>392</v>
      </c>
      <c r="R141" t="s">
        <v>395</v>
      </c>
    </row>
    <row r="142" spans="1:18" x14ac:dyDescent="0.2">
      <c r="A142" s="38" t="s">
        <v>187</v>
      </c>
      <c r="B142" s="37" t="s">
        <v>33</v>
      </c>
      <c r="C142" t="s">
        <v>34</v>
      </c>
      <c r="D142" s="37" t="s">
        <v>70</v>
      </c>
      <c r="E142" t="s">
        <v>72</v>
      </c>
      <c r="F142" s="37" t="s">
        <v>293</v>
      </c>
      <c r="G142" t="s">
        <v>294</v>
      </c>
      <c r="H142" s="37" t="s">
        <v>74</v>
      </c>
      <c r="I142" t="s">
        <v>75</v>
      </c>
      <c r="J142" s="37" t="s">
        <v>250</v>
      </c>
      <c r="K142" t="s">
        <v>247</v>
      </c>
      <c r="M142" t="s">
        <v>281</v>
      </c>
      <c r="N142" t="s">
        <v>283</v>
      </c>
      <c r="O142" t="s">
        <v>385</v>
      </c>
      <c r="P142" t="s">
        <v>384</v>
      </c>
      <c r="Q142" t="s">
        <v>392</v>
      </c>
      <c r="R142" t="s">
        <v>395</v>
      </c>
    </row>
    <row r="143" spans="1:18" x14ac:dyDescent="0.2">
      <c r="A143" s="38" t="s">
        <v>188</v>
      </c>
      <c r="B143" s="37" t="s">
        <v>33</v>
      </c>
      <c r="C143" t="s">
        <v>34</v>
      </c>
      <c r="D143" s="37" t="s">
        <v>70</v>
      </c>
      <c r="E143" t="s">
        <v>72</v>
      </c>
      <c r="F143" s="37" t="s">
        <v>293</v>
      </c>
      <c r="G143" t="s">
        <v>294</v>
      </c>
      <c r="H143" s="37" t="s">
        <v>74</v>
      </c>
      <c r="I143" t="s">
        <v>75</v>
      </c>
      <c r="J143" s="37" t="s">
        <v>250</v>
      </c>
      <c r="K143" t="s">
        <v>247</v>
      </c>
      <c r="M143" t="s">
        <v>281</v>
      </c>
      <c r="N143" t="s">
        <v>283</v>
      </c>
      <c r="O143" t="s">
        <v>385</v>
      </c>
      <c r="P143" t="s">
        <v>384</v>
      </c>
      <c r="Q143" t="s">
        <v>392</v>
      </c>
      <c r="R143" t="s">
        <v>395</v>
      </c>
    </row>
    <row r="144" spans="1:18" x14ac:dyDescent="0.2">
      <c r="A144" s="38" t="s">
        <v>189</v>
      </c>
      <c r="B144" s="37" t="s">
        <v>33</v>
      </c>
      <c r="C144" t="s">
        <v>34</v>
      </c>
      <c r="D144" s="37" t="s">
        <v>70</v>
      </c>
      <c r="E144" t="s">
        <v>72</v>
      </c>
      <c r="F144" s="37" t="s">
        <v>293</v>
      </c>
      <c r="G144" t="s">
        <v>294</v>
      </c>
      <c r="H144" s="37" t="s">
        <v>74</v>
      </c>
      <c r="I144" t="s">
        <v>75</v>
      </c>
      <c r="J144" s="37" t="s">
        <v>250</v>
      </c>
      <c r="K144" t="s">
        <v>247</v>
      </c>
      <c r="M144" t="s">
        <v>281</v>
      </c>
      <c r="N144" t="s">
        <v>283</v>
      </c>
      <c r="O144" t="s">
        <v>385</v>
      </c>
      <c r="P144" t="s">
        <v>384</v>
      </c>
      <c r="Q144" t="s">
        <v>392</v>
      </c>
      <c r="R144" t="s">
        <v>395</v>
      </c>
    </row>
    <row r="145" spans="1:18" x14ac:dyDescent="0.2">
      <c r="A145" s="38" t="s">
        <v>190</v>
      </c>
      <c r="B145" s="37" t="s">
        <v>33</v>
      </c>
      <c r="C145" t="s">
        <v>34</v>
      </c>
      <c r="D145" s="37" t="s">
        <v>70</v>
      </c>
      <c r="E145" t="s">
        <v>72</v>
      </c>
      <c r="F145" s="37" t="s">
        <v>293</v>
      </c>
      <c r="G145" t="s">
        <v>294</v>
      </c>
      <c r="H145" s="37" t="s">
        <v>74</v>
      </c>
      <c r="I145" t="s">
        <v>75</v>
      </c>
      <c r="J145" s="37" t="s">
        <v>250</v>
      </c>
      <c r="K145" t="s">
        <v>247</v>
      </c>
      <c r="M145" t="s">
        <v>281</v>
      </c>
      <c r="N145" t="s">
        <v>283</v>
      </c>
      <c r="O145" t="s">
        <v>385</v>
      </c>
      <c r="P145" t="s">
        <v>384</v>
      </c>
      <c r="Q145" t="s">
        <v>392</v>
      </c>
      <c r="R145" t="s">
        <v>395</v>
      </c>
    </row>
    <row r="146" spans="1:18" x14ac:dyDescent="0.2">
      <c r="A146" s="38" t="s">
        <v>193</v>
      </c>
      <c r="B146" s="37" t="s">
        <v>32</v>
      </c>
      <c r="C146" t="s">
        <v>29</v>
      </c>
      <c r="D146" s="37" t="s">
        <v>70</v>
      </c>
      <c r="E146" t="s">
        <v>72</v>
      </c>
      <c r="F146" s="37" t="s">
        <v>293</v>
      </c>
      <c r="G146" t="s">
        <v>294</v>
      </c>
      <c r="H146" s="37" t="s">
        <v>74</v>
      </c>
      <c r="I146" t="s">
        <v>75</v>
      </c>
      <c r="J146" s="37" t="s">
        <v>250</v>
      </c>
      <c r="K146" t="s">
        <v>247</v>
      </c>
      <c r="M146" t="s">
        <v>281</v>
      </c>
      <c r="N146" t="s">
        <v>283</v>
      </c>
      <c r="O146" t="s">
        <v>385</v>
      </c>
      <c r="P146" t="s">
        <v>384</v>
      </c>
      <c r="Q146" t="s">
        <v>392</v>
      </c>
      <c r="R146" t="s">
        <v>395</v>
      </c>
    </row>
    <row r="147" spans="1:18" x14ac:dyDescent="0.2">
      <c r="A147" s="38" t="s">
        <v>194</v>
      </c>
      <c r="B147" s="37" t="s">
        <v>33</v>
      </c>
      <c r="C147" t="s">
        <v>29</v>
      </c>
      <c r="D147" s="37" t="s">
        <v>70</v>
      </c>
      <c r="E147" t="s">
        <v>72</v>
      </c>
      <c r="F147" s="37" t="s">
        <v>293</v>
      </c>
      <c r="G147" t="s">
        <v>294</v>
      </c>
      <c r="H147" s="37" t="s">
        <v>74</v>
      </c>
      <c r="I147" t="s">
        <v>75</v>
      </c>
      <c r="J147" s="37" t="s">
        <v>250</v>
      </c>
      <c r="K147" t="s">
        <v>247</v>
      </c>
      <c r="M147" t="s">
        <v>281</v>
      </c>
      <c r="N147" t="s">
        <v>283</v>
      </c>
      <c r="O147" t="s">
        <v>385</v>
      </c>
      <c r="P147" t="s">
        <v>384</v>
      </c>
      <c r="Q147" t="s">
        <v>392</v>
      </c>
      <c r="R147" t="s">
        <v>395</v>
      </c>
    </row>
    <row r="148" spans="1:18" x14ac:dyDescent="0.2">
      <c r="A148" s="38" t="s">
        <v>195</v>
      </c>
      <c r="B148" s="37" t="s">
        <v>32</v>
      </c>
      <c r="C148" t="s">
        <v>29</v>
      </c>
      <c r="D148" s="37" t="s">
        <v>70</v>
      </c>
      <c r="E148" t="s">
        <v>72</v>
      </c>
      <c r="F148" s="37" t="s">
        <v>293</v>
      </c>
      <c r="G148" t="s">
        <v>294</v>
      </c>
      <c r="H148" s="37" t="s">
        <v>74</v>
      </c>
      <c r="I148" t="s">
        <v>75</v>
      </c>
      <c r="J148" s="37" t="s">
        <v>250</v>
      </c>
      <c r="K148" t="s">
        <v>247</v>
      </c>
      <c r="M148" t="s">
        <v>281</v>
      </c>
      <c r="N148" t="s">
        <v>283</v>
      </c>
      <c r="O148" t="s">
        <v>385</v>
      </c>
      <c r="P148" t="s">
        <v>384</v>
      </c>
      <c r="Q148" t="s">
        <v>392</v>
      </c>
      <c r="R148" t="s">
        <v>395</v>
      </c>
    </row>
    <row r="149" spans="1:18" x14ac:dyDescent="0.2">
      <c r="A149" s="38" t="s">
        <v>196</v>
      </c>
      <c r="B149" s="37" t="s">
        <v>33</v>
      </c>
      <c r="C149" t="s">
        <v>29</v>
      </c>
      <c r="D149" s="37" t="s">
        <v>70</v>
      </c>
      <c r="E149" t="s">
        <v>72</v>
      </c>
      <c r="F149" s="37" t="s">
        <v>293</v>
      </c>
      <c r="G149" t="s">
        <v>294</v>
      </c>
      <c r="H149" s="37" t="s">
        <v>74</v>
      </c>
      <c r="I149" t="s">
        <v>75</v>
      </c>
      <c r="J149" s="37" t="s">
        <v>250</v>
      </c>
      <c r="K149" t="s">
        <v>247</v>
      </c>
      <c r="M149" t="s">
        <v>281</v>
      </c>
      <c r="N149" t="s">
        <v>283</v>
      </c>
      <c r="O149" t="s">
        <v>385</v>
      </c>
      <c r="P149" t="s">
        <v>384</v>
      </c>
      <c r="Q149" t="s">
        <v>392</v>
      </c>
      <c r="R149" t="s">
        <v>395</v>
      </c>
    </row>
    <row r="150" spans="1:18" x14ac:dyDescent="0.2">
      <c r="A150" s="38" t="s">
        <v>197</v>
      </c>
      <c r="B150" s="37" t="s">
        <v>32</v>
      </c>
      <c r="C150" t="s">
        <v>29</v>
      </c>
      <c r="D150" s="37" t="s">
        <v>70</v>
      </c>
      <c r="E150" t="s">
        <v>72</v>
      </c>
      <c r="F150" s="37" t="s">
        <v>293</v>
      </c>
      <c r="G150" t="s">
        <v>294</v>
      </c>
      <c r="H150" s="37" t="s">
        <v>74</v>
      </c>
      <c r="I150" t="s">
        <v>75</v>
      </c>
      <c r="J150" s="37" t="s">
        <v>250</v>
      </c>
      <c r="K150" t="s">
        <v>247</v>
      </c>
      <c r="M150" t="s">
        <v>281</v>
      </c>
      <c r="N150" t="s">
        <v>283</v>
      </c>
      <c r="O150" t="s">
        <v>385</v>
      </c>
      <c r="P150" t="s">
        <v>384</v>
      </c>
      <c r="Q150" t="s">
        <v>392</v>
      </c>
      <c r="R150" t="s">
        <v>395</v>
      </c>
    </row>
    <row r="151" spans="1:18" x14ac:dyDescent="0.2">
      <c r="A151" s="38" t="s">
        <v>198</v>
      </c>
      <c r="B151" s="37" t="s">
        <v>33</v>
      </c>
      <c r="C151" t="s">
        <v>29</v>
      </c>
      <c r="D151" s="37" t="s">
        <v>70</v>
      </c>
      <c r="E151" t="s">
        <v>72</v>
      </c>
      <c r="F151" s="37" t="s">
        <v>293</v>
      </c>
      <c r="G151" t="s">
        <v>294</v>
      </c>
      <c r="H151" s="37" t="s">
        <v>74</v>
      </c>
      <c r="I151" t="s">
        <v>75</v>
      </c>
      <c r="J151" s="37" t="s">
        <v>250</v>
      </c>
      <c r="K151" t="s">
        <v>247</v>
      </c>
      <c r="M151" t="s">
        <v>281</v>
      </c>
      <c r="N151" t="s">
        <v>283</v>
      </c>
      <c r="O151" t="s">
        <v>385</v>
      </c>
      <c r="P151" t="s">
        <v>384</v>
      </c>
      <c r="Q151" t="s">
        <v>392</v>
      </c>
      <c r="R151" t="s">
        <v>395</v>
      </c>
    </row>
    <row r="152" spans="1:18" x14ac:dyDescent="0.2">
      <c r="A152" s="38" t="s">
        <v>199</v>
      </c>
      <c r="B152" s="37" t="s">
        <v>32</v>
      </c>
      <c r="C152" t="s">
        <v>34</v>
      </c>
      <c r="D152" s="37" t="s">
        <v>70</v>
      </c>
      <c r="E152" t="s">
        <v>72</v>
      </c>
      <c r="F152" s="37" t="s">
        <v>293</v>
      </c>
      <c r="G152" t="s">
        <v>294</v>
      </c>
      <c r="H152" s="37" t="s">
        <v>74</v>
      </c>
      <c r="I152" t="s">
        <v>75</v>
      </c>
      <c r="J152" s="37" t="s">
        <v>250</v>
      </c>
      <c r="K152" t="s">
        <v>247</v>
      </c>
      <c r="M152" t="s">
        <v>281</v>
      </c>
      <c r="N152" t="s">
        <v>283</v>
      </c>
      <c r="O152" t="s">
        <v>385</v>
      </c>
      <c r="P152" t="s">
        <v>384</v>
      </c>
      <c r="Q152" t="s">
        <v>392</v>
      </c>
      <c r="R152" t="s">
        <v>395</v>
      </c>
    </row>
    <row r="153" spans="1:18" x14ac:dyDescent="0.2">
      <c r="A153" s="38" t="s">
        <v>200</v>
      </c>
      <c r="B153" s="37" t="s">
        <v>33</v>
      </c>
      <c r="C153" t="s">
        <v>34</v>
      </c>
      <c r="D153" s="37" t="s">
        <v>70</v>
      </c>
      <c r="E153" t="s">
        <v>72</v>
      </c>
      <c r="F153" s="37" t="s">
        <v>293</v>
      </c>
      <c r="G153" t="s">
        <v>294</v>
      </c>
      <c r="H153" s="37" t="s">
        <v>74</v>
      </c>
      <c r="I153" t="s">
        <v>75</v>
      </c>
      <c r="J153" s="37" t="s">
        <v>250</v>
      </c>
      <c r="K153" t="s">
        <v>247</v>
      </c>
      <c r="M153" t="s">
        <v>281</v>
      </c>
      <c r="N153" t="s">
        <v>283</v>
      </c>
      <c r="O153" t="s">
        <v>385</v>
      </c>
      <c r="P153" t="s">
        <v>384</v>
      </c>
      <c r="Q153" t="s">
        <v>392</v>
      </c>
      <c r="R153" t="s">
        <v>395</v>
      </c>
    </row>
    <row r="154" spans="1:18" x14ac:dyDescent="0.2">
      <c r="A154" s="38" t="s">
        <v>201</v>
      </c>
      <c r="B154" s="37" t="s">
        <v>32</v>
      </c>
      <c r="C154" t="s">
        <v>34</v>
      </c>
      <c r="D154" s="37" t="s">
        <v>70</v>
      </c>
      <c r="E154" t="s">
        <v>72</v>
      </c>
      <c r="F154" s="37" t="s">
        <v>293</v>
      </c>
      <c r="G154" t="s">
        <v>294</v>
      </c>
      <c r="H154" s="37" t="s">
        <v>74</v>
      </c>
      <c r="I154" t="s">
        <v>75</v>
      </c>
      <c r="J154" s="37" t="s">
        <v>250</v>
      </c>
      <c r="K154" t="s">
        <v>247</v>
      </c>
      <c r="M154" t="s">
        <v>281</v>
      </c>
      <c r="N154" t="s">
        <v>283</v>
      </c>
      <c r="O154" t="s">
        <v>385</v>
      </c>
      <c r="P154" t="s">
        <v>384</v>
      </c>
      <c r="Q154" t="s">
        <v>392</v>
      </c>
      <c r="R154" t="s">
        <v>395</v>
      </c>
    </row>
    <row r="155" spans="1:18" x14ac:dyDescent="0.2">
      <c r="A155" s="38" t="s">
        <v>202</v>
      </c>
      <c r="B155" s="37" t="s">
        <v>33</v>
      </c>
      <c r="C155" t="s">
        <v>34</v>
      </c>
      <c r="D155" s="37" t="s">
        <v>70</v>
      </c>
      <c r="E155" t="s">
        <v>72</v>
      </c>
      <c r="F155" s="37" t="s">
        <v>293</v>
      </c>
      <c r="G155" t="s">
        <v>294</v>
      </c>
      <c r="H155" s="37" t="s">
        <v>74</v>
      </c>
      <c r="I155" t="s">
        <v>75</v>
      </c>
      <c r="J155" s="37" t="s">
        <v>250</v>
      </c>
      <c r="K155" t="s">
        <v>247</v>
      </c>
      <c r="M155" t="s">
        <v>281</v>
      </c>
      <c r="N155" t="s">
        <v>283</v>
      </c>
      <c r="O155" t="s">
        <v>385</v>
      </c>
      <c r="P155" t="s">
        <v>384</v>
      </c>
      <c r="Q155" t="s">
        <v>392</v>
      </c>
      <c r="R155" t="s">
        <v>395</v>
      </c>
    </row>
    <row r="156" spans="1:18" x14ac:dyDescent="0.2">
      <c r="A156" s="38" t="s">
        <v>203</v>
      </c>
      <c r="B156" s="37" t="s">
        <v>32</v>
      </c>
      <c r="C156" t="s">
        <v>34</v>
      </c>
      <c r="D156" s="37" t="s">
        <v>70</v>
      </c>
      <c r="E156" t="s">
        <v>72</v>
      </c>
      <c r="F156" s="37" t="s">
        <v>293</v>
      </c>
      <c r="G156" t="s">
        <v>294</v>
      </c>
      <c r="H156" s="37" t="s">
        <v>74</v>
      </c>
      <c r="I156" t="s">
        <v>75</v>
      </c>
      <c r="J156" s="37" t="s">
        <v>250</v>
      </c>
      <c r="K156" t="s">
        <v>247</v>
      </c>
      <c r="M156" t="s">
        <v>281</v>
      </c>
      <c r="N156" t="s">
        <v>283</v>
      </c>
      <c r="O156" t="s">
        <v>385</v>
      </c>
      <c r="P156" t="s">
        <v>384</v>
      </c>
      <c r="Q156" t="s">
        <v>392</v>
      </c>
      <c r="R156" t="s">
        <v>395</v>
      </c>
    </row>
    <row r="157" spans="1:18" x14ac:dyDescent="0.2">
      <c r="A157" s="38" t="s">
        <v>204</v>
      </c>
      <c r="B157" s="37" t="s">
        <v>33</v>
      </c>
      <c r="C157" t="s">
        <v>34</v>
      </c>
      <c r="D157" s="37" t="s">
        <v>70</v>
      </c>
      <c r="E157" t="s">
        <v>72</v>
      </c>
      <c r="F157" s="37" t="s">
        <v>293</v>
      </c>
      <c r="G157" t="s">
        <v>294</v>
      </c>
      <c r="H157" s="37" t="s">
        <v>74</v>
      </c>
      <c r="I157" t="s">
        <v>75</v>
      </c>
      <c r="J157" s="37" t="s">
        <v>250</v>
      </c>
      <c r="K157" t="s">
        <v>247</v>
      </c>
      <c r="M157" t="s">
        <v>281</v>
      </c>
      <c r="N157" t="s">
        <v>283</v>
      </c>
      <c r="O157" t="s">
        <v>385</v>
      </c>
      <c r="P157" t="s">
        <v>384</v>
      </c>
      <c r="Q157" t="s">
        <v>392</v>
      </c>
      <c r="R157" t="s">
        <v>395</v>
      </c>
    </row>
    <row r="158" spans="1:18" x14ac:dyDescent="0.2">
      <c r="A158" s="38" t="s">
        <v>206</v>
      </c>
      <c r="B158" s="37" t="s">
        <v>32</v>
      </c>
      <c r="C158" t="s">
        <v>28</v>
      </c>
      <c r="D158" s="37" t="s">
        <v>70</v>
      </c>
      <c r="E158" t="s">
        <v>72</v>
      </c>
      <c r="F158" s="37" t="s">
        <v>293</v>
      </c>
      <c r="G158" t="s">
        <v>294</v>
      </c>
      <c r="H158" s="37" t="s">
        <v>74</v>
      </c>
      <c r="I158" t="s">
        <v>75</v>
      </c>
      <c r="J158" s="37" t="s">
        <v>250</v>
      </c>
      <c r="K158" t="s">
        <v>247</v>
      </c>
      <c r="M158" t="s">
        <v>281</v>
      </c>
      <c r="N158" t="s">
        <v>283</v>
      </c>
      <c r="O158" t="s">
        <v>385</v>
      </c>
      <c r="P158" t="s">
        <v>384</v>
      </c>
      <c r="Q158" t="s">
        <v>392</v>
      </c>
      <c r="R158" t="s">
        <v>395</v>
      </c>
    </row>
    <row r="159" spans="1:18" x14ac:dyDescent="0.2">
      <c r="A159" s="38" t="s">
        <v>207</v>
      </c>
      <c r="B159" s="37" t="s">
        <v>33</v>
      </c>
      <c r="C159" t="s">
        <v>28</v>
      </c>
      <c r="D159" s="37" t="s">
        <v>70</v>
      </c>
      <c r="E159" t="s">
        <v>72</v>
      </c>
      <c r="F159" s="37" t="s">
        <v>293</v>
      </c>
      <c r="G159" t="s">
        <v>294</v>
      </c>
      <c r="H159" s="37" t="s">
        <v>74</v>
      </c>
      <c r="I159" t="s">
        <v>75</v>
      </c>
      <c r="J159" s="37" t="s">
        <v>250</v>
      </c>
      <c r="K159" t="s">
        <v>247</v>
      </c>
      <c r="M159" t="s">
        <v>281</v>
      </c>
      <c r="N159" t="s">
        <v>283</v>
      </c>
      <c r="O159" t="s">
        <v>385</v>
      </c>
      <c r="P159" t="s">
        <v>384</v>
      </c>
      <c r="Q159" t="s">
        <v>392</v>
      </c>
      <c r="R159" t="s">
        <v>395</v>
      </c>
    </row>
    <row r="160" spans="1:18" x14ac:dyDescent="0.2">
      <c r="A160" s="38" t="s">
        <v>208</v>
      </c>
      <c r="B160" s="37" t="s">
        <v>32</v>
      </c>
      <c r="C160" t="s">
        <v>28</v>
      </c>
      <c r="D160" s="37" t="s">
        <v>70</v>
      </c>
      <c r="E160" t="s">
        <v>72</v>
      </c>
      <c r="F160" s="37" t="s">
        <v>293</v>
      </c>
      <c r="G160" t="s">
        <v>294</v>
      </c>
      <c r="H160" s="37" t="s">
        <v>74</v>
      </c>
      <c r="I160" t="s">
        <v>75</v>
      </c>
      <c r="J160" s="37" t="s">
        <v>250</v>
      </c>
      <c r="K160" t="s">
        <v>247</v>
      </c>
      <c r="M160" t="s">
        <v>281</v>
      </c>
      <c r="N160" t="s">
        <v>283</v>
      </c>
      <c r="O160" t="s">
        <v>385</v>
      </c>
      <c r="P160" t="s">
        <v>384</v>
      </c>
      <c r="Q160" t="s">
        <v>392</v>
      </c>
      <c r="R160" t="s">
        <v>395</v>
      </c>
    </row>
    <row r="161" spans="1:18" x14ac:dyDescent="0.2">
      <c r="A161" s="38" t="s">
        <v>209</v>
      </c>
      <c r="B161" s="37" t="s">
        <v>33</v>
      </c>
      <c r="C161" t="s">
        <v>28</v>
      </c>
      <c r="D161" s="37" t="s">
        <v>70</v>
      </c>
      <c r="E161" t="s">
        <v>72</v>
      </c>
      <c r="F161" s="37" t="s">
        <v>293</v>
      </c>
      <c r="G161" t="s">
        <v>294</v>
      </c>
      <c r="H161" s="37" t="s">
        <v>74</v>
      </c>
      <c r="I161" t="s">
        <v>75</v>
      </c>
      <c r="J161" s="37" t="s">
        <v>250</v>
      </c>
      <c r="K161" t="s">
        <v>247</v>
      </c>
      <c r="M161" t="s">
        <v>281</v>
      </c>
      <c r="N161" t="s">
        <v>283</v>
      </c>
      <c r="O161" t="s">
        <v>385</v>
      </c>
      <c r="P161" t="s">
        <v>384</v>
      </c>
      <c r="Q161" t="s">
        <v>392</v>
      </c>
      <c r="R161" t="s">
        <v>395</v>
      </c>
    </row>
    <row r="162" spans="1:18" x14ac:dyDescent="0.2">
      <c r="A162" s="38" t="s">
        <v>210</v>
      </c>
      <c r="B162" s="37" t="s">
        <v>32</v>
      </c>
      <c r="C162" t="s">
        <v>28</v>
      </c>
      <c r="D162" s="37" t="s">
        <v>70</v>
      </c>
      <c r="E162" t="s">
        <v>72</v>
      </c>
      <c r="F162" s="37" t="s">
        <v>293</v>
      </c>
      <c r="G162" t="s">
        <v>294</v>
      </c>
      <c r="H162" s="37" t="s">
        <v>74</v>
      </c>
      <c r="I162" t="s">
        <v>75</v>
      </c>
      <c r="J162" s="37" t="s">
        <v>250</v>
      </c>
      <c r="K162" t="s">
        <v>247</v>
      </c>
      <c r="M162" t="s">
        <v>281</v>
      </c>
      <c r="N162" t="s">
        <v>283</v>
      </c>
      <c r="O162" t="s">
        <v>385</v>
      </c>
      <c r="P162" t="s">
        <v>384</v>
      </c>
      <c r="Q162" t="s">
        <v>392</v>
      </c>
      <c r="R162" t="s">
        <v>395</v>
      </c>
    </row>
    <row r="163" spans="1:18" x14ac:dyDescent="0.2">
      <c r="A163" s="38" t="s">
        <v>211</v>
      </c>
      <c r="B163" s="37" t="s">
        <v>33</v>
      </c>
      <c r="C163" t="s">
        <v>28</v>
      </c>
      <c r="D163" s="37" t="s">
        <v>70</v>
      </c>
      <c r="E163" t="s">
        <v>72</v>
      </c>
      <c r="F163" s="37" t="s">
        <v>293</v>
      </c>
      <c r="G163" t="s">
        <v>294</v>
      </c>
      <c r="H163" s="37" t="s">
        <v>74</v>
      </c>
      <c r="I163" t="s">
        <v>75</v>
      </c>
      <c r="J163" s="37" t="s">
        <v>250</v>
      </c>
      <c r="K163" t="s">
        <v>247</v>
      </c>
      <c r="M163" t="s">
        <v>281</v>
      </c>
      <c r="N163" t="s">
        <v>283</v>
      </c>
      <c r="O163" t="s">
        <v>385</v>
      </c>
      <c r="P163" t="s">
        <v>384</v>
      </c>
      <c r="Q163" t="s">
        <v>392</v>
      </c>
      <c r="R163" t="s">
        <v>395</v>
      </c>
    </row>
    <row r="164" spans="1:18" x14ac:dyDescent="0.2">
      <c r="A164" s="38" t="s">
        <v>212</v>
      </c>
      <c r="B164" s="37" t="s">
        <v>32</v>
      </c>
      <c r="C164" t="s">
        <v>34</v>
      </c>
      <c r="D164" s="37" t="s">
        <v>70</v>
      </c>
      <c r="E164" t="s">
        <v>72</v>
      </c>
      <c r="F164" s="37" t="s">
        <v>293</v>
      </c>
      <c r="G164" t="s">
        <v>294</v>
      </c>
      <c r="H164" s="37" t="s">
        <v>74</v>
      </c>
      <c r="I164" t="s">
        <v>75</v>
      </c>
      <c r="J164" s="37" t="s">
        <v>250</v>
      </c>
      <c r="K164" t="s">
        <v>247</v>
      </c>
      <c r="M164" t="s">
        <v>281</v>
      </c>
      <c r="N164" t="s">
        <v>283</v>
      </c>
      <c r="O164" t="s">
        <v>385</v>
      </c>
      <c r="P164" t="s">
        <v>384</v>
      </c>
      <c r="Q164" t="s">
        <v>392</v>
      </c>
      <c r="R164" t="s">
        <v>395</v>
      </c>
    </row>
    <row r="165" spans="1:18" x14ac:dyDescent="0.2">
      <c r="A165" s="38" t="s">
        <v>213</v>
      </c>
      <c r="B165" s="37" t="s">
        <v>33</v>
      </c>
      <c r="C165" t="s">
        <v>34</v>
      </c>
      <c r="D165" s="37" t="s">
        <v>70</v>
      </c>
      <c r="E165" t="s">
        <v>72</v>
      </c>
      <c r="F165" s="37" t="s">
        <v>293</v>
      </c>
      <c r="G165" t="s">
        <v>294</v>
      </c>
      <c r="H165" s="37" t="s">
        <v>74</v>
      </c>
      <c r="I165" t="s">
        <v>75</v>
      </c>
      <c r="J165" s="37" t="s">
        <v>250</v>
      </c>
      <c r="K165" t="s">
        <v>247</v>
      </c>
      <c r="M165" t="s">
        <v>281</v>
      </c>
      <c r="N165" t="s">
        <v>283</v>
      </c>
      <c r="O165" t="s">
        <v>385</v>
      </c>
      <c r="P165" t="s">
        <v>384</v>
      </c>
      <c r="Q165" t="s">
        <v>392</v>
      </c>
      <c r="R165" t="s">
        <v>395</v>
      </c>
    </row>
    <row r="166" spans="1:18" x14ac:dyDescent="0.2">
      <c r="A166" s="38" t="s">
        <v>214</v>
      </c>
      <c r="B166" s="37" t="s">
        <v>32</v>
      </c>
      <c r="C166" t="s">
        <v>34</v>
      </c>
      <c r="D166" s="37" t="s">
        <v>70</v>
      </c>
      <c r="E166" t="s">
        <v>72</v>
      </c>
      <c r="F166" s="37" t="s">
        <v>293</v>
      </c>
      <c r="G166" t="s">
        <v>294</v>
      </c>
      <c r="H166" s="37" t="s">
        <v>74</v>
      </c>
      <c r="I166" t="s">
        <v>75</v>
      </c>
      <c r="J166" s="37" t="s">
        <v>250</v>
      </c>
      <c r="K166" t="s">
        <v>247</v>
      </c>
      <c r="M166" t="s">
        <v>281</v>
      </c>
      <c r="N166" t="s">
        <v>283</v>
      </c>
      <c r="O166" t="s">
        <v>385</v>
      </c>
      <c r="P166" t="s">
        <v>384</v>
      </c>
      <c r="Q166" t="s">
        <v>392</v>
      </c>
      <c r="R166" t="s">
        <v>395</v>
      </c>
    </row>
    <row r="167" spans="1:18" x14ac:dyDescent="0.2">
      <c r="A167" s="38" t="s">
        <v>215</v>
      </c>
      <c r="B167" s="37" t="s">
        <v>33</v>
      </c>
      <c r="C167" t="s">
        <v>34</v>
      </c>
      <c r="D167" s="37" t="s">
        <v>70</v>
      </c>
      <c r="E167" t="s">
        <v>72</v>
      </c>
      <c r="F167" s="37" t="s">
        <v>293</v>
      </c>
      <c r="G167" t="s">
        <v>294</v>
      </c>
      <c r="H167" s="37" t="s">
        <v>74</v>
      </c>
      <c r="I167" t="s">
        <v>75</v>
      </c>
      <c r="J167" s="37" t="s">
        <v>250</v>
      </c>
      <c r="K167" t="s">
        <v>247</v>
      </c>
      <c r="M167" t="s">
        <v>281</v>
      </c>
      <c r="N167" t="s">
        <v>283</v>
      </c>
      <c r="O167" t="s">
        <v>385</v>
      </c>
      <c r="P167" t="s">
        <v>384</v>
      </c>
      <c r="Q167" t="s">
        <v>392</v>
      </c>
      <c r="R167" t="s">
        <v>395</v>
      </c>
    </row>
    <row r="168" spans="1:18" x14ac:dyDescent="0.2">
      <c r="A168" s="38" t="s">
        <v>216</v>
      </c>
      <c r="B168" s="37" t="s">
        <v>32</v>
      </c>
      <c r="C168" t="s">
        <v>34</v>
      </c>
      <c r="D168" s="37" t="s">
        <v>70</v>
      </c>
      <c r="E168" t="s">
        <v>72</v>
      </c>
      <c r="F168" s="37" t="s">
        <v>293</v>
      </c>
      <c r="G168" t="s">
        <v>294</v>
      </c>
      <c r="H168" s="37" t="s">
        <v>74</v>
      </c>
      <c r="I168" t="s">
        <v>75</v>
      </c>
      <c r="J168" s="37" t="s">
        <v>250</v>
      </c>
      <c r="K168" t="s">
        <v>247</v>
      </c>
      <c r="M168" t="s">
        <v>281</v>
      </c>
      <c r="N168" t="s">
        <v>283</v>
      </c>
      <c r="O168" t="s">
        <v>385</v>
      </c>
      <c r="P168" t="s">
        <v>384</v>
      </c>
      <c r="Q168" t="s">
        <v>392</v>
      </c>
      <c r="R168" t="s">
        <v>395</v>
      </c>
    </row>
    <row r="169" spans="1:18" x14ac:dyDescent="0.2">
      <c r="A169" s="38" t="s">
        <v>217</v>
      </c>
      <c r="B169" s="37" t="s">
        <v>33</v>
      </c>
      <c r="C169" t="s">
        <v>34</v>
      </c>
      <c r="D169" s="37" t="s">
        <v>70</v>
      </c>
      <c r="E169" t="s">
        <v>72</v>
      </c>
      <c r="F169" s="37" t="s">
        <v>293</v>
      </c>
      <c r="G169" t="s">
        <v>294</v>
      </c>
      <c r="H169" s="37" t="s">
        <v>74</v>
      </c>
      <c r="I169" t="s">
        <v>75</v>
      </c>
      <c r="J169" s="37" t="s">
        <v>250</v>
      </c>
      <c r="K169" t="s">
        <v>247</v>
      </c>
      <c r="M169" t="s">
        <v>281</v>
      </c>
      <c r="N169" t="s">
        <v>283</v>
      </c>
      <c r="O169" t="s">
        <v>385</v>
      </c>
      <c r="P169" t="s">
        <v>384</v>
      </c>
      <c r="Q169" t="s">
        <v>392</v>
      </c>
      <c r="R169" t="s">
        <v>395</v>
      </c>
    </row>
    <row r="170" spans="1:18" x14ac:dyDescent="0.2">
      <c r="A170" s="38" t="s">
        <v>220</v>
      </c>
      <c r="B170" s="37" t="s">
        <v>32</v>
      </c>
      <c r="C170" t="s">
        <v>29</v>
      </c>
      <c r="D170" s="37" t="s">
        <v>70</v>
      </c>
      <c r="E170" t="s">
        <v>72</v>
      </c>
      <c r="F170" s="37" t="s">
        <v>293</v>
      </c>
      <c r="G170" t="s">
        <v>294</v>
      </c>
      <c r="H170" s="37" t="s">
        <v>74</v>
      </c>
      <c r="I170" t="s">
        <v>75</v>
      </c>
      <c r="J170" s="37" t="s">
        <v>251</v>
      </c>
      <c r="K170" t="s">
        <v>247</v>
      </c>
      <c r="M170" t="s">
        <v>281</v>
      </c>
      <c r="N170" t="s">
        <v>283</v>
      </c>
      <c r="O170" t="s">
        <v>385</v>
      </c>
      <c r="P170" t="s">
        <v>384</v>
      </c>
      <c r="Q170" t="s">
        <v>392</v>
      </c>
      <c r="R170" t="s">
        <v>395</v>
      </c>
    </row>
    <row r="171" spans="1:18" x14ac:dyDescent="0.2">
      <c r="A171" s="38" t="s">
        <v>221</v>
      </c>
      <c r="B171" s="37" t="s">
        <v>33</v>
      </c>
      <c r="C171" t="s">
        <v>29</v>
      </c>
      <c r="D171" s="37" t="s">
        <v>70</v>
      </c>
      <c r="E171" t="s">
        <v>72</v>
      </c>
      <c r="F171" s="37" t="s">
        <v>293</v>
      </c>
      <c r="G171" t="s">
        <v>294</v>
      </c>
      <c r="H171" s="37" t="s">
        <v>74</v>
      </c>
      <c r="I171" t="s">
        <v>75</v>
      </c>
      <c r="J171" s="37" t="s">
        <v>251</v>
      </c>
      <c r="K171" t="s">
        <v>247</v>
      </c>
      <c r="M171" t="s">
        <v>281</v>
      </c>
      <c r="N171" t="s">
        <v>283</v>
      </c>
      <c r="O171" t="s">
        <v>385</v>
      </c>
      <c r="P171" t="s">
        <v>384</v>
      </c>
      <c r="Q171" t="s">
        <v>392</v>
      </c>
      <c r="R171" t="s">
        <v>395</v>
      </c>
    </row>
    <row r="172" spans="1:18" x14ac:dyDescent="0.2">
      <c r="A172" s="38" t="s">
        <v>222</v>
      </c>
      <c r="B172" s="37" t="s">
        <v>32</v>
      </c>
      <c r="C172" t="s">
        <v>29</v>
      </c>
      <c r="D172" s="37" t="s">
        <v>70</v>
      </c>
      <c r="E172" t="s">
        <v>72</v>
      </c>
      <c r="F172" s="37" t="s">
        <v>293</v>
      </c>
      <c r="G172" t="s">
        <v>294</v>
      </c>
      <c r="H172" s="37" t="s">
        <v>74</v>
      </c>
      <c r="I172" t="s">
        <v>75</v>
      </c>
      <c r="J172" s="37" t="s">
        <v>251</v>
      </c>
      <c r="K172" t="s">
        <v>247</v>
      </c>
      <c r="M172" t="s">
        <v>281</v>
      </c>
      <c r="N172" t="s">
        <v>283</v>
      </c>
      <c r="O172" t="s">
        <v>385</v>
      </c>
      <c r="P172" t="s">
        <v>384</v>
      </c>
      <c r="Q172" t="s">
        <v>392</v>
      </c>
      <c r="R172" t="s">
        <v>395</v>
      </c>
    </row>
    <row r="173" spans="1:18" x14ac:dyDescent="0.2">
      <c r="A173" s="38" t="s">
        <v>223</v>
      </c>
      <c r="B173" s="37" t="s">
        <v>33</v>
      </c>
      <c r="C173" t="s">
        <v>29</v>
      </c>
      <c r="D173" s="37" t="s">
        <v>70</v>
      </c>
      <c r="E173" t="s">
        <v>72</v>
      </c>
      <c r="F173" s="37" t="s">
        <v>293</v>
      </c>
      <c r="G173" t="s">
        <v>294</v>
      </c>
      <c r="H173" s="37" t="s">
        <v>74</v>
      </c>
      <c r="I173" t="s">
        <v>75</v>
      </c>
      <c r="J173" s="37" t="s">
        <v>251</v>
      </c>
      <c r="K173" t="s">
        <v>247</v>
      </c>
      <c r="M173" t="s">
        <v>281</v>
      </c>
      <c r="N173" t="s">
        <v>283</v>
      </c>
      <c r="O173" t="s">
        <v>385</v>
      </c>
      <c r="P173" t="s">
        <v>384</v>
      </c>
      <c r="Q173" t="s">
        <v>392</v>
      </c>
      <c r="R173" t="s">
        <v>395</v>
      </c>
    </row>
    <row r="174" spans="1:18" x14ac:dyDescent="0.2">
      <c r="A174" s="38" t="s">
        <v>224</v>
      </c>
      <c r="B174" s="37" t="s">
        <v>32</v>
      </c>
      <c r="C174" t="s">
        <v>29</v>
      </c>
      <c r="D174" s="37" t="s">
        <v>70</v>
      </c>
      <c r="E174" t="s">
        <v>72</v>
      </c>
      <c r="F174" s="37" t="s">
        <v>293</v>
      </c>
      <c r="G174" t="s">
        <v>294</v>
      </c>
      <c r="H174" s="37" t="s">
        <v>74</v>
      </c>
      <c r="I174" t="s">
        <v>75</v>
      </c>
      <c r="J174" s="37" t="s">
        <v>251</v>
      </c>
      <c r="K174" t="s">
        <v>247</v>
      </c>
      <c r="M174" t="s">
        <v>281</v>
      </c>
      <c r="N174" t="s">
        <v>283</v>
      </c>
      <c r="O174" t="s">
        <v>385</v>
      </c>
      <c r="P174" t="s">
        <v>384</v>
      </c>
      <c r="Q174" t="s">
        <v>392</v>
      </c>
      <c r="R174" t="s">
        <v>395</v>
      </c>
    </row>
    <row r="175" spans="1:18" x14ac:dyDescent="0.2">
      <c r="A175" s="38" t="s">
        <v>225</v>
      </c>
      <c r="B175" s="37" t="s">
        <v>33</v>
      </c>
      <c r="C175" t="s">
        <v>29</v>
      </c>
      <c r="D175" s="37" t="s">
        <v>70</v>
      </c>
      <c r="E175" t="s">
        <v>72</v>
      </c>
      <c r="F175" s="37" t="s">
        <v>293</v>
      </c>
      <c r="G175" t="s">
        <v>294</v>
      </c>
      <c r="H175" s="37" t="s">
        <v>74</v>
      </c>
      <c r="I175" t="s">
        <v>75</v>
      </c>
      <c r="J175" s="37" t="s">
        <v>251</v>
      </c>
      <c r="K175" t="s">
        <v>247</v>
      </c>
      <c r="M175" t="s">
        <v>281</v>
      </c>
      <c r="N175" t="s">
        <v>283</v>
      </c>
      <c r="O175" t="s">
        <v>385</v>
      </c>
      <c r="P175" t="s">
        <v>384</v>
      </c>
      <c r="Q175" t="s">
        <v>392</v>
      </c>
      <c r="R175" t="s">
        <v>395</v>
      </c>
    </row>
    <row r="176" spans="1:18" x14ac:dyDescent="0.2">
      <c r="A176" s="38" t="s">
        <v>226</v>
      </c>
      <c r="B176" s="37" t="s">
        <v>32</v>
      </c>
      <c r="C176" t="s">
        <v>34</v>
      </c>
      <c r="D176" s="37" t="s">
        <v>70</v>
      </c>
      <c r="E176" t="s">
        <v>72</v>
      </c>
      <c r="F176" s="37" t="s">
        <v>293</v>
      </c>
      <c r="G176" t="s">
        <v>294</v>
      </c>
      <c r="H176" s="37" t="s">
        <v>74</v>
      </c>
      <c r="I176" t="s">
        <v>75</v>
      </c>
      <c r="J176" s="37" t="s">
        <v>251</v>
      </c>
      <c r="K176" t="s">
        <v>247</v>
      </c>
      <c r="M176" t="s">
        <v>281</v>
      </c>
      <c r="N176" t="s">
        <v>283</v>
      </c>
      <c r="O176" t="s">
        <v>385</v>
      </c>
      <c r="P176" t="s">
        <v>384</v>
      </c>
      <c r="Q176" t="s">
        <v>392</v>
      </c>
      <c r="R176" t="s">
        <v>395</v>
      </c>
    </row>
    <row r="177" spans="1:18" x14ac:dyDescent="0.2">
      <c r="A177" s="38" t="s">
        <v>227</v>
      </c>
      <c r="B177" s="37" t="s">
        <v>33</v>
      </c>
      <c r="C177" t="s">
        <v>34</v>
      </c>
      <c r="D177" s="37" t="s">
        <v>70</v>
      </c>
      <c r="E177" t="s">
        <v>72</v>
      </c>
      <c r="F177" s="37" t="s">
        <v>293</v>
      </c>
      <c r="G177" t="s">
        <v>294</v>
      </c>
      <c r="H177" s="37" t="s">
        <v>74</v>
      </c>
      <c r="I177" t="s">
        <v>75</v>
      </c>
      <c r="J177" s="37" t="s">
        <v>251</v>
      </c>
      <c r="K177" t="s">
        <v>247</v>
      </c>
      <c r="M177" t="s">
        <v>281</v>
      </c>
      <c r="N177" t="s">
        <v>283</v>
      </c>
      <c r="O177" t="s">
        <v>385</v>
      </c>
      <c r="P177" t="s">
        <v>384</v>
      </c>
      <c r="Q177" t="s">
        <v>392</v>
      </c>
      <c r="R177" t="s">
        <v>395</v>
      </c>
    </row>
    <row r="178" spans="1:18" x14ac:dyDescent="0.2">
      <c r="A178" s="38" t="s">
        <v>228</v>
      </c>
      <c r="B178" s="37" t="s">
        <v>32</v>
      </c>
      <c r="C178" t="s">
        <v>34</v>
      </c>
      <c r="D178" s="37" t="s">
        <v>70</v>
      </c>
      <c r="E178" t="s">
        <v>72</v>
      </c>
      <c r="F178" s="37" t="s">
        <v>293</v>
      </c>
      <c r="G178" t="s">
        <v>294</v>
      </c>
      <c r="H178" s="37" t="s">
        <v>74</v>
      </c>
      <c r="I178" t="s">
        <v>75</v>
      </c>
      <c r="J178" s="37" t="s">
        <v>251</v>
      </c>
      <c r="K178" t="s">
        <v>247</v>
      </c>
      <c r="M178" t="s">
        <v>281</v>
      </c>
      <c r="N178" t="s">
        <v>283</v>
      </c>
      <c r="O178" t="s">
        <v>385</v>
      </c>
      <c r="P178" t="s">
        <v>384</v>
      </c>
      <c r="Q178" t="s">
        <v>392</v>
      </c>
      <c r="R178" t="s">
        <v>395</v>
      </c>
    </row>
    <row r="179" spans="1:18" x14ac:dyDescent="0.2">
      <c r="A179" s="38" t="s">
        <v>229</v>
      </c>
      <c r="B179" s="37" t="s">
        <v>33</v>
      </c>
      <c r="C179" t="s">
        <v>34</v>
      </c>
      <c r="D179" s="37" t="s">
        <v>70</v>
      </c>
      <c r="E179" t="s">
        <v>72</v>
      </c>
      <c r="F179" s="37" t="s">
        <v>293</v>
      </c>
      <c r="G179" t="s">
        <v>294</v>
      </c>
      <c r="H179" s="37" t="s">
        <v>74</v>
      </c>
      <c r="I179" t="s">
        <v>75</v>
      </c>
      <c r="J179" s="37" t="s">
        <v>251</v>
      </c>
      <c r="K179" t="s">
        <v>247</v>
      </c>
      <c r="M179" t="s">
        <v>281</v>
      </c>
      <c r="N179" t="s">
        <v>283</v>
      </c>
      <c r="O179" t="s">
        <v>385</v>
      </c>
      <c r="P179" t="s">
        <v>384</v>
      </c>
      <c r="Q179" t="s">
        <v>392</v>
      </c>
      <c r="R179" t="s">
        <v>395</v>
      </c>
    </row>
    <row r="180" spans="1:18" x14ac:dyDescent="0.2">
      <c r="A180" s="38" t="s">
        <v>230</v>
      </c>
      <c r="B180" s="37" t="s">
        <v>32</v>
      </c>
      <c r="C180" t="s">
        <v>34</v>
      </c>
      <c r="D180" s="37" t="s">
        <v>70</v>
      </c>
      <c r="E180" t="s">
        <v>72</v>
      </c>
      <c r="F180" s="37" t="s">
        <v>293</v>
      </c>
      <c r="G180" t="s">
        <v>294</v>
      </c>
      <c r="H180" s="37" t="s">
        <v>74</v>
      </c>
      <c r="I180" t="s">
        <v>75</v>
      </c>
      <c r="J180" s="37" t="s">
        <v>251</v>
      </c>
      <c r="K180" t="s">
        <v>247</v>
      </c>
      <c r="M180" t="s">
        <v>281</v>
      </c>
      <c r="N180" t="s">
        <v>283</v>
      </c>
      <c r="O180" t="s">
        <v>385</v>
      </c>
      <c r="P180" t="s">
        <v>384</v>
      </c>
      <c r="Q180" t="s">
        <v>392</v>
      </c>
      <c r="R180" t="s">
        <v>395</v>
      </c>
    </row>
    <row r="181" spans="1:18" x14ac:dyDescent="0.2">
      <c r="A181" s="38" t="s">
        <v>231</v>
      </c>
      <c r="B181" s="37" t="s">
        <v>33</v>
      </c>
      <c r="C181" t="s">
        <v>34</v>
      </c>
      <c r="D181" s="37" t="s">
        <v>70</v>
      </c>
      <c r="E181" t="s">
        <v>72</v>
      </c>
      <c r="F181" s="37" t="s">
        <v>293</v>
      </c>
      <c r="G181" t="s">
        <v>294</v>
      </c>
      <c r="H181" s="37" t="s">
        <v>74</v>
      </c>
      <c r="I181" t="s">
        <v>75</v>
      </c>
      <c r="J181" s="37" t="s">
        <v>251</v>
      </c>
      <c r="K181" t="s">
        <v>247</v>
      </c>
      <c r="M181" t="s">
        <v>281</v>
      </c>
      <c r="N181" t="s">
        <v>283</v>
      </c>
      <c r="O181" t="s">
        <v>385</v>
      </c>
      <c r="P181" t="s">
        <v>384</v>
      </c>
      <c r="Q181" t="s">
        <v>392</v>
      </c>
      <c r="R181" t="s">
        <v>395</v>
      </c>
    </row>
    <row r="182" spans="1:18" x14ac:dyDescent="0.2">
      <c r="A182" s="38" t="s">
        <v>233</v>
      </c>
      <c r="B182" s="37" t="s">
        <v>32</v>
      </c>
      <c r="C182" t="s">
        <v>28</v>
      </c>
      <c r="D182" s="37" t="s">
        <v>70</v>
      </c>
      <c r="E182" t="s">
        <v>72</v>
      </c>
      <c r="F182" s="37" t="s">
        <v>293</v>
      </c>
      <c r="G182" t="s">
        <v>294</v>
      </c>
      <c r="H182" s="37" t="s">
        <v>74</v>
      </c>
      <c r="I182" t="s">
        <v>75</v>
      </c>
      <c r="J182" s="37" t="s">
        <v>251</v>
      </c>
      <c r="K182" t="s">
        <v>247</v>
      </c>
      <c r="M182" t="s">
        <v>281</v>
      </c>
      <c r="N182" t="s">
        <v>283</v>
      </c>
      <c r="O182" t="s">
        <v>385</v>
      </c>
      <c r="P182" t="s">
        <v>384</v>
      </c>
      <c r="Q182" t="s">
        <v>392</v>
      </c>
      <c r="R182" t="s">
        <v>395</v>
      </c>
    </row>
    <row r="183" spans="1:18" x14ac:dyDescent="0.2">
      <c r="A183" s="38" t="s">
        <v>234</v>
      </c>
      <c r="B183" s="37" t="s">
        <v>33</v>
      </c>
      <c r="C183" t="s">
        <v>28</v>
      </c>
      <c r="D183" s="37" t="s">
        <v>70</v>
      </c>
      <c r="E183" t="s">
        <v>72</v>
      </c>
      <c r="F183" s="37" t="s">
        <v>293</v>
      </c>
      <c r="G183" t="s">
        <v>294</v>
      </c>
      <c r="H183" s="37" t="s">
        <v>74</v>
      </c>
      <c r="I183" t="s">
        <v>75</v>
      </c>
      <c r="J183" s="37" t="s">
        <v>251</v>
      </c>
      <c r="K183" t="s">
        <v>247</v>
      </c>
      <c r="M183" t="s">
        <v>281</v>
      </c>
      <c r="N183" t="s">
        <v>283</v>
      </c>
      <c r="O183" t="s">
        <v>385</v>
      </c>
      <c r="P183" t="s">
        <v>384</v>
      </c>
      <c r="Q183" t="s">
        <v>392</v>
      </c>
      <c r="R183" t="s">
        <v>395</v>
      </c>
    </row>
    <row r="184" spans="1:18" x14ac:dyDescent="0.2">
      <c r="A184" s="38" t="s">
        <v>235</v>
      </c>
      <c r="B184" s="37" t="s">
        <v>32</v>
      </c>
      <c r="C184" t="s">
        <v>28</v>
      </c>
      <c r="D184" s="37" t="s">
        <v>70</v>
      </c>
      <c r="E184" t="s">
        <v>72</v>
      </c>
      <c r="F184" s="37" t="s">
        <v>293</v>
      </c>
      <c r="G184" t="s">
        <v>294</v>
      </c>
      <c r="H184" s="37" t="s">
        <v>74</v>
      </c>
      <c r="I184" t="s">
        <v>75</v>
      </c>
      <c r="J184" s="37" t="s">
        <v>251</v>
      </c>
      <c r="K184" t="s">
        <v>247</v>
      </c>
      <c r="M184" t="s">
        <v>281</v>
      </c>
      <c r="N184" t="s">
        <v>283</v>
      </c>
      <c r="O184" t="s">
        <v>385</v>
      </c>
      <c r="P184" t="s">
        <v>384</v>
      </c>
      <c r="Q184" t="s">
        <v>392</v>
      </c>
      <c r="R184" t="s">
        <v>395</v>
      </c>
    </row>
    <row r="185" spans="1:18" x14ac:dyDescent="0.2">
      <c r="A185" s="38" t="s">
        <v>236</v>
      </c>
      <c r="B185" s="37" t="s">
        <v>33</v>
      </c>
      <c r="C185" t="s">
        <v>28</v>
      </c>
      <c r="D185" s="37" t="s">
        <v>70</v>
      </c>
      <c r="E185" t="s">
        <v>72</v>
      </c>
      <c r="F185" s="37" t="s">
        <v>293</v>
      </c>
      <c r="G185" t="s">
        <v>294</v>
      </c>
      <c r="H185" s="37" t="s">
        <v>74</v>
      </c>
      <c r="I185" t="s">
        <v>75</v>
      </c>
      <c r="J185" s="37" t="s">
        <v>251</v>
      </c>
      <c r="K185" t="s">
        <v>247</v>
      </c>
      <c r="M185" t="s">
        <v>281</v>
      </c>
      <c r="N185" t="s">
        <v>283</v>
      </c>
      <c r="O185" t="s">
        <v>385</v>
      </c>
      <c r="P185" t="s">
        <v>384</v>
      </c>
      <c r="Q185" t="s">
        <v>392</v>
      </c>
      <c r="R185" t="s">
        <v>395</v>
      </c>
    </row>
    <row r="186" spans="1:18" x14ac:dyDescent="0.2">
      <c r="A186" s="38" t="s">
        <v>237</v>
      </c>
      <c r="B186" s="37" t="s">
        <v>32</v>
      </c>
      <c r="C186" t="s">
        <v>28</v>
      </c>
      <c r="D186" s="37" t="s">
        <v>70</v>
      </c>
      <c r="E186" t="s">
        <v>72</v>
      </c>
      <c r="F186" s="37" t="s">
        <v>293</v>
      </c>
      <c r="G186" t="s">
        <v>294</v>
      </c>
      <c r="H186" s="37" t="s">
        <v>74</v>
      </c>
      <c r="I186" t="s">
        <v>75</v>
      </c>
      <c r="J186" s="37" t="s">
        <v>251</v>
      </c>
      <c r="K186" t="s">
        <v>247</v>
      </c>
      <c r="M186" t="s">
        <v>281</v>
      </c>
      <c r="N186" t="s">
        <v>283</v>
      </c>
      <c r="O186" t="s">
        <v>385</v>
      </c>
      <c r="P186" t="s">
        <v>384</v>
      </c>
      <c r="Q186" t="s">
        <v>392</v>
      </c>
      <c r="R186" t="s">
        <v>395</v>
      </c>
    </row>
    <row r="187" spans="1:18" x14ac:dyDescent="0.2">
      <c r="A187" s="38" t="s">
        <v>238</v>
      </c>
      <c r="B187" s="37" t="s">
        <v>33</v>
      </c>
      <c r="C187" t="s">
        <v>28</v>
      </c>
      <c r="D187" s="37" t="s">
        <v>70</v>
      </c>
      <c r="E187" t="s">
        <v>72</v>
      </c>
      <c r="F187" s="37" t="s">
        <v>293</v>
      </c>
      <c r="G187" t="s">
        <v>294</v>
      </c>
      <c r="H187" s="37" t="s">
        <v>74</v>
      </c>
      <c r="I187" t="s">
        <v>75</v>
      </c>
      <c r="J187" s="37" t="s">
        <v>251</v>
      </c>
      <c r="K187" t="s">
        <v>247</v>
      </c>
      <c r="M187" t="s">
        <v>281</v>
      </c>
      <c r="N187" t="s">
        <v>283</v>
      </c>
      <c r="O187" t="s">
        <v>385</v>
      </c>
      <c r="P187" t="s">
        <v>384</v>
      </c>
      <c r="Q187" t="s">
        <v>392</v>
      </c>
      <c r="R187" t="s">
        <v>395</v>
      </c>
    </row>
    <row r="188" spans="1:18" x14ac:dyDescent="0.2">
      <c r="A188" s="38" t="s">
        <v>239</v>
      </c>
      <c r="B188" s="37" t="s">
        <v>32</v>
      </c>
      <c r="C188" t="s">
        <v>34</v>
      </c>
      <c r="D188" s="37" t="s">
        <v>70</v>
      </c>
      <c r="E188" t="s">
        <v>72</v>
      </c>
      <c r="F188" s="37" t="s">
        <v>293</v>
      </c>
      <c r="G188" t="s">
        <v>294</v>
      </c>
      <c r="H188" s="37" t="s">
        <v>74</v>
      </c>
      <c r="I188" t="s">
        <v>75</v>
      </c>
      <c r="J188" s="37" t="s">
        <v>251</v>
      </c>
      <c r="K188" t="s">
        <v>247</v>
      </c>
      <c r="M188" t="s">
        <v>281</v>
      </c>
      <c r="N188" t="s">
        <v>283</v>
      </c>
      <c r="O188" t="s">
        <v>385</v>
      </c>
      <c r="P188" t="s">
        <v>384</v>
      </c>
      <c r="Q188" t="s">
        <v>392</v>
      </c>
      <c r="R188" t="s">
        <v>395</v>
      </c>
    </row>
    <row r="189" spans="1:18" x14ac:dyDescent="0.2">
      <c r="A189" s="38" t="s">
        <v>240</v>
      </c>
      <c r="B189" s="37" t="s">
        <v>33</v>
      </c>
      <c r="C189" t="s">
        <v>34</v>
      </c>
      <c r="D189" s="37" t="s">
        <v>70</v>
      </c>
      <c r="E189" t="s">
        <v>72</v>
      </c>
      <c r="F189" s="37" t="s">
        <v>293</v>
      </c>
      <c r="G189" t="s">
        <v>294</v>
      </c>
      <c r="H189" s="37" t="s">
        <v>74</v>
      </c>
      <c r="I189" t="s">
        <v>75</v>
      </c>
      <c r="J189" s="37" t="s">
        <v>251</v>
      </c>
      <c r="K189" t="s">
        <v>247</v>
      </c>
      <c r="M189" t="s">
        <v>281</v>
      </c>
      <c r="N189" t="s">
        <v>283</v>
      </c>
      <c r="O189" t="s">
        <v>385</v>
      </c>
      <c r="P189" t="s">
        <v>384</v>
      </c>
      <c r="Q189" t="s">
        <v>392</v>
      </c>
      <c r="R189" t="s">
        <v>395</v>
      </c>
    </row>
    <row r="190" spans="1:18" x14ac:dyDescent="0.2">
      <c r="A190" s="38" t="s">
        <v>241</v>
      </c>
      <c r="B190" s="37" t="s">
        <v>32</v>
      </c>
      <c r="C190" t="s">
        <v>34</v>
      </c>
      <c r="D190" s="37" t="s">
        <v>70</v>
      </c>
      <c r="E190" t="s">
        <v>72</v>
      </c>
      <c r="F190" s="37" t="s">
        <v>293</v>
      </c>
      <c r="G190" t="s">
        <v>294</v>
      </c>
      <c r="H190" s="37" t="s">
        <v>74</v>
      </c>
      <c r="I190" t="s">
        <v>75</v>
      </c>
      <c r="J190" s="37" t="s">
        <v>251</v>
      </c>
      <c r="K190" t="s">
        <v>247</v>
      </c>
      <c r="M190" t="s">
        <v>281</v>
      </c>
      <c r="N190" t="s">
        <v>283</v>
      </c>
      <c r="O190" t="s">
        <v>385</v>
      </c>
      <c r="P190" t="s">
        <v>384</v>
      </c>
      <c r="Q190" t="s">
        <v>392</v>
      </c>
      <c r="R190" t="s">
        <v>395</v>
      </c>
    </row>
    <row r="191" spans="1:18" x14ac:dyDescent="0.2">
      <c r="A191" s="38" t="s">
        <v>242</v>
      </c>
      <c r="B191" s="37" t="s">
        <v>33</v>
      </c>
      <c r="C191" t="s">
        <v>34</v>
      </c>
      <c r="D191" s="37" t="s">
        <v>70</v>
      </c>
      <c r="E191" t="s">
        <v>72</v>
      </c>
      <c r="F191" s="37" t="s">
        <v>293</v>
      </c>
      <c r="G191" t="s">
        <v>294</v>
      </c>
      <c r="H191" s="37" t="s">
        <v>74</v>
      </c>
      <c r="I191" t="s">
        <v>75</v>
      </c>
      <c r="J191" s="37" t="s">
        <v>251</v>
      </c>
      <c r="K191" t="s">
        <v>247</v>
      </c>
      <c r="M191" t="s">
        <v>281</v>
      </c>
      <c r="N191" t="s">
        <v>283</v>
      </c>
      <c r="O191" t="s">
        <v>385</v>
      </c>
      <c r="P191" t="s">
        <v>384</v>
      </c>
      <c r="Q191" t="s">
        <v>392</v>
      </c>
      <c r="R191" t="s">
        <v>395</v>
      </c>
    </row>
    <row r="192" spans="1:18" x14ac:dyDescent="0.2">
      <c r="A192" s="38" t="s">
        <v>243</v>
      </c>
      <c r="B192" s="37" t="s">
        <v>32</v>
      </c>
      <c r="C192" t="s">
        <v>34</v>
      </c>
      <c r="D192" s="37" t="s">
        <v>70</v>
      </c>
      <c r="E192" t="s">
        <v>72</v>
      </c>
      <c r="F192" s="37" t="s">
        <v>293</v>
      </c>
      <c r="G192" t="s">
        <v>294</v>
      </c>
      <c r="H192" s="37" t="s">
        <v>74</v>
      </c>
      <c r="I192" t="s">
        <v>75</v>
      </c>
      <c r="J192" s="37" t="s">
        <v>251</v>
      </c>
      <c r="K192" t="s">
        <v>247</v>
      </c>
      <c r="M192" t="s">
        <v>281</v>
      </c>
      <c r="N192" t="s">
        <v>283</v>
      </c>
      <c r="O192" t="s">
        <v>385</v>
      </c>
      <c r="P192" t="s">
        <v>384</v>
      </c>
      <c r="Q192" t="s">
        <v>392</v>
      </c>
      <c r="R192" t="s">
        <v>395</v>
      </c>
    </row>
    <row r="193" spans="1:18" x14ac:dyDescent="0.2">
      <c r="A193" s="38" t="s">
        <v>244</v>
      </c>
      <c r="B193" s="37" t="s">
        <v>33</v>
      </c>
      <c r="C193" t="s">
        <v>34</v>
      </c>
      <c r="D193" s="37" t="s">
        <v>70</v>
      </c>
      <c r="E193" t="s">
        <v>72</v>
      </c>
      <c r="F193" s="37" t="s">
        <v>293</v>
      </c>
      <c r="G193" t="s">
        <v>294</v>
      </c>
      <c r="H193" s="37" t="s">
        <v>74</v>
      </c>
      <c r="I193" t="s">
        <v>75</v>
      </c>
      <c r="J193" s="37" t="s">
        <v>251</v>
      </c>
      <c r="K193" t="s">
        <v>247</v>
      </c>
      <c r="M193" t="s">
        <v>281</v>
      </c>
      <c r="N193" t="s">
        <v>283</v>
      </c>
      <c r="O193" t="s">
        <v>385</v>
      </c>
      <c r="P193" t="s">
        <v>384</v>
      </c>
      <c r="Q193" t="s">
        <v>392</v>
      </c>
      <c r="R193" t="s">
        <v>395</v>
      </c>
    </row>
    <row r="194" spans="1:18" x14ac:dyDescent="0.2">
      <c r="A194" s="38" t="s">
        <v>40</v>
      </c>
      <c r="B194" s="37" t="s">
        <v>64</v>
      </c>
      <c r="C194" t="s">
        <v>66</v>
      </c>
      <c r="D194" s="37" t="s">
        <v>73</v>
      </c>
      <c r="E194" t="s">
        <v>72</v>
      </c>
      <c r="F194" s="37" t="s">
        <v>293</v>
      </c>
      <c r="G194" t="s">
        <v>294</v>
      </c>
      <c r="H194" s="37" t="s">
        <v>74</v>
      </c>
      <c r="I194" t="s">
        <v>75</v>
      </c>
      <c r="J194" s="37" t="s">
        <v>253</v>
      </c>
      <c r="K194" t="s">
        <v>252</v>
      </c>
      <c r="M194" t="s">
        <v>281</v>
      </c>
      <c r="N194" t="s">
        <v>283</v>
      </c>
      <c r="O194" t="s">
        <v>386</v>
      </c>
      <c r="P194" t="s">
        <v>389</v>
      </c>
      <c r="Q194" t="s">
        <v>392</v>
      </c>
      <c r="R194" t="s">
        <v>395</v>
      </c>
    </row>
    <row r="195" spans="1:18" x14ac:dyDescent="0.2">
      <c r="A195" s="38" t="s">
        <v>41</v>
      </c>
      <c r="B195" s="37" t="s">
        <v>65</v>
      </c>
      <c r="C195" t="s">
        <v>67</v>
      </c>
      <c r="D195" s="37" t="s">
        <v>73</v>
      </c>
      <c r="E195" t="s">
        <v>72</v>
      </c>
      <c r="F195" s="37" t="s">
        <v>293</v>
      </c>
      <c r="G195" t="s">
        <v>294</v>
      </c>
      <c r="H195" s="37" t="s">
        <v>74</v>
      </c>
      <c r="I195" t="s">
        <v>75</v>
      </c>
      <c r="J195" s="37" t="s">
        <v>253</v>
      </c>
      <c r="K195" t="s">
        <v>252</v>
      </c>
      <c r="M195" t="s">
        <v>281</v>
      </c>
      <c r="N195" t="s">
        <v>283</v>
      </c>
      <c r="O195" t="s">
        <v>386</v>
      </c>
      <c r="P195" t="s">
        <v>389</v>
      </c>
      <c r="Q195" t="s">
        <v>392</v>
      </c>
      <c r="R195" t="s">
        <v>395</v>
      </c>
    </row>
    <row r="196" spans="1:18" x14ac:dyDescent="0.2">
      <c r="A196" s="38" t="s">
        <v>42</v>
      </c>
      <c r="B196" s="37" t="s">
        <v>64</v>
      </c>
      <c r="C196" t="s">
        <v>66</v>
      </c>
      <c r="D196" s="37" t="s">
        <v>73</v>
      </c>
      <c r="E196" t="s">
        <v>72</v>
      </c>
      <c r="F196" s="37" t="s">
        <v>293</v>
      </c>
      <c r="G196" t="s">
        <v>294</v>
      </c>
      <c r="H196" s="37" t="s">
        <v>74</v>
      </c>
      <c r="I196" t="s">
        <v>75</v>
      </c>
      <c r="J196" s="37" t="s">
        <v>253</v>
      </c>
      <c r="K196" t="s">
        <v>252</v>
      </c>
      <c r="M196" t="s">
        <v>281</v>
      </c>
      <c r="N196" t="s">
        <v>283</v>
      </c>
      <c r="O196" t="s">
        <v>386</v>
      </c>
      <c r="P196" t="s">
        <v>389</v>
      </c>
      <c r="Q196" t="s">
        <v>392</v>
      </c>
      <c r="R196" t="s">
        <v>395</v>
      </c>
    </row>
    <row r="197" spans="1:18" x14ac:dyDescent="0.2">
      <c r="A197" s="38" t="s">
        <v>43</v>
      </c>
      <c r="B197" s="37" t="s">
        <v>65</v>
      </c>
      <c r="C197" t="s">
        <v>67</v>
      </c>
      <c r="D197" s="37" t="s">
        <v>73</v>
      </c>
      <c r="E197" t="s">
        <v>72</v>
      </c>
      <c r="F197" s="37" t="s">
        <v>293</v>
      </c>
      <c r="G197" t="s">
        <v>294</v>
      </c>
      <c r="H197" s="37" t="s">
        <v>74</v>
      </c>
      <c r="I197" t="s">
        <v>75</v>
      </c>
      <c r="J197" s="37" t="s">
        <v>253</v>
      </c>
      <c r="K197" t="s">
        <v>252</v>
      </c>
      <c r="M197" t="s">
        <v>281</v>
      </c>
      <c r="N197" t="s">
        <v>283</v>
      </c>
      <c r="O197" t="s">
        <v>386</v>
      </c>
      <c r="P197" t="s">
        <v>389</v>
      </c>
      <c r="Q197" t="s">
        <v>392</v>
      </c>
      <c r="R197" t="s">
        <v>395</v>
      </c>
    </row>
    <row r="198" spans="1:18" x14ac:dyDescent="0.2">
      <c r="A198" s="38" t="s">
        <v>44</v>
      </c>
      <c r="B198" s="37" t="s">
        <v>64</v>
      </c>
      <c r="C198" t="s">
        <v>66</v>
      </c>
      <c r="D198" s="37" t="s">
        <v>73</v>
      </c>
      <c r="E198" t="s">
        <v>72</v>
      </c>
      <c r="F198" s="37" t="s">
        <v>293</v>
      </c>
      <c r="G198" t="s">
        <v>294</v>
      </c>
      <c r="H198" s="37" t="s">
        <v>74</v>
      </c>
      <c r="I198" t="s">
        <v>75</v>
      </c>
      <c r="J198" s="37" t="s">
        <v>253</v>
      </c>
      <c r="K198" t="s">
        <v>252</v>
      </c>
      <c r="M198" t="s">
        <v>281</v>
      </c>
      <c r="N198" t="s">
        <v>283</v>
      </c>
      <c r="O198" t="s">
        <v>386</v>
      </c>
      <c r="P198" t="s">
        <v>389</v>
      </c>
      <c r="Q198" t="s">
        <v>392</v>
      </c>
      <c r="R198" t="s">
        <v>395</v>
      </c>
    </row>
    <row r="199" spans="1:18" x14ac:dyDescent="0.2">
      <c r="A199" s="38" t="s">
        <v>45</v>
      </c>
      <c r="B199" s="37" t="s">
        <v>65</v>
      </c>
      <c r="C199" t="s">
        <v>67</v>
      </c>
      <c r="D199" s="37" t="s">
        <v>73</v>
      </c>
      <c r="E199" t="s">
        <v>72</v>
      </c>
      <c r="F199" s="37" t="s">
        <v>293</v>
      </c>
      <c r="G199" t="s">
        <v>294</v>
      </c>
      <c r="H199" s="37" t="s">
        <v>74</v>
      </c>
      <c r="I199" t="s">
        <v>75</v>
      </c>
      <c r="J199" s="37" t="s">
        <v>253</v>
      </c>
      <c r="K199" t="s">
        <v>252</v>
      </c>
      <c r="M199" t="s">
        <v>281</v>
      </c>
      <c r="N199" t="s">
        <v>283</v>
      </c>
      <c r="O199" t="s">
        <v>386</v>
      </c>
      <c r="P199" t="s">
        <v>389</v>
      </c>
      <c r="Q199" t="s">
        <v>392</v>
      </c>
      <c r="R199" t="s">
        <v>395</v>
      </c>
    </row>
    <row r="200" spans="1:18" x14ac:dyDescent="0.2">
      <c r="A200" s="38" t="s">
        <v>46</v>
      </c>
      <c r="B200" s="37" t="s">
        <v>64</v>
      </c>
      <c r="C200" t="s">
        <v>66</v>
      </c>
      <c r="D200" s="37" t="s">
        <v>73</v>
      </c>
      <c r="E200" t="s">
        <v>72</v>
      </c>
      <c r="F200" s="37" t="s">
        <v>293</v>
      </c>
      <c r="G200" t="s">
        <v>294</v>
      </c>
      <c r="H200" s="37" t="s">
        <v>74</v>
      </c>
      <c r="I200" t="s">
        <v>75</v>
      </c>
      <c r="J200" s="37" t="s">
        <v>253</v>
      </c>
      <c r="K200" t="s">
        <v>252</v>
      </c>
      <c r="M200" t="s">
        <v>281</v>
      </c>
      <c r="N200" t="s">
        <v>283</v>
      </c>
      <c r="O200" t="s">
        <v>386</v>
      </c>
      <c r="P200" t="s">
        <v>389</v>
      </c>
      <c r="Q200" t="s">
        <v>392</v>
      </c>
      <c r="R200" t="s">
        <v>395</v>
      </c>
    </row>
    <row r="201" spans="1:18" x14ac:dyDescent="0.2">
      <c r="A201" s="38" t="s">
        <v>47</v>
      </c>
      <c r="B201" s="37" t="s">
        <v>65</v>
      </c>
      <c r="C201" t="s">
        <v>67</v>
      </c>
      <c r="D201" s="37" t="s">
        <v>73</v>
      </c>
      <c r="E201" t="s">
        <v>72</v>
      </c>
      <c r="F201" s="37" t="s">
        <v>293</v>
      </c>
      <c r="G201" t="s">
        <v>294</v>
      </c>
      <c r="H201" s="37" t="s">
        <v>74</v>
      </c>
      <c r="I201" t="s">
        <v>75</v>
      </c>
      <c r="J201" s="37" t="s">
        <v>253</v>
      </c>
      <c r="K201" t="s">
        <v>252</v>
      </c>
      <c r="M201" t="s">
        <v>281</v>
      </c>
      <c r="N201" t="s">
        <v>283</v>
      </c>
      <c r="O201" t="s">
        <v>386</v>
      </c>
      <c r="P201" t="s">
        <v>389</v>
      </c>
      <c r="Q201" t="s">
        <v>392</v>
      </c>
      <c r="R201" t="s">
        <v>395</v>
      </c>
    </row>
    <row r="202" spans="1:18" x14ac:dyDescent="0.2">
      <c r="A202" s="38" t="s">
        <v>48</v>
      </c>
      <c r="B202" s="37" t="s">
        <v>64</v>
      </c>
      <c r="C202" t="s">
        <v>66</v>
      </c>
      <c r="D202" s="37" t="s">
        <v>73</v>
      </c>
      <c r="E202" t="s">
        <v>72</v>
      </c>
      <c r="F202" s="37" t="s">
        <v>293</v>
      </c>
      <c r="G202" t="s">
        <v>294</v>
      </c>
      <c r="H202" s="37" t="s">
        <v>74</v>
      </c>
      <c r="I202" t="s">
        <v>75</v>
      </c>
      <c r="J202" s="37" t="s">
        <v>253</v>
      </c>
      <c r="K202" t="s">
        <v>252</v>
      </c>
      <c r="M202" t="s">
        <v>281</v>
      </c>
      <c r="N202" t="s">
        <v>283</v>
      </c>
      <c r="O202" t="s">
        <v>386</v>
      </c>
      <c r="P202" t="s">
        <v>389</v>
      </c>
      <c r="Q202" t="s">
        <v>392</v>
      </c>
      <c r="R202" t="s">
        <v>395</v>
      </c>
    </row>
    <row r="203" spans="1:18" x14ac:dyDescent="0.2">
      <c r="A203" s="38" t="s">
        <v>49</v>
      </c>
      <c r="B203" s="37" t="s">
        <v>65</v>
      </c>
      <c r="C203" t="s">
        <v>67</v>
      </c>
      <c r="D203" s="37" t="s">
        <v>73</v>
      </c>
      <c r="E203" t="s">
        <v>72</v>
      </c>
      <c r="F203" s="37" t="s">
        <v>293</v>
      </c>
      <c r="G203" t="s">
        <v>294</v>
      </c>
      <c r="H203" s="37" t="s">
        <v>74</v>
      </c>
      <c r="I203" t="s">
        <v>75</v>
      </c>
      <c r="J203" s="37" t="s">
        <v>253</v>
      </c>
      <c r="K203" t="s">
        <v>252</v>
      </c>
      <c r="M203" t="s">
        <v>281</v>
      </c>
      <c r="N203" t="s">
        <v>283</v>
      </c>
      <c r="O203" t="s">
        <v>386</v>
      </c>
      <c r="P203" t="s">
        <v>389</v>
      </c>
      <c r="Q203" t="s">
        <v>392</v>
      </c>
      <c r="R203" t="s">
        <v>395</v>
      </c>
    </row>
    <row r="204" spans="1:18" x14ac:dyDescent="0.2">
      <c r="A204" s="38" t="s">
        <v>50</v>
      </c>
      <c r="B204" s="37" t="s">
        <v>64</v>
      </c>
      <c r="C204" t="s">
        <v>66</v>
      </c>
      <c r="D204" s="37" t="s">
        <v>73</v>
      </c>
      <c r="E204" t="s">
        <v>72</v>
      </c>
      <c r="F204" s="37" t="s">
        <v>293</v>
      </c>
      <c r="G204" t="s">
        <v>294</v>
      </c>
      <c r="H204" s="37" t="s">
        <v>74</v>
      </c>
      <c r="I204" t="s">
        <v>75</v>
      </c>
      <c r="J204" s="37" t="s">
        <v>253</v>
      </c>
      <c r="K204" t="s">
        <v>252</v>
      </c>
      <c r="M204" t="s">
        <v>281</v>
      </c>
      <c r="N204" t="s">
        <v>283</v>
      </c>
      <c r="O204" t="s">
        <v>386</v>
      </c>
      <c r="P204" t="s">
        <v>389</v>
      </c>
      <c r="Q204" t="s">
        <v>392</v>
      </c>
      <c r="R204" t="s">
        <v>395</v>
      </c>
    </row>
    <row r="205" spans="1:18" x14ac:dyDescent="0.2">
      <c r="A205" s="38" t="s">
        <v>51</v>
      </c>
      <c r="B205" s="37" t="s">
        <v>65</v>
      </c>
      <c r="C205" t="s">
        <v>67</v>
      </c>
      <c r="D205" s="37" t="s">
        <v>73</v>
      </c>
      <c r="E205" t="s">
        <v>72</v>
      </c>
      <c r="F205" s="37" t="s">
        <v>293</v>
      </c>
      <c r="G205" t="s">
        <v>294</v>
      </c>
      <c r="H205" s="37" t="s">
        <v>74</v>
      </c>
      <c r="I205" t="s">
        <v>75</v>
      </c>
      <c r="J205" s="37" t="s">
        <v>253</v>
      </c>
      <c r="K205" t="s">
        <v>252</v>
      </c>
      <c r="M205" t="s">
        <v>281</v>
      </c>
      <c r="N205" t="s">
        <v>283</v>
      </c>
      <c r="O205" t="s">
        <v>386</v>
      </c>
      <c r="P205" t="s">
        <v>389</v>
      </c>
      <c r="Q205" t="s">
        <v>392</v>
      </c>
      <c r="R205" t="s">
        <v>395</v>
      </c>
    </row>
    <row r="206" spans="1:18" x14ac:dyDescent="0.2">
      <c r="A206" s="38" t="s">
        <v>52</v>
      </c>
      <c r="B206" s="37" t="s">
        <v>64</v>
      </c>
      <c r="C206" t="s">
        <v>66</v>
      </c>
      <c r="D206" s="37" t="s">
        <v>73</v>
      </c>
      <c r="E206" t="s">
        <v>72</v>
      </c>
      <c r="F206" s="37" t="s">
        <v>293</v>
      </c>
      <c r="G206" t="s">
        <v>294</v>
      </c>
      <c r="H206" s="37" t="s">
        <v>74</v>
      </c>
      <c r="I206" t="s">
        <v>75</v>
      </c>
      <c r="J206" s="37" t="s">
        <v>253</v>
      </c>
      <c r="K206" t="s">
        <v>252</v>
      </c>
      <c r="M206" t="s">
        <v>281</v>
      </c>
      <c r="N206" t="s">
        <v>283</v>
      </c>
      <c r="O206" t="s">
        <v>386</v>
      </c>
      <c r="P206" t="s">
        <v>389</v>
      </c>
      <c r="Q206" t="s">
        <v>392</v>
      </c>
      <c r="R206" t="s">
        <v>395</v>
      </c>
    </row>
    <row r="207" spans="1:18" x14ac:dyDescent="0.2">
      <c r="A207" s="38" t="s">
        <v>53</v>
      </c>
      <c r="B207" s="37" t="s">
        <v>65</v>
      </c>
      <c r="C207" t="s">
        <v>67</v>
      </c>
      <c r="D207" s="37" t="s">
        <v>73</v>
      </c>
      <c r="E207" t="s">
        <v>72</v>
      </c>
      <c r="F207" s="37" t="s">
        <v>293</v>
      </c>
      <c r="G207" t="s">
        <v>294</v>
      </c>
      <c r="H207" s="37" t="s">
        <v>74</v>
      </c>
      <c r="I207" t="s">
        <v>75</v>
      </c>
      <c r="J207" s="37" t="s">
        <v>253</v>
      </c>
      <c r="K207" t="s">
        <v>252</v>
      </c>
      <c r="M207" t="s">
        <v>281</v>
      </c>
      <c r="N207" t="s">
        <v>283</v>
      </c>
      <c r="O207" t="s">
        <v>386</v>
      </c>
      <c r="P207" t="s">
        <v>389</v>
      </c>
      <c r="Q207" t="s">
        <v>392</v>
      </c>
      <c r="R207" t="s">
        <v>395</v>
      </c>
    </row>
    <row r="208" spans="1:18" x14ac:dyDescent="0.2">
      <c r="A208" s="38" t="s">
        <v>54</v>
      </c>
      <c r="B208" s="37" t="s">
        <v>64</v>
      </c>
      <c r="C208" t="s">
        <v>66</v>
      </c>
      <c r="D208" s="37" t="s">
        <v>73</v>
      </c>
      <c r="E208" t="s">
        <v>72</v>
      </c>
      <c r="F208" s="37" t="s">
        <v>293</v>
      </c>
      <c r="G208" t="s">
        <v>294</v>
      </c>
      <c r="H208" s="37" t="s">
        <v>74</v>
      </c>
      <c r="I208" t="s">
        <v>75</v>
      </c>
      <c r="J208" s="37" t="s">
        <v>253</v>
      </c>
      <c r="K208" t="s">
        <v>252</v>
      </c>
      <c r="M208" t="s">
        <v>281</v>
      </c>
      <c r="N208" t="s">
        <v>283</v>
      </c>
      <c r="O208" t="s">
        <v>386</v>
      </c>
      <c r="P208" t="s">
        <v>389</v>
      </c>
      <c r="Q208" t="s">
        <v>392</v>
      </c>
      <c r="R208" t="s">
        <v>395</v>
      </c>
    </row>
    <row r="209" spans="1:18" x14ac:dyDescent="0.2">
      <c r="A209" s="38" t="s">
        <v>55</v>
      </c>
      <c r="B209" s="37" t="s">
        <v>65</v>
      </c>
      <c r="C209" t="s">
        <v>67</v>
      </c>
      <c r="D209" s="37" t="s">
        <v>73</v>
      </c>
      <c r="E209" t="s">
        <v>72</v>
      </c>
      <c r="F209" s="37" t="s">
        <v>293</v>
      </c>
      <c r="G209" t="s">
        <v>294</v>
      </c>
      <c r="H209" s="37" t="s">
        <v>74</v>
      </c>
      <c r="I209" t="s">
        <v>75</v>
      </c>
      <c r="J209" s="37" t="s">
        <v>253</v>
      </c>
      <c r="K209" t="s">
        <v>252</v>
      </c>
      <c r="M209" t="s">
        <v>281</v>
      </c>
      <c r="N209" t="s">
        <v>283</v>
      </c>
      <c r="O209" t="s">
        <v>386</v>
      </c>
      <c r="P209" t="s">
        <v>389</v>
      </c>
      <c r="Q209" t="s">
        <v>392</v>
      </c>
      <c r="R209" t="s">
        <v>395</v>
      </c>
    </row>
    <row r="210" spans="1:18" x14ac:dyDescent="0.2">
      <c r="A210" s="38" t="s">
        <v>56</v>
      </c>
      <c r="B210" s="37" t="s">
        <v>64</v>
      </c>
      <c r="C210" t="s">
        <v>66</v>
      </c>
      <c r="D210" s="37" t="s">
        <v>73</v>
      </c>
      <c r="E210" t="s">
        <v>72</v>
      </c>
      <c r="F210" s="37" t="s">
        <v>293</v>
      </c>
      <c r="G210" t="s">
        <v>294</v>
      </c>
      <c r="H210" s="37" t="s">
        <v>74</v>
      </c>
      <c r="I210" t="s">
        <v>75</v>
      </c>
      <c r="J210" s="37" t="s">
        <v>253</v>
      </c>
      <c r="K210" t="s">
        <v>252</v>
      </c>
      <c r="M210" t="s">
        <v>281</v>
      </c>
      <c r="N210" t="s">
        <v>283</v>
      </c>
      <c r="O210" t="s">
        <v>386</v>
      </c>
      <c r="P210" t="s">
        <v>389</v>
      </c>
      <c r="Q210" t="s">
        <v>392</v>
      </c>
      <c r="R210" t="s">
        <v>395</v>
      </c>
    </row>
    <row r="211" spans="1:18" x14ac:dyDescent="0.2">
      <c r="A211" s="38" t="s">
        <v>57</v>
      </c>
      <c r="B211" s="37" t="s">
        <v>65</v>
      </c>
      <c r="C211" t="s">
        <v>67</v>
      </c>
      <c r="D211" s="37" t="s">
        <v>73</v>
      </c>
      <c r="E211" t="s">
        <v>72</v>
      </c>
      <c r="F211" s="37" t="s">
        <v>293</v>
      </c>
      <c r="G211" t="s">
        <v>294</v>
      </c>
      <c r="H211" s="37" t="s">
        <v>74</v>
      </c>
      <c r="I211" t="s">
        <v>75</v>
      </c>
      <c r="J211" s="37" t="s">
        <v>253</v>
      </c>
      <c r="K211" t="s">
        <v>252</v>
      </c>
      <c r="M211" t="s">
        <v>281</v>
      </c>
      <c r="N211" t="s">
        <v>283</v>
      </c>
      <c r="O211" t="s">
        <v>386</v>
      </c>
      <c r="P211" t="s">
        <v>389</v>
      </c>
      <c r="Q211" t="s">
        <v>392</v>
      </c>
      <c r="R211" t="s">
        <v>395</v>
      </c>
    </row>
    <row r="212" spans="1:18" x14ac:dyDescent="0.2">
      <c r="A212" s="38" t="s">
        <v>58</v>
      </c>
      <c r="B212" s="37" t="s">
        <v>64</v>
      </c>
      <c r="C212" t="s">
        <v>66</v>
      </c>
      <c r="D212" s="37" t="s">
        <v>73</v>
      </c>
      <c r="E212" t="s">
        <v>72</v>
      </c>
      <c r="F212" s="37" t="s">
        <v>293</v>
      </c>
      <c r="G212" t="s">
        <v>294</v>
      </c>
      <c r="H212" s="37" t="s">
        <v>74</v>
      </c>
      <c r="I212" t="s">
        <v>75</v>
      </c>
      <c r="J212" s="37" t="s">
        <v>253</v>
      </c>
      <c r="K212" t="s">
        <v>252</v>
      </c>
      <c r="M212" t="s">
        <v>281</v>
      </c>
      <c r="N212" t="s">
        <v>283</v>
      </c>
      <c r="O212" t="s">
        <v>386</v>
      </c>
      <c r="P212" t="s">
        <v>389</v>
      </c>
      <c r="Q212" t="s">
        <v>392</v>
      </c>
      <c r="R212" t="s">
        <v>395</v>
      </c>
    </row>
    <row r="213" spans="1:18" x14ac:dyDescent="0.2">
      <c r="A213" s="38" t="s">
        <v>59</v>
      </c>
      <c r="B213" s="37" t="s">
        <v>65</v>
      </c>
      <c r="C213" t="s">
        <v>67</v>
      </c>
      <c r="D213" s="37" t="s">
        <v>73</v>
      </c>
      <c r="E213" t="s">
        <v>72</v>
      </c>
      <c r="F213" s="37" t="s">
        <v>293</v>
      </c>
      <c r="G213" t="s">
        <v>294</v>
      </c>
      <c r="H213" s="37" t="s">
        <v>74</v>
      </c>
      <c r="I213" t="s">
        <v>75</v>
      </c>
      <c r="J213" s="37" t="s">
        <v>253</v>
      </c>
      <c r="K213" t="s">
        <v>252</v>
      </c>
      <c r="M213" t="s">
        <v>281</v>
      </c>
      <c r="N213" t="s">
        <v>283</v>
      </c>
      <c r="O213" t="s">
        <v>386</v>
      </c>
      <c r="P213" t="s">
        <v>389</v>
      </c>
      <c r="Q213" t="s">
        <v>392</v>
      </c>
      <c r="R213" t="s">
        <v>395</v>
      </c>
    </row>
    <row r="214" spans="1:18" x14ac:dyDescent="0.2">
      <c r="A214" s="38" t="s">
        <v>60</v>
      </c>
      <c r="B214" s="37" t="s">
        <v>64</v>
      </c>
      <c r="C214" t="s">
        <v>66</v>
      </c>
      <c r="D214" s="37" t="s">
        <v>73</v>
      </c>
      <c r="E214" t="s">
        <v>72</v>
      </c>
      <c r="F214" s="37" t="s">
        <v>293</v>
      </c>
      <c r="G214" t="s">
        <v>294</v>
      </c>
      <c r="H214" s="37" t="s">
        <v>74</v>
      </c>
      <c r="I214" t="s">
        <v>75</v>
      </c>
      <c r="J214" s="37" t="s">
        <v>253</v>
      </c>
      <c r="K214" t="s">
        <v>252</v>
      </c>
      <c r="M214" t="s">
        <v>281</v>
      </c>
      <c r="N214" t="s">
        <v>283</v>
      </c>
      <c r="O214" t="s">
        <v>386</v>
      </c>
      <c r="P214" t="s">
        <v>389</v>
      </c>
      <c r="Q214" t="s">
        <v>392</v>
      </c>
      <c r="R214" t="s">
        <v>395</v>
      </c>
    </row>
    <row r="215" spans="1:18" x14ac:dyDescent="0.2">
      <c r="A215" s="38" t="s">
        <v>61</v>
      </c>
      <c r="B215" s="37" t="s">
        <v>65</v>
      </c>
      <c r="C215" t="s">
        <v>67</v>
      </c>
      <c r="D215" s="37" t="s">
        <v>73</v>
      </c>
      <c r="E215" t="s">
        <v>72</v>
      </c>
      <c r="F215" s="37" t="s">
        <v>293</v>
      </c>
      <c r="G215" t="s">
        <v>294</v>
      </c>
      <c r="H215" s="37" t="s">
        <v>74</v>
      </c>
      <c r="I215" t="s">
        <v>75</v>
      </c>
      <c r="J215" s="37" t="s">
        <v>253</v>
      </c>
      <c r="K215" t="s">
        <v>252</v>
      </c>
      <c r="M215" t="s">
        <v>281</v>
      </c>
      <c r="N215" t="s">
        <v>283</v>
      </c>
      <c r="O215" t="s">
        <v>386</v>
      </c>
      <c r="P215" t="s">
        <v>389</v>
      </c>
      <c r="Q215" t="s">
        <v>392</v>
      </c>
      <c r="R215" t="s">
        <v>395</v>
      </c>
    </row>
    <row r="216" spans="1:18" x14ac:dyDescent="0.2">
      <c r="A216" s="38" t="s">
        <v>62</v>
      </c>
      <c r="B216" s="37" t="s">
        <v>64</v>
      </c>
      <c r="C216" t="s">
        <v>66</v>
      </c>
      <c r="D216" s="37" t="s">
        <v>73</v>
      </c>
      <c r="E216" t="s">
        <v>72</v>
      </c>
      <c r="F216" s="37" t="s">
        <v>293</v>
      </c>
      <c r="G216" t="s">
        <v>294</v>
      </c>
      <c r="H216" s="37" t="s">
        <v>74</v>
      </c>
      <c r="I216" t="s">
        <v>75</v>
      </c>
      <c r="J216" s="37" t="s">
        <v>253</v>
      </c>
      <c r="K216" t="s">
        <v>252</v>
      </c>
      <c r="M216" t="s">
        <v>281</v>
      </c>
      <c r="N216" t="s">
        <v>283</v>
      </c>
      <c r="O216" t="s">
        <v>386</v>
      </c>
      <c r="P216" t="s">
        <v>389</v>
      </c>
      <c r="Q216" t="s">
        <v>392</v>
      </c>
      <c r="R216" t="s">
        <v>395</v>
      </c>
    </row>
    <row r="217" spans="1:18" x14ac:dyDescent="0.2">
      <c r="A217" s="38" t="s">
        <v>63</v>
      </c>
      <c r="B217" s="37" t="s">
        <v>65</v>
      </c>
      <c r="C217" t="s">
        <v>67</v>
      </c>
      <c r="D217" s="37" t="s">
        <v>73</v>
      </c>
      <c r="E217" t="s">
        <v>72</v>
      </c>
      <c r="F217" s="37" t="s">
        <v>293</v>
      </c>
      <c r="G217" t="s">
        <v>294</v>
      </c>
      <c r="H217" s="37" t="s">
        <v>74</v>
      </c>
      <c r="I217" t="s">
        <v>75</v>
      </c>
      <c r="J217" s="37" t="s">
        <v>253</v>
      </c>
      <c r="K217" t="s">
        <v>252</v>
      </c>
      <c r="M217" t="s">
        <v>281</v>
      </c>
      <c r="N217" t="s">
        <v>283</v>
      </c>
      <c r="O217" t="s">
        <v>386</v>
      </c>
      <c r="P217" t="s">
        <v>389</v>
      </c>
      <c r="Q217" t="s">
        <v>392</v>
      </c>
      <c r="R217" t="s">
        <v>395</v>
      </c>
    </row>
    <row r="218" spans="1:18" x14ac:dyDescent="0.2">
      <c r="A218" s="38" t="s">
        <v>323</v>
      </c>
      <c r="B218" s="37" t="s">
        <v>305</v>
      </c>
      <c r="C218" t="s">
        <v>306</v>
      </c>
      <c r="D218" s="37" t="s">
        <v>313</v>
      </c>
      <c r="E218" t="s">
        <v>314</v>
      </c>
      <c r="F218" s="37" t="s">
        <v>293</v>
      </c>
      <c r="G218" t="s">
        <v>294</v>
      </c>
      <c r="H218" s="37" t="s">
        <v>74</v>
      </c>
      <c r="I218" t="s">
        <v>75</v>
      </c>
      <c r="J218" s="37" t="s">
        <v>319</v>
      </c>
      <c r="K218" t="s">
        <v>317</v>
      </c>
      <c r="M218" t="s">
        <v>281</v>
      </c>
      <c r="N218" t="s">
        <v>283</v>
      </c>
      <c r="O218" t="s">
        <v>387</v>
      </c>
      <c r="P218" t="s">
        <v>390</v>
      </c>
      <c r="Q218" t="s">
        <v>393</v>
      </c>
      <c r="R218" t="s">
        <v>395</v>
      </c>
    </row>
    <row r="219" spans="1:18" x14ac:dyDescent="0.2">
      <c r="A219" s="38" t="s">
        <v>324</v>
      </c>
      <c r="B219" s="37" t="s">
        <v>305</v>
      </c>
      <c r="C219" t="s">
        <v>306</v>
      </c>
      <c r="D219" s="37" t="s">
        <v>313</v>
      </c>
      <c r="E219" t="s">
        <v>314</v>
      </c>
      <c r="F219" s="37" t="s">
        <v>293</v>
      </c>
      <c r="G219" t="s">
        <v>294</v>
      </c>
      <c r="H219" s="37" t="s">
        <v>74</v>
      </c>
      <c r="I219" t="s">
        <v>75</v>
      </c>
      <c r="J219" s="37" t="s">
        <v>319</v>
      </c>
      <c r="K219" t="s">
        <v>317</v>
      </c>
      <c r="M219" t="s">
        <v>281</v>
      </c>
      <c r="N219" t="s">
        <v>283</v>
      </c>
      <c r="O219" t="s">
        <v>387</v>
      </c>
      <c r="P219" t="s">
        <v>390</v>
      </c>
      <c r="Q219" t="s">
        <v>393</v>
      </c>
      <c r="R219" t="s">
        <v>395</v>
      </c>
    </row>
    <row r="220" spans="1:18" x14ac:dyDescent="0.2">
      <c r="A220" s="38" t="s">
        <v>325</v>
      </c>
      <c r="B220" s="37" t="s">
        <v>305</v>
      </c>
      <c r="C220" t="s">
        <v>306</v>
      </c>
      <c r="D220" s="37" t="s">
        <v>313</v>
      </c>
      <c r="E220" t="s">
        <v>314</v>
      </c>
      <c r="F220" s="37" t="s">
        <v>293</v>
      </c>
      <c r="G220" t="s">
        <v>294</v>
      </c>
      <c r="H220" s="37" t="s">
        <v>74</v>
      </c>
      <c r="I220" t="s">
        <v>75</v>
      </c>
      <c r="J220" s="37" t="s">
        <v>319</v>
      </c>
      <c r="K220" t="s">
        <v>317</v>
      </c>
      <c r="M220" t="s">
        <v>281</v>
      </c>
      <c r="N220" t="s">
        <v>283</v>
      </c>
      <c r="O220" t="s">
        <v>387</v>
      </c>
      <c r="P220" t="s">
        <v>390</v>
      </c>
      <c r="Q220" t="s">
        <v>393</v>
      </c>
      <c r="R220" t="s">
        <v>395</v>
      </c>
    </row>
    <row r="221" spans="1:18" x14ac:dyDescent="0.2">
      <c r="A221" s="38" t="s">
        <v>326</v>
      </c>
      <c r="B221" s="37" t="s">
        <v>305</v>
      </c>
      <c r="C221" t="s">
        <v>306</v>
      </c>
      <c r="D221" s="37" t="s">
        <v>313</v>
      </c>
      <c r="E221" t="s">
        <v>314</v>
      </c>
      <c r="F221" s="37" t="s">
        <v>293</v>
      </c>
      <c r="G221" t="s">
        <v>294</v>
      </c>
      <c r="H221" s="37" t="s">
        <v>74</v>
      </c>
      <c r="I221" t="s">
        <v>75</v>
      </c>
      <c r="J221" s="37" t="s">
        <v>319</v>
      </c>
      <c r="K221" t="s">
        <v>317</v>
      </c>
      <c r="M221" t="s">
        <v>281</v>
      </c>
      <c r="N221" t="s">
        <v>283</v>
      </c>
      <c r="O221" t="s">
        <v>387</v>
      </c>
      <c r="P221" t="s">
        <v>390</v>
      </c>
      <c r="Q221" t="s">
        <v>393</v>
      </c>
      <c r="R221" t="s">
        <v>395</v>
      </c>
    </row>
    <row r="222" spans="1:18" x14ac:dyDescent="0.2">
      <c r="A222" s="38" t="s">
        <v>327</v>
      </c>
      <c r="B222" s="37" t="s">
        <v>305</v>
      </c>
      <c r="C222" t="s">
        <v>306</v>
      </c>
      <c r="D222" s="37" t="s">
        <v>313</v>
      </c>
      <c r="E222" t="s">
        <v>314</v>
      </c>
      <c r="F222" s="37" t="s">
        <v>293</v>
      </c>
      <c r="G222" t="s">
        <v>294</v>
      </c>
      <c r="H222" s="37" t="s">
        <v>74</v>
      </c>
      <c r="I222" t="s">
        <v>75</v>
      </c>
      <c r="J222" s="37" t="s">
        <v>319</v>
      </c>
      <c r="K222" t="s">
        <v>317</v>
      </c>
      <c r="M222" t="s">
        <v>281</v>
      </c>
      <c r="N222" t="s">
        <v>283</v>
      </c>
      <c r="O222" t="s">
        <v>387</v>
      </c>
      <c r="P222" t="s">
        <v>390</v>
      </c>
      <c r="Q222" t="s">
        <v>393</v>
      </c>
      <c r="R222" t="s">
        <v>395</v>
      </c>
    </row>
    <row r="223" spans="1:18" x14ac:dyDescent="0.2">
      <c r="A223" s="38" t="s">
        <v>328</v>
      </c>
      <c r="B223" s="37" t="s">
        <v>305</v>
      </c>
      <c r="C223" t="s">
        <v>306</v>
      </c>
      <c r="D223" s="37" t="s">
        <v>313</v>
      </c>
      <c r="E223" t="s">
        <v>314</v>
      </c>
      <c r="F223" s="37" t="s">
        <v>293</v>
      </c>
      <c r="G223" t="s">
        <v>294</v>
      </c>
      <c r="H223" s="37" t="s">
        <v>74</v>
      </c>
      <c r="I223" t="s">
        <v>75</v>
      </c>
      <c r="J223" s="37" t="s">
        <v>319</v>
      </c>
      <c r="K223" t="s">
        <v>317</v>
      </c>
      <c r="M223" t="s">
        <v>281</v>
      </c>
      <c r="N223" t="s">
        <v>283</v>
      </c>
      <c r="O223" t="s">
        <v>387</v>
      </c>
      <c r="P223" t="s">
        <v>390</v>
      </c>
      <c r="Q223" t="s">
        <v>393</v>
      </c>
      <c r="R223" t="s">
        <v>395</v>
      </c>
    </row>
    <row r="224" spans="1:18" x14ac:dyDescent="0.2">
      <c r="A224" s="38" t="s">
        <v>329</v>
      </c>
      <c r="B224" s="37" t="s">
        <v>305</v>
      </c>
      <c r="C224" t="s">
        <v>306</v>
      </c>
      <c r="D224" s="37" t="s">
        <v>313</v>
      </c>
      <c r="E224" t="s">
        <v>314</v>
      </c>
      <c r="F224" s="37" t="s">
        <v>293</v>
      </c>
      <c r="G224" t="s">
        <v>294</v>
      </c>
      <c r="H224" s="37" t="s">
        <v>74</v>
      </c>
      <c r="I224" t="s">
        <v>75</v>
      </c>
      <c r="J224" s="37" t="s">
        <v>319</v>
      </c>
      <c r="K224" t="s">
        <v>317</v>
      </c>
      <c r="M224" t="s">
        <v>281</v>
      </c>
      <c r="N224" t="s">
        <v>283</v>
      </c>
      <c r="O224" t="s">
        <v>387</v>
      </c>
      <c r="P224" t="s">
        <v>390</v>
      </c>
      <c r="Q224" t="s">
        <v>393</v>
      </c>
      <c r="R224" t="s">
        <v>395</v>
      </c>
    </row>
    <row r="225" spans="1:18" x14ac:dyDescent="0.2">
      <c r="A225" s="38" t="s">
        <v>330</v>
      </c>
      <c r="B225" s="37" t="s">
        <v>305</v>
      </c>
      <c r="C225" t="s">
        <v>306</v>
      </c>
      <c r="D225" s="37" t="s">
        <v>313</v>
      </c>
      <c r="E225" t="s">
        <v>314</v>
      </c>
      <c r="F225" s="37" t="s">
        <v>293</v>
      </c>
      <c r="G225" t="s">
        <v>294</v>
      </c>
      <c r="H225" s="37" t="s">
        <v>74</v>
      </c>
      <c r="I225" t="s">
        <v>75</v>
      </c>
      <c r="J225" s="37" t="s">
        <v>319</v>
      </c>
      <c r="K225" t="s">
        <v>317</v>
      </c>
      <c r="M225" t="s">
        <v>281</v>
      </c>
      <c r="N225" t="s">
        <v>283</v>
      </c>
      <c r="O225" t="s">
        <v>387</v>
      </c>
      <c r="P225" t="s">
        <v>390</v>
      </c>
      <c r="Q225" t="s">
        <v>393</v>
      </c>
      <c r="R225" t="s">
        <v>395</v>
      </c>
    </row>
    <row r="226" spans="1:18" x14ac:dyDescent="0.2">
      <c r="A226" s="38" t="s">
        <v>331</v>
      </c>
      <c r="B226" s="37" t="s">
        <v>305</v>
      </c>
      <c r="C226" t="s">
        <v>306</v>
      </c>
      <c r="D226" s="37" t="s">
        <v>313</v>
      </c>
      <c r="E226" t="s">
        <v>314</v>
      </c>
      <c r="F226" s="37" t="s">
        <v>293</v>
      </c>
      <c r="G226" t="s">
        <v>294</v>
      </c>
      <c r="H226" s="37" t="s">
        <v>74</v>
      </c>
      <c r="I226" t="s">
        <v>75</v>
      </c>
      <c r="J226" s="37" t="s">
        <v>319</v>
      </c>
      <c r="K226" t="s">
        <v>317</v>
      </c>
      <c r="M226" t="s">
        <v>281</v>
      </c>
      <c r="N226" t="s">
        <v>283</v>
      </c>
      <c r="O226" t="s">
        <v>387</v>
      </c>
      <c r="P226" t="s">
        <v>390</v>
      </c>
      <c r="Q226" t="s">
        <v>393</v>
      </c>
      <c r="R226" t="s">
        <v>395</v>
      </c>
    </row>
    <row r="227" spans="1:18" x14ac:dyDescent="0.2">
      <c r="A227" s="38" t="s">
        <v>332</v>
      </c>
      <c r="B227" s="37" t="s">
        <v>305</v>
      </c>
      <c r="C227" t="s">
        <v>306</v>
      </c>
      <c r="D227" s="37" t="s">
        <v>313</v>
      </c>
      <c r="E227" t="s">
        <v>314</v>
      </c>
      <c r="F227" s="37" t="s">
        <v>293</v>
      </c>
      <c r="G227" t="s">
        <v>294</v>
      </c>
      <c r="H227" s="37" t="s">
        <v>74</v>
      </c>
      <c r="I227" t="s">
        <v>75</v>
      </c>
      <c r="J227" s="37" t="s">
        <v>319</v>
      </c>
      <c r="K227" t="s">
        <v>317</v>
      </c>
      <c r="M227" t="s">
        <v>281</v>
      </c>
      <c r="N227" t="s">
        <v>283</v>
      </c>
      <c r="O227" t="s">
        <v>387</v>
      </c>
      <c r="P227" t="s">
        <v>390</v>
      </c>
      <c r="Q227" t="s">
        <v>393</v>
      </c>
      <c r="R227" t="s">
        <v>395</v>
      </c>
    </row>
    <row r="228" spans="1:18" x14ac:dyDescent="0.2">
      <c r="A228" s="38" t="s">
        <v>333</v>
      </c>
      <c r="B228" s="37" t="s">
        <v>305</v>
      </c>
      <c r="C228" t="s">
        <v>306</v>
      </c>
      <c r="D228" s="37" t="s">
        <v>313</v>
      </c>
      <c r="E228" t="s">
        <v>314</v>
      </c>
      <c r="F228" s="37" t="s">
        <v>293</v>
      </c>
      <c r="G228" t="s">
        <v>294</v>
      </c>
      <c r="H228" s="37" t="s">
        <v>74</v>
      </c>
      <c r="I228" t="s">
        <v>75</v>
      </c>
      <c r="J228" s="37" t="s">
        <v>319</v>
      </c>
      <c r="K228" t="s">
        <v>317</v>
      </c>
      <c r="M228" t="s">
        <v>281</v>
      </c>
      <c r="N228" t="s">
        <v>283</v>
      </c>
      <c r="O228" t="s">
        <v>387</v>
      </c>
      <c r="P228" t="s">
        <v>390</v>
      </c>
      <c r="Q228" t="s">
        <v>393</v>
      </c>
      <c r="R228" t="s">
        <v>395</v>
      </c>
    </row>
    <row r="229" spans="1:18" x14ac:dyDescent="0.2">
      <c r="A229" s="38" t="s">
        <v>334</v>
      </c>
      <c r="B229" s="37" t="s">
        <v>305</v>
      </c>
      <c r="C229" t="s">
        <v>306</v>
      </c>
      <c r="D229" s="37" t="s">
        <v>313</v>
      </c>
      <c r="E229" t="s">
        <v>314</v>
      </c>
      <c r="F229" s="37" t="s">
        <v>293</v>
      </c>
      <c r="G229" t="s">
        <v>294</v>
      </c>
      <c r="H229" s="37" t="s">
        <v>74</v>
      </c>
      <c r="I229" t="s">
        <v>75</v>
      </c>
      <c r="J229" s="37" t="s">
        <v>319</v>
      </c>
      <c r="K229" t="s">
        <v>317</v>
      </c>
      <c r="M229" t="s">
        <v>281</v>
      </c>
      <c r="N229" t="s">
        <v>283</v>
      </c>
      <c r="O229" t="s">
        <v>387</v>
      </c>
      <c r="P229" t="s">
        <v>390</v>
      </c>
      <c r="Q229" t="s">
        <v>393</v>
      </c>
      <c r="R229" t="s">
        <v>395</v>
      </c>
    </row>
    <row r="230" spans="1:18" x14ac:dyDescent="0.2">
      <c r="A230" s="38" t="s">
        <v>335</v>
      </c>
      <c r="B230" s="37" t="s">
        <v>307</v>
      </c>
      <c r="C230" t="s">
        <v>308</v>
      </c>
      <c r="D230" s="37" t="s">
        <v>313</v>
      </c>
      <c r="E230" t="s">
        <v>314</v>
      </c>
      <c r="F230" s="37" t="s">
        <v>293</v>
      </c>
      <c r="G230" t="s">
        <v>294</v>
      </c>
      <c r="H230" s="37" t="s">
        <v>74</v>
      </c>
      <c r="I230" t="s">
        <v>75</v>
      </c>
      <c r="J230" s="37" t="s">
        <v>319</v>
      </c>
      <c r="K230" t="s">
        <v>317</v>
      </c>
      <c r="M230" t="s">
        <v>281</v>
      </c>
      <c r="N230" t="s">
        <v>283</v>
      </c>
      <c r="O230" t="s">
        <v>387</v>
      </c>
      <c r="P230" t="s">
        <v>390</v>
      </c>
      <c r="Q230" t="s">
        <v>393</v>
      </c>
      <c r="R230" t="s">
        <v>395</v>
      </c>
    </row>
    <row r="231" spans="1:18" x14ac:dyDescent="0.2">
      <c r="A231" s="38" t="s">
        <v>336</v>
      </c>
      <c r="B231" s="37" t="s">
        <v>307</v>
      </c>
      <c r="C231" t="s">
        <v>308</v>
      </c>
      <c r="D231" s="37" t="s">
        <v>313</v>
      </c>
      <c r="E231" t="s">
        <v>314</v>
      </c>
      <c r="F231" s="37" t="s">
        <v>293</v>
      </c>
      <c r="G231" t="s">
        <v>294</v>
      </c>
      <c r="H231" s="37" t="s">
        <v>74</v>
      </c>
      <c r="I231" t="s">
        <v>75</v>
      </c>
      <c r="J231" s="37" t="s">
        <v>319</v>
      </c>
      <c r="K231" t="s">
        <v>317</v>
      </c>
      <c r="M231" t="s">
        <v>281</v>
      </c>
      <c r="N231" t="s">
        <v>283</v>
      </c>
      <c r="O231" t="s">
        <v>387</v>
      </c>
      <c r="P231" t="s">
        <v>390</v>
      </c>
      <c r="Q231" t="s">
        <v>393</v>
      </c>
      <c r="R231" t="s">
        <v>395</v>
      </c>
    </row>
    <row r="232" spans="1:18" x14ac:dyDescent="0.2">
      <c r="A232" s="38" t="s">
        <v>337</v>
      </c>
      <c r="B232" s="37" t="s">
        <v>307</v>
      </c>
      <c r="C232" t="s">
        <v>308</v>
      </c>
      <c r="D232" s="37" t="s">
        <v>313</v>
      </c>
      <c r="E232" t="s">
        <v>314</v>
      </c>
      <c r="F232" s="37" t="s">
        <v>293</v>
      </c>
      <c r="G232" t="s">
        <v>294</v>
      </c>
      <c r="H232" s="37" t="s">
        <v>74</v>
      </c>
      <c r="I232" t="s">
        <v>75</v>
      </c>
      <c r="J232" s="37" t="s">
        <v>319</v>
      </c>
      <c r="K232" t="s">
        <v>317</v>
      </c>
      <c r="M232" t="s">
        <v>281</v>
      </c>
      <c r="N232" t="s">
        <v>283</v>
      </c>
      <c r="O232" t="s">
        <v>387</v>
      </c>
      <c r="P232" t="s">
        <v>390</v>
      </c>
      <c r="Q232" t="s">
        <v>393</v>
      </c>
      <c r="R232" t="s">
        <v>395</v>
      </c>
    </row>
    <row r="233" spans="1:18" x14ac:dyDescent="0.2">
      <c r="A233" s="38" t="s">
        <v>338</v>
      </c>
      <c r="B233" s="37" t="s">
        <v>307</v>
      </c>
      <c r="C233" t="s">
        <v>308</v>
      </c>
      <c r="D233" s="37" t="s">
        <v>313</v>
      </c>
      <c r="E233" t="s">
        <v>314</v>
      </c>
      <c r="F233" s="37" t="s">
        <v>293</v>
      </c>
      <c r="G233" t="s">
        <v>294</v>
      </c>
      <c r="H233" s="37" t="s">
        <v>74</v>
      </c>
      <c r="I233" t="s">
        <v>75</v>
      </c>
      <c r="J233" s="37" t="s">
        <v>319</v>
      </c>
      <c r="K233" t="s">
        <v>317</v>
      </c>
      <c r="M233" t="s">
        <v>281</v>
      </c>
      <c r="N233" t="s">
        <v>283</v>
      </c>
      <c r="O233" t="s">
        <v>387</v>
      </c>
      <c r="P233" t="s">
        <v>390</v>
      </c>
      <c r="Q233" t="s">
        <v>393</v>
      </c>
      <c r="R233" t="s">
        <v>395</v>
      </c>
    </row>
    <row r="234" spans="1:18" x14ac:dyDescent="0.2">
      <c r="A234" s="38" t="s">
        <v>339</v>
      </c>
      <c r="B234" s="37" t="s">
        <v>307</v>
      </c>
      <c r="C234" t="s">
        <v>308</v>
      </c>
      <c r="D234" s="37" t="s">
        <v>313</v>
      </c>
      <c r="E234" t="s">
        <v>314</v>
      </c>
      <c r="F234" s="37" t="s">
        <v>293</v>
      </c>
      <c r="G234" t="s">
        <v>294</v>
      </c>
      <c r="H234" s="37" t="s">
        <v>74</v>
      </c>
      <c r="I234" t="s">
        <v>75</v>
      </c>
      <c r="J234" s="37" t="s">
        <v>319</v>
      </c>
      <c r="K234" t="s">
        <v>317</v>
      </c>
      <c r="M234" t="s">
        <v>281</v>
      </c>
      <c r="N234" t="s">
        <v>283</v>
      </c>
      <c r="O234" t="s">
        <v>387</v>
      </c>
      <c r="P234" t="s">
        <v>390</v>
      </c>
      <c r="Q234" t="s">
        <v>393</v>
      </c>
      <c r="R234" t="s">
        <v>395</v>
      </c>
    </row>
    <row r="235" spans="1:18" x14ac:dyDescent="0.2">
      <c r="A235" s="38" t="s">
        <v>340</v>
      </c>
      <c r="B235" s="37" t="s">
        <v>307</v>
      </c>
      <c r="C235" t="s">
        <v>308</v>
      </c>
      <c r="D235" s="37" t="s">
        <v>313</v>
      </c>
      <c r="E235" t="s">
        <v>314</v>
      </c>
      <c r="F235" s="37" t="s">
        <v>293</v>
      </c>
      <c r="G235" t="s">
        <v>294</v>
      </c>
      <c r="H235" s="37" t="s">
        <v>74</v>
      </c>
      <c r="I235" t="s">
        <v>75</v>
      </c>
      <c r="J235" s="37" t="s">
        <v>319</v>
      </c>
      <c r="K235" t="s">
        <v>317</v>
      </c>
      <c r="M235" t="s">
        <v>281</v>
      </c>
      <c r="N235" t="s">
        <v>283</v>
      </c>
      <c r="O235" t="s">
        <v>387</v>
      </c>
      <c r="P235" t="s">
        <v>390</v>
      </c>
      <c r="Q235" t="s">
        <v>393</v>
      </c>
      <c r="R235" t="s">
        <v>395</v>
      </c>
    </row>
    <row r="236" spans="1:18" x14ac:dyDescent="0.2">
      <c r="A236" s="38" t="s">
        <v>341</v>
      </c>
      <c r="B236" s="37" t="s">
        <v>307</v>
      </c>
      <c r="C236" t="s">
        <v>308</v>
      </c>
      <c r="D236" s="37" t="s">
        <v>313</v>
      </c>
      <c r="E236" t="s">
        <v>314</v>
      </c>
      <c r="F236" s="37" t="s">
        <v>293</v>
      </c>
      <c r="G236" t="s">
        <v>294</v>
      </c>
      <c r="H236" s="37" t="s">
        <v>74</v>
      </c>
      <c r="I236" t="s">
        <v>75</v>
      </c>
      <c r="J236" s="37" t="s">
        <v>319</v>
      </c>
      <c r="K236" t="s">
        <v>317</v>
      </c>
      <c r="M236" t="s">
        <v>281</v>
      </c>
      <c r="N236" t="s">
        <v>283</v>
      </c>
      <c r="O236" t="s">
        <v>387</v>
      </c>
      <c r="P236" t="s">
        <v>390</v>
      </c>
      <c r="Q236" t="s">
        <v>393</v>
      </c>
      <c r="R236" t="s">
        <v>395</v>
      </c>
    </row>
    <row r="237" spans="1:18" x14ac:dyDescent="0.2">
      <c r="A237" s="38" t="s">
        <v>342</v>
      </c>
      <c r="B237" s="37" t="s">
        <v>307</v>
      </c>
      <c r="C237" t="s">
        <v>308</v>
      </c>
      <c r="D237" s="37" t="s">
        <v>313</v>
      </c>
      <c r="E237" t="s">
        <v>314</v>
      </c>
      <c r="F237" s="37" t="s">
        <v>293</v>
      </c>
      <c r="G237" t="s">
        <v>294</v>
      </c>
      <c r="H237" s="37" t="s">
        <v>74</v>
      </c>
      <c r="I237" t="s">
        <v>75</v>
      </c>
      <c r="J237" s="37" t="s">
        <v>319</v>
      </c>
      <c r="K237" t="s">
        <v>317</v>
      </c>
      <c r="M237" t="s">
        <v>281</v>
      </c>
      <c r="N237" t="s">
        <v>283</v>
      </c>
      <c r="O237" t="s">
        <v>387</v>
      </c>
      <c r="P237" t="s">
        <v>390</v>
      </c>
      <c r="Q237" t="s">
        <v>393</v>
      </c>
      <c r="R237" t="s">
        <v>395</v>
      </c>
    </row>
    <row r="238" spans="1:18" x14ac:dyDescent="0.2">
      <c r="A238" s="38" t="s">
        <v>343</v>
      </c>
      <c r="B238" s="37" t="s">
        <v>307</v>
      </c>
      <c r="C238" t="s">
        <v>308</v>
      </c>
      <c r="D238" s="37" t="s">
        <v>313</v>
      </c>
      <c r="E238" t="s">
        <v>314</v>
      </c>
      <c r="F238" s="37" t="s">
        <v>293</v>
      </c>
      <c r="G238" t="s">
        <v>294</v>
      </c>
      <c r="H238" s="37" t="s">
        <v>74</v>
      </c>
      <c r="I238" t="s">
        <v>75</v>
      </c>
      <c r="J238" s="37" t="s">
        <v>319</v>
      </c>
      <c r="K238" t="s">
        <v>317</v>
      </c>
      <c r="M238" t="s">
        <v>281</v>
      </c>
      <c r="N238" t="s">
        <v>283</v>
      </c>
      <c r="O238" t="s">
        <v>387</v>
      </c>
      <c r="P238" t="s">
        <v>390</v>
      </c>
      <c r="Q238" t="s">
        <v>393</v>
      </c>
      <c r="R238" t="s">
        <v>395</v>
      </c>
    </row>
    <row r="239" spans="1:18" x14ac:dyDescent="0.2">
      <c r="A239" s="38" t="s">
        <v>344</v>
      </c>
      <c r="B239" s="37" t="s">
        <v>307</v>
      </c>
      <c r="C239" t="s">
        <v>308</v>
      </c>
      <c r="D239" s="37" t="s">
        <v>313</v>
      </c>
      <c r="E239" t="s">
        <v>314</v>
      </c>
      <c r="F239" s="37" t="s">
        <v>293</v>
      </c>
      <c r="G239" t="s">
        <v>294</v>
      </c>
      <c r="H239" s="37" t="s">
        <v>74</v>
      </c>
      <c r="I239" t="s">
        <v>75</v>
      </c>
      <c r="J239" s="37" t="s">
        <v>319</v>
      </c>
      <c r="K239" t="s">
        <v>317</v>
      </c>
      <c r="M239" t="s">
        <v>281</v>
      </c>
      <c r="N239" t="s">
        <v>283</v>
      </c>
      <c r="O239" t="s">
        <v>387</v>
      </c>
      <c r="P239" t="s">
        <v>390</v>
      </c>
      <c r="Q239" t="s">
        <v>393</v>
      </c>
      <c r="R239" t="s">
        <v>395</v>
      </c>
    </row>
    <row r="240" spans="1:18" x14ac:dyDescent="0.2">
      <c r="A240" s="38" t="s">
        <v>345</v>
      </c>
      <c r="B240" s="37" t="s">
        <v>307</v>
      </c>
      <c r="C240" t="s">
        <v>308</v>
      </c>
      <c r="D240" s="37" t="s">
        <v>313</v>
      </c>
      <c r="E240" t="s">
        <v>314</v>
      </c>
      <c r="F240" s="37" t="s">
        <v>293</v>
      </c>
      <c r="G240" t="s">
        <v>294</v>
      </c>
      <c r="H240" s="37" t="s">
        <v>74</v>
      </c>
      <c r="I240" t="s">
        <v>75</v>
      </c>
      <c r="J240" s="37" t="s">
        <v>319</v>
      </c>
      <c r="K240" t="s">
        <v>317</v>
      </c>
      <c r="M240" t="s">
        <v>281</v>
      </c>
      <c r="N240" t="s">
        <v>283</v>
      </c>
      <c r="O240" t="s">
        <v>387</v>
      </c>
      <c r="P240" t="s">
        <v>390</v>
      </c>
      <c r="Q240" t="s">
        <v>393</v>
      </c>
      <c r="R240" t="s">
        <v>395</v>
      </c>
    </row>
    <row r="241" spans="1:18" x14ac:dyDescent="0.2">
      <c r="A241" s="38" t="s">
        <v>346</v>
      </c>
      <c r="B241" s="37" t="s">
        <v>307</v>
      </c>
      <c r="C241" t="s">
        <v>308</v>
      </c>
      <c r="D241" s="37" t="s">
        <v>313</v>
      </c>
      <c r="E241" t="s">
        <v>314</v>
      </c>
      <c r="F241" s="37" t="s">
        <v>293</v>
      </c>
      <c r="G241" t="s">
        <v>294</v>
      </c>
      <c r="H241" s="37" t="s">
        <v>74</v>
      </c>
      <c r="I241" t="s">
        <v>75</v>
      </c>
      <c r="J241" s="37" t="s">
        <v>319</v>
      </c>
      <c r="K241" t="s">
        <v>317</v>
      </c>
      <c r="M241" t="s">
        <v>281</v>
      </c>
      <c r="N241" t="s">
        <v>283</v>
      </c>
      <c r="O241" t="s">
        <v>387</v>
      </c>
      <c r="P241" t="s">
        <v>390</v>
      </c>
      <c r="Q241" t="s">
        <v>393</v>
      </c>
      <c r="R241" t="s">
        <v>395</v>
      </c>
    </row>
    <row r="242" spans="1:18" x14ac:dyDescent="0.2">
      <c r="A242" s="38" t="s">
        <v>347</v>
      </c>
      <c r="B242" s="37" t="s">
        <v>309</v>
      </c>
      <c r="C242" t="s">
        <v>310</v>
      </c>
      <c r="D242" s="37" t="s">
        <v>313</v>
      </c>
      <c r="E242" t="s">
        <v>314</v>
      </c>
      <c r="F242" s="37" t="s">
        <v>293</v>
      </c>
      <c r="G242" t="s">
        <v>294</v>
      </c>
      <c r="H242" s="37" t="s">
        <v>74</v>
      </c>
      <c r="I242" t="s">
        <v>75</v>
      </c>
      <c r="J242" s="37" t="s">
        <v>320</v>
      </c>
      <c r="K242" t="s">
        <v>318</v>
      </c>
      <c r="M242" t="s">
        <v>281</v>
      </c>
      <c r="N242" t="s">
        <v>283</v>
      </c>
      <c r="O242" t="s">
        <v>388</v>
      </c>
      <c r="P242" t="s">
        <v>390</v>
      </c>
      <c r="Q242" t="s">
        <v>393</v>
      </c>
      <c r="R242" t="s">
        <v>395</v>
      </c>
    </row>
    <row r="243" spans="1:18" x14ac:dyDescent="0.2">
      <c r="A243" s="38" t="s">
        <v>348</v>
      </c>
      <c r="B243" s="37" t="s">
        <v>309</v>
      </c>
      <c r="C243" t="s">
        <v>310</v>
      </c>
      <c r="D243" s="37" t="s">
        <v>313</v>
      </c>
      <c r="E243" t="s">
        <v>314</v>
      </c>
      <c r="F243" s="37" t="s">
        <v>293</v>
      </c>
      <c r="G243" t="s">
        <v>294</v>
      </c>
      <c r="H243" s="37" t="s">
        <v>74</v>
      </c>
      <c r="I243" t="s">
        <v>75</v>
      </c>
      <c r="J243" s="37" t="s">
        <v>320</v>
      </c>
      <c r="K243" t="s">
        <v>318</v>
      </c>
      <c r="M243" t="s">
        <v>281</v>
      </c>
      <c r="N243" t="s">
        <v>283</v>
      </c>
      <c r="O243" t="s">
        <v>388</v>
      </c>
      <c r="P243" t="s">
        <v>390</v>
      </c>
      <c r="Q243" t="s">
        <v>393</v>
      </c>
      <c r="R243" t="s">
        <v>395</v>
      </c>
    </row>
    <row r="244" spans="1:18" x14ac:dyDescent="0.2">
      <c r="A244" s="38" t="s">
        <v>349</v>
      </c>
      <c r="B244" s="37" t="s">
        <v>309</v>
      </c>
      <c r="C244" t="s">
        <v>310</v>
      </c>
      <c r="D244" s="37" t="s">
        <v>313</v>
      </c>
      <c r="E244" t="s">
        <v>314</v>
      </c>
      <c r="F244" s="37" t="s">
        <v>293</v>
      </c>
      <c r="G244" t="s">
        <v>294</v>
      </c>
      <c r="H244" s="37" t="s">
        <v>74</v>
      </c>
      <c r="I244" t="s">
        <v>75</v>
      </c>
      <c r="J244" s="37" t="s">
        <v>320</v>
      </c>
      <c r="K244" t="s">
        <v>318</v>
      </c>
      <c r="M244" t="s">
        <v>281</v>
      </c>
      <c r="N244" t="s">
        <v>283</v>
      </c>
      <c r="O244" t="s">
        <v>388</v>
      </c>
      <c r="P244" t="s">
        <v>390</v>
      </c>
      <c r="Q244" t="s">
        <v>393</v>
      </c>
      <c r="R244" t="s">
        <v>395</v>
      </c>
    </row>
    <row r="245" spans="1:18" x14ac:dyDescent="0.2">
      <c r="A245" s="38" t="s">
        <v>350</v>
      </c>
      <c r="B245" s="37" t="s">
        <v>309</v>
      </c>
      <c r="C245" t="s">
        <v>310</v>
      </c>
      <c r="D245" s="37" t="s">
        <v>313</v>
      </c>
      <c r="E245" t="s">
        <v>314</v>
      </c>
      <c r="F245" s="37" t="s">
        <v>293</v>
      </c>
      <c r="G245" t="s">
        <v>294</v>
      </c>
      <c r="H245" s="37" t="s">
        <v>74</v>
      </c>
      <c r="I245" t="s">
        <v>75</v>
      </c>
      <c r="J245" s="37" t="s">
        <v>320</v>
      </c>
      <c r="K245" t="s">
        <v>318</v>
      </c>
      <c r="M245" t="s">
        <v>281</v>
      </c>
      <c r="N245" t="s">
        <v>283</v>
      </c>
      <c r="O245" t="s">
        <v>388</v>
      </c>
      <c r="P245" t="s">
        <v>390</v>
      </c>
      <c r="Q245" t="s">
        <v>393</v>
      </c>
      <c r="R245" t="s">
        <v>395</v>
      </c>
    </row>
    <row r="246" spans="1:18" x14ac:dyDescent="0.2">
      <c r="A246" s="38" t="s">
        <v>351</v>
      </c>
      <c r="B246" s="37" t="s">
        <v>309</v>
      </c>
      <c r="C246" t="s">
        <v>310</v>
      </c>
      <c r="D246" s="37" t="s">
        <v>313</v>
      </c>
      <c r="E246" t="s">
        <v>314</v>
      </c>
      <c r="F246" s="37" t="s">
        <v>293</v>
      </c>
      <c r="G246" t="s">
        <v>294</v>
      </c>
      <c r="H246" s="37" t="s">
        <v>74</v>
      </c>
      <c r="I246" t="s">
        <v>75</v>
      </c>
      <c r="J246" s="37" t="s">
        <v>320</v>
      </c>
      <c r="K246" t="s">
        <v>318</v>
      </c>
      <c r="M246" t="s">
        <v>281</v>
      </c>
      <c r="N246" t="s">
        <v>283</v>
      </c>
      <c r="O246" t="s">
        <v>388</v>
      </c>
      <c r="P246" t="s">
        <v>390</v>
      </c>
      <c r="Q246" t="s">
        <v>393</v>
      </c>
      <c r="R246" t="s">
        <v>395</v>
      </c>
    </row>
    <row r="247" spans="1:18" x14ac:dyDescent="0.2">
      <c r="A247" s="38" t="s">
        <v>352</v>
      </c>
      <c r="B247" s="37" t="s">
        <v>309</v>
      </c>
      <c r="C247" t="s">
        <v>310</v>
      </c>
      <c r="D247" s="37" t="s">
        <v>313</v>
      </c>
      <c r="E247" t="s">
        <v>314</v>
      </c>
      <c r="F247" s="37" t="s">
        <v>293</v>
      </c>
      <c r="G247" t="s">
        <v>294</v>
      </c>
      <c r="H247" s="37" t="s">
        <v>74</v>
      </c>
      <c r="I247" t="s">
        <v>75</v>
      </c>
      <c r="J247" s="37" t="s">
        <v>320</v>
      </c>
      <c r="K247" t="s">
        <v>318</v>
      </c>
      <c r="M247" t="s">
        <v>281</v>
      </c>
      <c r="N247" t="s">
        <v>283</v>
      </c>
      <c r="O247" t="s">
        <v>388</v>
      </c>
      <c r="P247" t="s">
        <v>390</v>
      </c>
      <c r="Q247" t="s">
        <v>393</v>
      </c>
      <c r="R247" t="s">
        <v>395</v>
      </c>
    </row>
    <row r="248" spans="1:18" x14ac:dyDescent="0.2">
      <c r="A248" s="38" t="s">
        <v>353</v>
      </c>
      <c r="B248" s="37" t="s">
        <v>309</v>
      </c>
      <c r="C248" t="s">
        <v>310</v>
      </c>
      <c r="D248" s="37" t="s">
        <v>313</v>
      </c>
      <c r="E248" t="s">
        <v>314</v>
      </c>
      <c r="F248" s="37" t="s">
        <v>293</v>
      </c>
      <c r="G248" t="s">
        <v>294</v>
      </c>
      <c r="H248" s="37" t="s">
        <v>74</v>
      </c>
      <c r="I248" t="s">
        <v>75</v>
      </c>
      <c r="J248" s="37" t="s">
        <v>320</v>
      </c>
      <c r="K248" t="s">
        <v>318</v>
      </c>
      <c r="M248" t="s">
        <v>281</v>
      </c>
      <c r="N248" t="s">
        <v>283</v>
      </c>
      <c r="O248" t="s">
        <v>388</v>
      </c>
      <c r="P248" t="s">
        <v>390</v>
      </c>
      <c r="Q248" t="s">
        <v>393</v>
      </c>
      <c r="R248" t="s">
        <v>395</v>
      </c>
    </row>
    <row r="249" spans="1:18" x14ac:dyDescent="0.2">
      <c r="A249" s="38" t="s">
        <v>354</v>
      </c>
      <c r="B249" s="37" t="s">
        <v>309</v>
      </c>
      <c r="C249" t="s">
        <v>310</v>
      </c>
      <c r="D249" s="37" t="s">
        <v>313</v>
      </c>
      <c r="E249" t="s">
        <v>314</v>
      </c>
      <c r="F249" s="37" t="s">
        <v>293</v>
      </c>
      <c r="G249" t="s">
        <v>294</v>
      </c>
      <c r="H249" s="37" t="s">
        <v>74</v>
      </c>
      <c r="I249" t="s">
        <v>75</v>
      </c>
      <c r="J249" s="37" t="s">
        <v>320</v>
      </c>
      <c r="K249" t="s">
        <v>318</v>
      </c>
      <c r="M249" t="s">
        <v>281</v>
      </c>
      <c r="N249" t="s">
        <v>283</v>
      </c>
      <c r="O249" t="s">
        <v>388</v>
      </c>
      <c r="P249" t="s">
        <v>390</v>
      </c>
      <c r="Q249" t="s">
        <v>393</v>
      </c>
      <c r="R249" t="s">
        <v>395</v>
      </c>
    </row>
    <row r="250" spans="1:18" x14ac:dyDescent="0.2">
      <c r="A250" s="38" t="s">
        <v>355</v>
      </c>
      <c r="B250" s="37" t="s">
        <v>309</v>
      </c>
      <c r="C250" t="s">
        <v>310</v>
      </c>
      <c r="D250" s="37" t="s">
        <v>313</v>
      </c>
      <c r="E250" t="s">
        <v>314</v>
      </c>
      <c r="F250" s="37" t="s">
        <v>293</v>
      </c>
      <c r="G250" t="s">
        <v>294</v>
      </c>
      <c r="H250" s="37" t="s">
        <v>74</v>
      </c>
      <c r="I250" t="s">
        <v>75</v>
      </c>
      <c r="J250" s="37" t="s">
        <v>320</v>
      </c>
      <c r="K250" t="s">
        <v>318</v>
      </c>
      <c r="M250" t="s">
        <v>281</v>
      </c>
      <c r="N250" t="s">
        <v>283</v>
      </c>
      <c r="O250" t="s">
        <v>388</v>
      </c>
      <c r="P250" t="s">
        <v>390</v>
      </c>
      <c r="Q250" t="s">
        <v>393</v>
      </c>
      <c r="R250" t="s">
        <v>395</v>
      </c>
    </row>
    <row r="251" spans="1:18" x14ac:dyDescent="0.2">
      <c r="A251" s="38" t="s">
        <v>356</v>
      </c>
      <c r="B251" s="37" t="s">
        <v>309</v>
      </c>
      <c r="C251" t="s">
        <v>310</v>
      </c>
      <c r="D251" s="37" t="s">
        <v>313</v>
      </c>
      <c r="E251" t="s">
        <v>314</v>
      </c>
      <c r="F251" s="37" t="s">
        <v>293</v>
      </c>
      <c r="G251" t="s">
        <v>294</v>
      </c>
      <c r="H251" s="37" t="s">
        <v>74</v>
      </c>
      <c r="I251" t="s">
        <v>75</v>
      </c>
      <c r="J251" s="37" t="s">
        <v>320</v>
      </c>
      <c r="K251" t="s">
        <v>318</v>
      </c>
      <c r="M251" t="s">
        <v>281</v>
      </c>
      <c r="N251" t="s">
        <v>283</v>
      </c>
      <c r="O251" t="s">
        <v>388</v>
      </c>
      <c r="P251" t="s">
        <v>390</v>
      </c>
      <c r="Q251" t="s">
        <v>393</v>
      </c>
      <c r="R251" t="s">
        <v>395</v>
      </c>
    </row>
    <row r="252" spans="1:18" x14ac:dyDescent="0.2">
      <c r="A252" s="38" t="s">
        <v>357</v>
      </c>
      <c r="B252" s="37" t="s">
        <v>309</v>
      </c>
      <c r="C252" t="s">
        <v>310</v>
      </c>
      <c r="D252" s="37" t="s">
        <v>313</v>
      </c>
      <c r="E252" t="s">
        <v>314</v>
      </c>
      <c r="F252" s="37" t="s">
        <v>293</v>
      </c>
      <c r="G252" t="s">
        <v>294</v>
      </c>
      <c r="H252" s="37" t="s">
        <v>74</v>
      </c>
      <c r="I252" t="s">
        <v>75</v>
      </c>
      <c r="J252" s="37" t="s">
        <v>320</v>
      </c>
      <c r="K252" t="s">
        <v>318</v>
      </c>
      <c r="M252" t="s">
        <v>281</v>
      </c>
      <c r="N252" t="s">
        <v>283</v>
      </c>
      <c r="O252" t="s">
        <v>388</v>
      </c>
      <c r="P252" t="s">
        <v>390</v>
      </c>
      <c r="Q252" t="s">
        <v>393</v>
      </c>
      <c r="R252" t="s">
        <v>395</v>
      </c>
    </row>
    <row r="253" spans="1:18" x14ac:dyDescent="0.2">
      <c r="A253" s="38" t="s">
        <v>358</v>
      </c>
      <c r="B253" s="37" t="s">
        <v>309</v>
      </c>
      <c r="C253" t="s">
        <v>310</v>
      </c>
      <c r="D253" s="37" t="s">
        <v>313</v>
      </c>
      <c r="E253" t="s">
        <v>314</v>
      </c>
      <c r="F253" s="37" t="s">
        <v>293</v>
      </c>
      <c r="G253" t="s">
        <v>294</v>
      </c>
      <c r="H253" s="37" t="s">
        <v>74</v>
      </c>
      <c r="I253" t="s">
        <v>75</v>
      </c>
      <c r="J253" s="37" t="s">
        <v>320</v>
      </c>
      <c r="K253" t="s">
        <v>318</v>
      </c>
      <c r="M253" t="s">
        <v>281</v>
      </c>
      <c r="N253" t="s">
        <v>283</v>
      </c>
      <c r="O253" t="s">
        <v>388</v>
      </c>
      <c r="P253" t="s">
        <v>390</v>
      </c>
      <c r="Q253" t="s">
        <v>393</v>
      </c>
      <c r="R253" t="s">
        <v>395</v>
      </c>
    </row>
    <row r="254" spans="1:18" x14ac:dyDescent="0.2">
      <c r="A254" s="38" t="s">
        <v>359</v>
      </c>
      <c r="B254" s="37" t="s">
        <v>311</v>
      </c>
      <c r="C254" t="s">
        <v>312</v>
      </c>
      <c r="D254" s="37" t="s">
        <v>313</v>
      </c>
      <c r="E254" t="s">
        <v>314</v>
      </c>
      <c r="F254" s="37" t="s">
        <v>293</v>
      </c>
      <c r="G254" t="s">
        <v>294</v>
      </c>
      <c r="H254" s="37" t="s">
        <v>74</v>
      </c>
      <c r="I254" t="s">
        <v>75</v>
      </c>
      <c r="J254" s="37" t="s">
        <v>320</v>
      </c>
      <c r="K254" t="s">
        <v>318</v>
      </c>
      <c r="M254" t="s">
        <v>281</v>
      </c>
      <c r="N254" t="s">
        <v>283</v>
      </c>
      <c r="O254" t="s">
        <v>388</v>
      </c>
      <c r="P254" t="s">
        <v>390</v>
      </c>
      <c r="Q254" t="s">
        <v>393</v>
      </c>
      <c r="R254" t="s">
        <v>395</v>
      </c>
    </row>
    <row r="255" spans="1:18" x14ac:dyDescent="0.2">
      <c r="A255" s="38" t="s">
        <v>360</v>
      </c>
      <c r="B255" s="37" t="s">
        <v>311</v>
      </c>
      <c r="C255" t="s">
        <v>312</v>
      </c>
      <c r="D255" s="37" t="s">
        <v>313</v>
      </c>
      <c r="E255" t="s">
        <v>314</v>
      </c>
      <c r="F255" s="37" t="s">
        <v>293</v>
      </c>
      <c r="G255" t="s">
        <v>294</v>
      </c>
      <c r="H255" s="37" t="s">
        <v>74</v>
      </c>
      <c r="I255" t="s">
        <v>75</v>
      </c>
      <c r="J255" s="37" t="s">
        <v>320</v>
      </c>
      <c r="K255" t="s">
        <v>318</v>
      </c>
      <c r="M255" t="s">
        <v>281</v>
      </c>
      <c r="N255" t="s">
        <v>283</v>
      </c>
      <c r="O255" t="s">
        <v>388</v>
      </c>
      <c r="P255" t="s">
        <v>390</v>
      </c>
      <c r="Q255" t="s">
        <v>393</v>
      </c>
      <c r="R255" t="s">
        <v>395</v>
      </c>
    </row>
    <row r="256" spans="1:18" x14ac:dyDescent="0.2">
      <c r="A256" s="38" t="s">
        <v>361</v>
      </c>
      <c r="B256" s="37" t="s">
        <v>311</v>
      </c>
      <c r="C256" t="s">
        <v>312</v>
      </c>
      <c r="D256" s="37" t="s">
        <v>313</v>
      </c>
      <c r="E256" t="s">
        <v>314</v>
      </c>
      <c r="F256" s="37" t="s">
        <v>293</v>
      </c>
      <c r="G256" t="s">
        <v>294</v>
      </c>
      <c r="H256" s="37" t="s">
        <v>74</v>
      </c>
      <c r="I256" t="s">
        <v>75</v>
      </c>
      <c r="J256" s="37" t="s">
        <v>320</v>
      </c>
      <c r="K256" t="s">
        <v>318</v>
      </c>
      <c r="M256" t="s">
        <v>281</v>
      </c>
      <c r="N256" t="s">
        <v>283</v>
      </c>
      <c r="O256" t="s">
        <v>388</v>
      </c>
      <c r="P256" t="s">
        <v>390</v>
      </c>
      <c r="Q256" t="s">
        <v>393</v>
      </c>
      <c r="R256" t="s">
        <v>395</v>
      </c>
    </row>
    <row r="257" spans="1:18" x14ac:dyDescent="0.2">
      <c r="A257" s="38" t="s">
        <v>362</v>
      </c>
      <c r="B257" s="37" t="s">
        <v>311</v>
      </c>
      <c r="C257" t="s">
        <v>312</v>
      </c>
      <c r="D257" s="37" t="s">
        <v>313</v>
      </c>
      <c r="E257" t="s">
        <v>314</v>
      </c>
      <c r="F257" s="37" t="s">
        <v>293</v>
      </c>
      <c r="G257" t="s">
        <v>294</v>
      </c>
      <c r="H257" s="37" t="s">
        <v>74</v>
      </c>
      <c r="I257" t="s">
        <v>75</v>
      </c>
      <c r="J257" s="37" t="s">
        <v>320</v>
      </c>
      <c r="K257" t="s">
        <v>318</v>
      </c>
      <c r="M257" t="s">
        <v>281</v>
      </c>
      <c r="N257" t="s">
        <v>283</v>
      </c>
      <c r="O257" t="s">
        <v>388</v>
      </c>
      <c r="P257" t="s">
        <v>390</v>
      </c>
      <c r="Q257" t="s">
        <v>393</v>
      </c>
      <c r="R257" t="s">
        <v>395</v>
      </c>
    </row>
    <row r="258" spans="1:18" x14ac:dyDescent="0.2">
      <c r="A258" s="38" t="s">
        <v>363</v>
      </c>
      <c r="B258" s="37" t="s">
        <v>311</v>
      </c>
      <c r="C258" t="s">
        <v>312</v>
      </c>
      <c r="D258" s="37" t="s">
        <v>313</v>
      </c>
      <c r="E258" t="s">
        <v>314</v>
      </c>
      <c r="F258" s="37" t="s">
        <v>293</v>
      </c>
      <c r="G258" t="s">
        <v>294</v>
      </c>
      <c r="H258" s="37" t="s">
        <v>74</v>
      </c>
      <c r="I258" t="s">
        <v>75</v>
      </c>
      <c r="J258" s="37" t="s">
        <v>320</v>
      </c>
      <c r="K258" t="s">
        <v>318</v>
      </c>
      <c r="M258" t="s">
        <v>281</v>
      </c>
      <c r="N258" t="s">
        <v>283</v>
      </c>
      <c r="O258" t="s">
        <v>388</v>
      </c>
      <c r="P258" t="s">
        <v>390</v>
      </c>
      <c r="Q258" t="s">
        <v>393</v>
      </c>
      <c r="R258" t="s">
        <v>395</v>
      </c>
    </row>
    <row r="259" spans="1:18" x14ac:dyDescent="0.2">
      <c r="A259" s="38" t="s">
        <v>364</v>
      </c>
      <c r="B259" s="37" t="s">
        <v>311</v>
      </c>
      <c r="C259" t="s">
        <v>312</v>
      </c>
      <c r="D259" s="37" t="s">
        <v>313</v>
      </c>
      <c r="E259" t="s">
        <v>314</v>
      </c>
      <c r="F259" s="37" t="s">
        <v>293</v>
      </c>
      <c r="G259" t="s">
        <v>294</v>
      </c>
      <c r="H259" s="37" t="s">
        <v>74</v>
      </c>
      <c r="I259" t="s">
        <v>75</v>
      </c>
      <c r="J259" s="37" t="s">
        <v>320</v>
      </c>
      <c r="K259" t="s">
        <v>318</v>
      </c>
      <c r="M259" t="s">
        <v>281</v>
      </c>
      <c r="N259" t="s">
        <v>283</v>
      </c>
      <c r="O259" t="s">
        <v>388</v>
      </c>
      <c r="P259" t="s">
        <v>390</v>
      </c>
      <c r="Q259" t="s">
        <v>393</v>
      </c>
      <c r="R259" t="s">
        <v>395</v>
      </c>
    </row>
    <row r="260" spans="1:18" x14ac:dyDescent="0.2">
      <c r="A260" s="38" t="s">
        <v>365</v>
      </c>
      <c r="B260" s="37" t="s">
        <v>311</v>
      </c>
      <c r="C260" t="s">
        <v>312</v>
      </c>
      <c r="D260" s="37" t="s">
        <v>313</v>
      </c>
      <c r="E260" t="s">
        <v>314</v>
      </c>
      <c r="F260" s="37" t="s">
        <v>293</v>
      </c>
      <c r="G260" t="s">
        <v>294</v>
      </c>
      <c r="H260" s="37" t="s">
        <v>74</v>
      </c>
      <c r="I260" t="s">
        <v>75</v>
      </c>
      <c r="J260" s="37" t="s">
        <v>320</v>
      </c>
      <c r="K260" t="s">
        <v>318</v>
      </c>
      <c r="M260" t="s">
        <v>281</v>
      </c>
      <c r="N260" t="s">
        <v>283</v>
      </c>
      <c r="O260" t="s">
        <v>388</v>
      </c>
      <c r="P260" t="s">
        <v>390</v>
      </c>
      <c r="Q260" t="s">
        <v>393</v>
      </c>
      <c r="R260" t="s">
        <v>395</v>
      </c>
    </row>
    <row r="261" spans="1:18" x14ac:dyDescent="0.2">
      <c r="A261" s="38" t="s">
        <v>366</v>
      </c>
      <c r="B261" s="37" t="s">
        <v>311</v>
      </c>
      <c r="C261" t="s">
        <v>312</v>
      </c>
      <c r="D261" s="37" t="s">
        <v>313</v>
      </c>
      <c r="E261" t="s">
        <v>314</v>
      </c>
      <c r="F261" s="37" t="s">
        <v>293</v>
      </c>
      <c r="G261" t="s">
        <v>294</v>
      </c>
      <c r="H261" s="37" t="s">
        <v>74</v>
      </c>
      <c r="I261" t="s">
        <v>75</v>
      </c>
      <c r="J261" s="37" t="s">
        <v>320</v>
      </c>
      <c r="K261" t="s">
        <v>318</v>
      </c>
      <c r="M261" t="s">
        <v>281</v>
      </c>
      <c r="N261" t="s">
        <v>283</v>
      </c>
      <c r="O261" t="s">
        <v>388</v>
      </c>
      <c r="P261" t="s">
        <v>390</v>
      </c>
      <c r="Q261" t="s">
        <v>393</v>
      </c>
      <c r="R261" t="s">
        <v>395</v>
      </c>
    </row>
    <row r="262" spans="1:18" x14ac:dyDescent="0.2">
      <c r="A262" s="38" t="s">
        <v>367</v>
      </c>
      <c r="B262" s="37" t="s">
        <v>311</v>
      </c>
      <c r="C262" t="s">
        <v>312</v>
      </c>
      <c r="D262" s="37" t="s">
        <v>313</v>
      </c>
      <c r="E262" t="s">
        <v>314</v>
      </c>
      <c r="F262" s="37" t="s">
        <v>293</v>
      </c>
      <c r="G262" t="s">
        <v>294</v>
      </c>
      <c r="H262" s="37" t="s">
        <v>74</v>
      </c>
      <c r="I262" t="s">
        <v>75</v>
      </c>
      <c r="J262" s="37" t="s">
        <v>320</v>
      </c>
      <c r="K262" t="s">
        <v>318</v>
      </c>
      <c r="M262" t="s">
        <v>281</v>
      </c>
      <c r="N262" t="s">
        <v>283</v>
      </c>
      <c r="O262" t="s">
        <v>388</v>
      </c>
      <c r="P262" t="s">
        <v>390</v>
      </c>
      <c r="Q262" t="s">
        <v>393</v>
      </c>
      <c r="R262" t="s">
        <v>395</v>
      </c>
    </row>
    <row r="263" spans="1:18" x14ac:dyDescent="0.2">
      <c r="A263" s="38" t="s">
        <v>368</v>
      </c>
      <c r="B263" s="37" t="s">
        <v>311</v>
      </c>
      <c r="C263" t="s">
        <v>312</v>
      </c>
      <c r="D263" s="37" t="s">
        <v>313</v>
      </c>
      <c r="E263" t="s">
        <v>314</v>
      </c>
      <c r="F263" s="37" t="s">
        <v>293</v>
      </c>
      <c r="G263" t="s">
        <v>294</v>
      </c>
      <c r="H263" s="37" t="s">
        <v>74</v>
      </c>
      <c r="I263" t="s">
        <v>75</v>
      </c>
      <c r="J263" s="37" t="s">
        <v>320</v>
      </c>
      <c r="K263" t="s">
        <v>318</v>
      </c>
      <c r="M263" t="s">
        <v>281</v>
      </c>
      <c r="N263" t="s">
        <v>283</v>
      </c>
      <c r="O263" t="s">
        <v>388</v>
      </c>
      <c r="P263" t="s">
        <v>390</v>
      </c>
      <c r="Q263" t="s">
        <v>393</v>
      </c>
      <c r="R263" t="s">
        <v>395</v>
      </c>
    </row>
    <row r="264" spans="1:18" x14ac:dyDescent="0.2">
      <c r="A264" s="38" t="s">
        <v>369</v>
      </c>
      <c r="B264" s="37" t="s">
        <v>311</v>
      </c>
      <c r="C264" t="s">
        <v>312</v>
      </c>
      <c r="D264" s="37" t="s">
        <v>313</v>
      </c>
      <c r="E264" t="s">
        <v>314</v>
      </c>
      <c r="F264" s="37" t="s">
        <v>293</v>
      </c>
      <c r="G264" t="s">
        <v>294</v>
      </c>
      <c r="H264" s="37" t="s">
        <v>74</v>
      </c>
      <c r="I264" t="s">
        <v>75</v>
      </c>
      <c r="J264" s="37" t="s">
        <v>320</v>
      </c>
      <c r="K264" t="s">
        <v>318</v>
      </c>
      <c r="M264" t="s">
        <v>281</v>
      </c>
      <c r="N264" t="s">
        <v>283</v>
      </c>
      <c r="O264" t="s">
        <v>388</v>
      </c>
      <c r="P264" t="s">
        <v>390</v>
      </c>
      <c r="Q264" t="s">
        <v>393</v>
      </c>
      <c r="R264" t="s">
        <v>395</v>
      </c>
    </row>
    <row r="265" spans="1:18" x14ac:dyDescent="0.2">
      <c r="A265" s="38" t="s">
        <v>370</v>
      </c>
      <c r="B265" s="37" t="s">
        <v>311</v>
      </c>
      <c r="C265" t="s">
        <v>312</v>
      </c>
      <c r="D265" s="37" t="s">
        <v>313</v>
      </c>
      <c r="E265" t="s">
        <v>314</v>
      </c>
      <c r="F265" s="37" t="s">
        <v>293</v>
      </c>
      <c r="G265" t="s">
        <v>294</v>
      </c>
      <c r="H265" s="37" t="s">
        <v>74</v>
      </c>
      <c r="I265" t="s">
        <v>75</v>
      </c>
      <c r="J265" s="37" t="s">
        <v>320</v>
      </c>
      <c r="K265" t="s">
        <v>318</v>
      </c>
      <c r="M265" t="s">
        <v>281</v>
      </c>
      <c r="N265" t="s">
        <v>283</v>
      </c>
      <c r="O265" t="s">
        <v>388</v>
      </c>
      <c r="P265" t="s">
        <v>390</v>
      </c>
      <c r="Q265" t="s">
        <v>393</v>
      </c>
      <c r="R265" t="s">
        <v>395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2C0A-7EAF-DE4D-A61A-B35525E3AA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C7DD-38E6-E043-9D6B-3A6A0640251C}">
  <sheetPr>
    <tabColor theme="5"/>
  </sheetPr>
  <dimension ref="A1:H82"/>
  <sheetViews>
    <sheetView zoomScale="140" zoomScaleNormal="140" workbookViewId="0">
      <pane xSplit="2" ySplit="1" topLeftCell="C29" activePane="bottomRight" state="frozen"/>
      <selection pane="topRight" activeCell="B1" sqref="B1"/>
      <selection pane="bottomLeft" activeCell="A2" sqref="A2"/>
      <selection pane="bottomRight" activeCell="F31" sqref="F31"/>
    </sheetView>
  </sheetViews>
  <sheetFormatPr baseColWidth="10" defaultRowHeight="16" x14ac:dyDescent="0.2"/>
  <cols>
    <col min="1" max="1" width="16.1640625" customWidth="1"/>
    <col min="2" max="2" width="15.33203125" customWidth="1"/>
    <col min="3" max="3" width="26.33203125" customWidth="1"/>
    <col min="4" max="4" width="17.6640625" customWidth="1"/>
    <col min="5" max="5" width="21.1640625" customWidth="1"/>
    <col min="6" max="8" width="24.5" customWidth="1"/>
  </cols>
  <sheetData>
    <row r="1" spans="1:8" s="18" customFormat="1" ht="51" x14ac:dyDescent="0.2">
      <c r="A1" s="53" t="s">
        <v>1085</v>
      </c>
      <c r="B1" s="53" t="s">
        <v>1086</v>
      </c>
      <c r="C1" s="130" t="s">
        <v>1082</v>
      </c>
      <c r="D1" s="130" t="s">
        <v>1087</v>
      </c>
      <c r="E1" s="130" t="s">
        <v>1090</v>
      </c>
      <c r="F1" s="73" t="s">
        <v>1088</v>
      </c>
      <c r="G1" s="73" t="s">
        <v>1089</v>
      </c>
      <c r="H1" s="73" t="s">
        <v>1091</v>
      </c>
    </row>
    <row r="2" spans="1:8" x14ac:dyDescent="0.2">
      <c r="A2" t="s">
        <v>2</v>
      </c>
      <c r="B2" t="s">
        <v>2</v>
      </c>
      <c r="C2" s="45" t="s">
        <v>627</v>
      </c>
      <c r="D2" t="s">
        <v>530</v>
      </c>
      <c r="E2" t="s">
        <v>1083</v>
      </c>
    </row>
    <row r="3" spans="1:8" x14ac:dyDescent="0.2">
      <c r="A3" t="s">
        <v>2</v>
      </c>
      <c r="B3" t="s">
        <v>2</v>
      </c>
      <c r="C3" s="45" t="s">
        <v>628</v>
      </c>
      <c r="D3" t="s">
        <v>530</v>
      </c>
      <c r="E3" t="s">
        <v>1083</v>
      </c>
    </row>
    <row r="4" spans="1:8" x14ac:dyDescent="0.2">
      <c r="A4" t="s">
        <v>2</v>
      </c>
      <c r="B4" t="s">
        <v>2</v>
      </c>
      <c r="C4" s="45" t="s">
        <v>1073</v>
      </c>
      <c r="D4" t="s">
        <v>645</v>
      </c>
      <c r="E4" t="s">
        <v>1083</v>
      </c>
    </row>
    <row r="5" spans="1:8" x14ac:dyDescent="0.2">
      <c r="A5" t="s">
        <v>2</v>
      </c>
      <c r="B5" t="s">
        <v>2</v>
      </c>
      <c r="C5" s="45" t="s">
        <v>1072</v>
      </c>
      <c r="D5" t="s">
        <v>645</v>
      </c>
      <c r="E5" t="s">
        <v>1083</v>
      </c>
    </row>
    <row r="6" spans="1:8" x14ac:dyDescent="0.2">
      <c r="A6" t="s">
        <v>2</v>
      </c>
      <c r="B6" t="s">
        <v>2</v>
      </c>
      <c r="C6" s="45" t="s">
        <v>1074</v>
      </c>
      <c r="D6" t="s">
        <v>531</v>
      </c>
      <c r="E6" t="s">
        <v>1083</v>
      </c>
    </row>
    <row r="7" spans="1:8" x14ac:dyDescent="0.2">
      <c r="A7" t="s">
        <v>2</v>
      </c>
      <c r="B7" t="s">
        <v>2</v>
      </c>
      <c r="C7" s="45" t="s">
        <v>1075</v>
      </c>
      <c r="D7" t="s">
        <v>531</v>
      </c>
      <c r="E7" t="s">
        <v>1083</v>
      </c>
    </row>
    <row r="8" spans="1:8" x14ac:dyDescent="0.2">
      <c r="A8" t="s">
        <v>2</v>
      </c>
      <c r="B8" t="s">
        <v>2</v>
      </c>
      <c r="C8" s="45" t="s">
        <v>1077</v>
      </c>
      <c r="D8" t="s">
        <v>1071</v>
      </c>
      <c r="E8" t="s">
        <v>1083</v>
      </c>
    </row>
    <row r="9" spans="1:8" x14ac:dyDescent="0.2">
      <c r="A9" t="s">
        <v>2</v>
      </c>
      <c r="B9" t="s">
        <v>2</v>
      </c>
      <c r="C9" s="45" t="s">
        <v>1076</v>
      </c>
      <c r="D9" t="s">
        <v>1071</v>
      </c>
      <c r="E9" t="s">
        <v>1083</v>
      </c>
      <c r="H9" s="2"/>
    </row>
    <row r="10" spans="1:8" x14ac:dyDescent="0.2">
      <c r="A10" t="s">
        <v>2</v>
      </c>
      <c r="B10" t="s">
        <v>2</v>
      </c>
      <c r="C10" s="45" t="s">
        <v>245</v>
      </c>
      <c r="D10" s="45" t="s">
        <v>245</v>
      </c>
      <c r="E10" t="s">
        <v>1084</v>
      </c>
    </row>
    <row r="11" spans="1:8" x14ac:dyDescent="0.2">
      <c r="A11" t="s">
        <v>2</v>
      </c>
      <c r="B11" t="s">
        <v>2</v>
      </c>
      <c r="C11" s="45" t="s">
        <v>1</v>
      </c>
      <c r="D11" s="45" t="s">
        <v>1</v>
      </c>
      <c r="E11" t="s">
        <v>1084</v>
      </c>
    </row>
    <row r="12" spans="1:8" x14ac:dyDescent="0.2">
      <c r="A12" t="s">
        <v>2</v>
      </c>
      <c r="B12" t="s">
        <v>2</v>
      </c>
      <c r="C12" s="45" t="s">
        <v>1080</v>
      </c>
      <c r="D12" s="45" t="s">
        <v>259</v>
      </c>
      <c r="E12" t="s">
        <v>1084</v>
      </c>
    </row>
    <row r="13" spans="1:8" x14ac:dyDescent="0.2">
      <c r="A13" t="s">
        <v>2</v>
      </c>
      <c r="B13" t="s">
        <v>2</v>
      </c>
      <c r="C13" s="45" t="s">
        <v>1078</v>
      </c>
      <c r="D13" s="45" t="s">
        <v>259</v>
      </c>
      <c r="E13" t="s">
        <v>1084</v>
      </c>
    </row>
    <row r="14" spans="1:8" x14ac:dyDescent="0.2">
      <c r="A14" t="s">
        <v>2</v>
      </c>
      <c r="B14" t="s">
        <v>2</v>
      </c>
      <c r="C14" s="45" t="s">
        <v>1079</v>
      </c>
      <c r="D14" s="45" t="s">
        <v>259</v>
      </c>
      <c r="E14" t="s">
        <v>1084</v>
      </c>
    </row>
    <row r="15" spans="1:8" x14ac:dyDescent="0.2">
      <c r="A15" t="s">
        <v>621</v>
      </c>
      <c r="B15" t="s">
        <v>530</v>
      </c>
      <c r="C15" s="45" t="s">
        <v>1073</v>
      </c>
      <c r="D15" t="s">
        <v>645</v>
      </c>
      <c r="E15" t="s">
        <v>1083</v>
      </c>
    </row>
    <row r="16" spans="1:8" x14ac:dyDescent="0.2">
      <c r="A16" t="s">
        <v>621</v>
      </c>
      <c r="B16" t="s">
        <v>530</v>
      </c>
      <c r="C16" s="45" t="s">
        <v>1074</v>
      </c>
      <c r="D16" t="s">
        <v>531</v>
      </c>
      <c r="E16" t="s">
        <v>1083</v>
      </c>
    </row>
    <row r="17" spans="1:8" x14ac:dyDescent="0.2">
      <c r="A17" t="s">
        <v>621</v>
      </c>
      <c r="B17" t="s">
        <v>530</v>
      </c>
      <c r="C17" s="45" t="s">
        <v>1077</v>
      </c>
      <c r="D17" t="s">
        <v>1071</v>
      </c>
      <c r="E17" t="s">
        <v>1083</v>
      </c>
    </row>
    <row r="18" spans="1:8" x14ac:dyDescent="0.2">
      <c r="A18" t="s">
        <v>622</v>
      </c>
      <c r="B18" t="s">
        <v>530</v>
      </c>
      <c r="C18" s="45" t="s">
        <v>1072</v>
      </c>
      <c r="D18" t="s">
        <v>645</v>
      </c>
      <c r="E18" t="s">
        <v>1083</v>
      </c>
    </row>
    <row r="19" spans="1:8" x14ac:dyDescent="0.2">
      <c r="A19" t="s">
        <v>622</v>
      </c>
      <c r="B19" t="s">
        <v>530</v>
      </c>
      <c r="C19" s="45" t="s">
        <v>1075</v>
      </c>
      <c r="D19" t="s">
        <v>531</v>
      </c>
      <c r="E19" t="s">
        <v>1083</v>
      </c>
    </row>
    <row r="20" spans="1:8" x14ac:dyDescent="0.2">
      <c r="A20" t="s">
        <v>622</v>
      </c>
      <c r="B20" t="s">
        <v>530</v>
      </c>
      <c r="C20" s="45" t="s">
        <v>1076</v>
      </c>
      <c r="D20" t="s">
        <v>1071</v>
      </c>
      <c r="E20" t="s">
        <v>1083</v>
      </c>
    </row>
    <row r="21" spans="1:8" x14ac:dyDescent="0.2">
      <c r="A21" s="45" t="s">
        <v>1073</v>
      </c>
      <c r="B21" t="s">
        <v>645</v>
      </c>
      <c r="C21" s="45" t="s">
        <v>1074</v>
      </c>
      <c r="D21" t="s">
        <v>531</v>
      </c>
      <c r="E21" t="s">
        <v>1083</v>
      </c>
    </row>
    <row r="22" spans="1:8" x14ac:dyDescent="0.2">
      <c r="A22" s="45" t="s">
        <v>1073</v>
      </c>
      <c r="B22" t="s">
        <v>645</v>
      </c>
      <c r="C22" s="45" t="s">
        <v>1077</v>
      </c>
      <c r="D22" t="s">
        <v>1071</v>
      </c>
      <c r="E22" t="s">
        <v>1083</v>
      </c>
    </row>
    <row r="23" spans="1:8" x14ac:dyDescent="0.2">
      <c r="A23" s="45" t="s">
        <v>1072</v>
      </c>
      <c r="B23" t="s">
        <v>645</v>
      </c>
      <c r="C23" s="45" t="s">
        <v>1075</v>
      </c>
      <c r="D23" t="s">
        <v>531</v>
      </c>
      <c r="E23" t="s">
        <v>1083</v>
      </c>
    </row>
    <row r="24" spans="1:8" x14ac:dyDescent="0.2">
      <c r="A24" s="45" t="s">
        <v>1072</v>
      </c>
      <c r="B24" t="s">
        <v>645</v>
      </c>
      <c r="C24" s="45" t="s">
        <v>1076</v>
      </c>
      <c r="D24" t="s">
        <v>1071</v>
      </c>
      <c r="E24" t="s">
        <v>1083</v>
      </c>
    </row>
    <row r="25" spans="1:8" x14ac:dyDescent="0.2">
      <c r="A25" s="45" t="s">
        <v>1074</v>
      </c>
      <c r="B25" t="s">
        <v>531</v>
      </c>
      <c r="C25" s="45" t="s">
        <v>1077</v>
      </c>
      <c r="D25" t="s">
        <v>1071</v>
      </c>
      <c r="E25" t="s">
        <v>1083</v>
      </c>
    </row>
    <row r="26" spans="1:8" x14ac:dyDescent="0.2">
      <c r="A26" s="45" t="s">
        <v>1075</v>
      </c>
      <c r="B26" t="s">
        <v>531</v>
      </c>
      <c r="C26" s="45" t="s">
        <v>1076</v>
      </c>
      <c r="D26" t="s">
        <v>1071</v>
      </c>
      <c r="E26" t="s">
        <v>1083</v>
      </c>
    </row>
    <row r="27" spans="1:8" x14ac:dyDescent="0.2">
      <c r="A27" s="45" t="s">
        <v>245</v>
      </c>
      <c r="B27" s="45" t="s">
        <v>245</v>
      </c>
      <c r="C27" s="45" t="s">
        <v>1080</v>
      </c>
      <c r="D27" s="45" t="s">
        <v>259</v>
      </c>
      <c r="E27" t="s">
        <v>1084</v>
      </c>
    </row>
    <row r="28" spans="1:8" x14ac:dyDescent="0.2">
      <c r="A28" s="45" t="s">
        <v>245</v>
      </c>
      <c r="B28" s="45" t="s">
        <v>245</v>
      </c>
      <c r="C28" s="45" t="s">
        <v>1078</v>
      </c>
      <c r="D28" s="45" t="s">
        <v>259</v>
      </c>
      <c r="E28" t="s">
        <v>1084</v>
      </c>
    </row>
    <row r="29" spans="1:8" x14ac:dyDescent="0.2">
      <c r="A29" s="45" t="s">
        <v>1</v>
      </c>
      <c r="B29" s="45" t="s">
        <v>1</v>
      </c>
      <c r="C29" s="45" t="s">
        <v>1080</v>
      </c>
      <c r="D29" s="45" t="s">
        <v>259</v>
      </c>
      <c r="E29" t="s">
        <v>1084</v>
      </c>
    </row>
    <row r="30" spans="1:8" x14ac:dyDescent="0.2">
      <c r="A30" s="45" t="s">
        <v>1</v>
      </c>
      <c r="B30" s="45" t="s">
        <v>1</v>
      </c>
      <c r="C30" s="45" t="s">
        <v>1079</v>
      </c>
      <c r="D30" s="45" t="s">
        <v>259</v>
      </c>
      <c r="E30" t="s">
        <v>1084</v>
      </c>
    </row>
    <row r="31" spans="1:8" x14ac:dyDescent="0.2">
      <c r="A31" s="45" t="s">
        <v>295</v>
      </c>
      <c r="B31" s="45" t="s">
        <v>295</v>
      </c>
      <c r="F31" s="45" t="s">
        <v>627</v>
      </c>
      <c r="G31" t="s">
        <v>530</v>
      </c>
      <c r="H31" t="s">
        <v>1083</v>
      </c>
    </row>
    <row r="32" spans="1:8" x14ac:dyDescent="0.2">
      <c r="A32" s="45" t="s">
        <v>295</v>
      </c>
      <c r="B32" s="45" t="s">
        <v>295</v>
      </c>
      <c r="F32" s="45" t="s">
        <v>628</v>
      </c>
      <c r="G32" t="s">
        <v>530</v>
      </c>
      <c r="H32" t="s">
        <v>1083</v>
      </c>
    </row>
    <row r="33" spans="1:8" x14ac:dyDescent="0.2">
      <c r="A33" s="45" t="s">
        <v>295</v>
      </c>
      <c r="B33" s="45" t="s">
        <v>295</v>
      </c>
      <c r="F33" s="45" t="s">
        <v>245</v>
      </c>
      <c r="G33" s="45" t="s">
        <v>245</v>
      </c>
      <c r="H33" t="s">
        <v>1084</v>
      </c>
    </row>
    <row r="34" spans="1:8" x14ac:dyDescent="0.2">
      <c r="A34" s="45" t="s">
        <v>295</v>
      </c>
      <c r="B34" s="45" t="s">
        <v>295</v>
      </c>
      <c r="F34" s="45" t="s">
        <v>1</v>
      </c>
      <c r="G34" s="45" t="s">
        <v>1</v>
      </c>
      <c r="H34" t="s">
        <v>1084</v>
      </c>
    </row>
    <row r="35" spans="1:8" x14ac:dyDescent="0.2">
      <c r="A35" s="45" t="s">
        <v>295</v>
      </c>
      <c r="B35" s="45" t="s">
        <v>295</v>
      </c>
      <c r="C35" s="45" t="s">
        <v>1073</v>
      </c>
      <c r="D35" t="s">
        <v>645</v>
      </c>
      <c r="E35" t="s">
        <v>1083</v>
      </c>
    </row>
    <row r="36" spans="1:8" x14ac:dyDescent="0.2">
      <c r="A36" s="45" t="s">
        <v>295</v>
      </c>
      <c r="B36" s="45" t="s">
        <v>295</v>
      </c>
      <c r="C36" s="45" t="s">
        <v>1072</v>
      </c>
      <c r="D36" t="s">
        <v>645</v>
      </c>
      <c r="E36" t="s">
        <v>1083</v>
      </c>
    </row>
    <row r="37" spans="1:8" x14ac:dyDescent="0.2">
      <c r="A37" s="45" t="s">
        <v>295</v>
      </c>
      <c r="B37" s="45" t="s">
        <v>295</v>
      </c>
      <c r="C37" s="45" t="s">
        <v>1074</v>
      </c>
      <c r="D37" t="s">
        <v>531</v>
      </c>
      <c r="E37" t="s">
        <v>1083</v>
      </c>
    </row>
    <row r="38" spans="1:8" x14ac:dyDescent="0.2">
      <c r="A38" s="45" t="s">
        <v>295</v>
      </c>
      <c r="B38" s="45" t="s">
        <v>295</v>
      </c>
      <c r="C38" s="45" t="s">
        <v>1075</v>
      </c>
      <c r="D38" t="s">
        <v>531</v>
      </c>
      <c r="E38" t="s">
        <v>1083</v>
      </c>
    </row>
    <row r="39" spans="1:8" x14ac:dyDescent="0.2">
      <c r="A39" s="45" t="s">
        <v>295</v>
      </c>
      <c r="B39" s="45" t="s">
        <v>295</v>
      </c>
      <c r="C39" s="45" t="s">
        <v>1077</v>
      </c>
      <c r="D39" t="s">
        <v>1071</v>
      </c>
      <c r="E39" t="s">
        <v>1083</v>
      </c>
    </row>
    <row r="40" spans="1:8" x14ac:dyDescent="0.2">
      <c r="A40" s="45" t="s">
        <v>295</v>
      </c>
      <c r="B40" s="45" t="s">
        <v>295</v>
      </c>
      <c r="C40" s="45" t="s">
        <v>1076</v>
      </c>
      <c r="D40" t="s">
        <v>1071</v>
      </c>
      <c r="E40" t="s">
        <v>1083</v>
      </c>
    </row>
    <row r="41" spans="1:8" x14ac:dyDescent="0.2">
      <c r="A41" s="45" t="s">
        <v>295</v>
      </c>
      <c r="B41" s="45" t="s">
        <v>295</v>
      </c>
      <c r="C41" s="45" t="s">
        <v>1080</v>
      </c>
      <c r="D41" s="45" t="s">
        <v>259</v>
      </c>
      <c r="E41" t="s">
        <v>1084</v>
      </c>
    </row>
    <row r="42" spans="1:8" x14ac:dyDescent="0.2">
      <c r="A42" s="45" t="s">
        <v>295</v>
      </c>
      <c r="B42" s="45" t="s">
        <v>295</v>
      </c>
      <c r="C42" s="45" t="s">
        <v>1078</v>
      </c>
      <c r="D42" s="45" t="s">
        <v>259</v>
      </c>
      <c r="E42" t="s">
        <v>1084</v>
      </c>
    </row>
    <row r="43" spans="1:8" x14ac:dyDescent="0.2">
      <c r="A43" s="45" t="s">
        <v>295</v>
      </c>
      <c r="B43" s="45" t="s">
        <v>295</v>
      </c>
      <c r="C43" s="45" t="s">
        <v>1079</v>
      </c>
      <c r="D43" s="45" t="s">
        <v>259</v>
      </c>
      <c r="E43" t="s">
        <v>1084</v>
      </c>
    </row>
    <row r="44" spans="1:8" x14ac:dyDescent="0.2">
      <c r="A44" s="45" t="s">
        <v>383</v>
      </c>
      <c r="B44" s="45" t="s">
        <v>383</v>
      </c>
      <c r="F44" s="45" t="s">
        <v>627</v>
      </c>
      <c r="G44" t="s">
        <v>530</v>
      </c>
      <c r="H44" t="s">
        <v>1083</v>
      </c>
    </row>
    <row r="45" spans="1:8" x14ac:dyDescent="0.2">
      <c r="A45" s="45" t="s">
        <v>383</v>
      </c>
      <c r="B45" s="45" t="s">
        <v>383</v>
      </c>
      <c r="F45" s="45" t="s">
        <v>628</v>
      </c>
      <c r="G45" t="s">
        <v>530</v>
      </c>
      <c r="H45" t="s">
        <v>1083</v>
      </c>
    </row>
    <row r="46" spans="1:8" x14ac:dyDescent="0.2">
      <c r="A46" s="45" t="s">
        <v>383</v>
      </c>
      <c r="B46" s="45" t="s">
        <v>383</v>
      </c>
      <c r="F46" s="45" t="s">
        <v>245</v>
      </c>
      <c r="G46" s="45" t="s">
        <v>245</v>
      </c>
      <c r="H46" t="s">
        <v>1084</v>
      </c>
    </row>
    <row r="47" spans="1:8" x14ac:dyDescent="0.2">
      <c r="A47" s="45" t="s">
        <v>383</v>
      </c>
      <c r="B47" s="45" t="s">
        <v>383</v>
      </c>
      <c r="F47" s="45" t="s">
        <v>1</v>
      </c>
      <c r="G47" s="45" t="s">
        <v>1</v>
      </c>
      <c r="H47" t="s">
        <v>1084</v>
      </c>
    </row>
    <row r="48" spans="1:8" x14ac:dyDescent="0.2">
      <c r="A48" s="45" t="s">
        <v>383</v>
      </c>
      <c r="B48" s="45" t="s">
        <v>383</v>
      </c>
      <c r="F48" s="45" t="s">
        <v>1073</v>
      </c>
      <c r="G48" t="s">
        <v>645</v>
      </c>
      <c r="H48" t="s">
        <v>1083</v>
      </c>
    </row>
    <row r="49" spans="1:8" x14ac:dyDescent="0.2">
      <c r="A49" s="45" t="s">
        <v>383</v>
      </c>
      <c r="B49" s="45" t="s">
        <v>383</v>
      </c>
      <c r="F49" s="45" t="s">
        <v>1072</v>
      </c>
      <c r="G49" t="s">
        <v>645</v>
      </c>
      <c r="H49" t="s">
        <v>1083</v>
      </c>
    </row>
    <row r="50" spans="1:8" x14ac:dyDescent="0.2">
      <c r="A50" s="45" t="s">
        <v>383</v>
      </c>
      <c r="B50" s="45" t="s">
        <v>383</v>
      </c>
      <c r="C50" s="45" t="s">
        <v>1074</v>
      </c>
      <c r="D50" t="s">
        <v>531</v>
      </c>
      <c r="E50" t="s">
        <v>1083</v>
      </c>
    </row>
    <row r="51" spans="1:8" x14ac:dyDescent="0.2">
      <c r="A51" s="45" t="s">
        <v>383</v>
      </c>
      <c r="B51" s="45" t="s">
        <v>383</v>
      </c>
      <c r="C51" s="45" t="s">
        <v>1075</v>
      </c>
      <c r="D51" t="s">
        <v>531</v>
      </c>
      <c r="E51" t="s">
        <v>1083</v>
      </c>
    </row>
    <row r="52" spans="1:8" x14ac:dyDescent="0.2">
      <c r="A52" s="45" t="s">
        <v>383</v>
      </c>
      <c r="B52" s="45" t="s">
        <v>383</v>
      </c>
      <c r="C52" s="45" t="s">
        <v>1077</v>
      </c>
      <c r="D52" t="s">
        <v>1071</v>
      </c>
      <c r="E52" t="s">
        <v>1083</v>
      </c>
    </row>
    <row r="53" spans="1:8" x14ac:dyDescent="0.2">
      <c r="A53" s="45" t="s">
        <v>383</v>
      </c>
      <c r="B53" s="45" t="s">
        <v>383</v>
      </c>
      <c r="C53" s="45" t="s">
        <v>1076</v>
      </c>
      <c r="D53" t="s">
        <v>1071</v>
      </c>
      <c r="E53" t="s">
        <v>1083</v>
      </c>
    </row>
    <row r="54" spans="1:8" x14ac:dyDescent="0.2">
      <c r="A54" s="45" t="s">
        <v>383</v>
      </c>
      <c r="B54" s="45" t="s">
        <v>383</v>
      </c>
      <c r="C54" s="45" t="s">
        <v>1080</v>
      </c>
      <c r="D54" s="45" t="s">
        <v>259</v>
      </c>
      <c r="E54" t="s">
        <v>1084</v>
      </c>
    </row>
    <row r="55" spans="1:8" x14ac:dyDescent="0.2">
      <c r="A55" s="45" t="s">
        <v>383</v>
      </c>
      <c r="B55" s="45" t="s">
        <v>383</v>
      </c>
      <c r="C55" s="45" t="s">
        <v>1078</v>
      </c>
      <c r="D55" s="45" t="s">
        <v>259</v>
      </c>
      <c r="E55" t="s">
        <v>1084</v>
      </c>
    </row>
    <row r="56" spans="1:8" x14ac:dyDescent="0.2">
      <c r="A56" s="45" t="s">
        <v>383</v>
      </c>
      <c r="B56" s="45" t="s">
        <v>383</v>
      </c>
      <c r="C56" s="45" t="s">
        <v>1079</v>
      </c>
      <c r="D56" s="45" t="s">
        <v>259</v>
      </c>
      <c r="E56" t="s">
        <v>1084</v>
      </c>
    </row>
    <row r="57" spans="1:8" x14ac:dyDescent="0.2">
      <c r="A57" s="45" t="s">
        <v>391</v>
      </c>
      <c r="B57" s="45" t="s">
        <v>391</v>
      </c>
      <c r="F57" s="45" t="s">
        <v>627</v>
      </c>
      <c r="G57" t="s">
        <v>530</v>
      </c>
      <c r="H57" t="s">
        <v>1083</v>
      </c>
    </row>
    <row r="58" spans="1:8" x14ac:dyDescent="0.2">
      <c r="A58" s="45" t="s">
        <v>391</v>
      </c>
      <c r="B58" s="45" t="s">
        <v>391</v>
      </c>
      <c r="F58" s="45" t="s">
        <v>628</v>
      </c>
      <c r="G58" t="s">
        <v>530</v>
      </c>
      <c r="H58" t="s">
        <v>1083</v>
      </c>
    </row>
    <row r="59" spans="1:8" x14ac:dyDescent="0.2">
      <c r="A59" s="45" t="s">
        <v>391</v>
      </c>
      <c r="B59" s="45" t="s">
        <v>391</v>
      </c>
      <c r="F59" s="45" t="s">
        <v>245</v>
      </c>
      <c r="G59" s="45" t="s">
        <v>245</v>
      </c>
      <c r="H59" t="s">
        <v>1084</v>
      </c>
    </row>
    <row r="60" spans="1:8" x14ac:dyDescent="0.2">
      <c r="A60" s="45" t="s">
        <v>391</v>
      </c>
      <c r="B60" s="45" t="s">
        <v>391</v>
      </c>
      <c r="F60" s="45" t="s">
        <v>1</v>
      </c>
      <c r="G60" s="45" t="s">
        <v>1</v>
      </c>
      <c r="H60" t="s">
        <v>1084</v>
      </c>
    </row>
    <row r="61" spans="1:8" x14ac:dyDescent="0.2">
      <c r="A61" s="45" t="s">
        <v>391</v>
      </c>
      <c r="B61" s="45" t="s">
        <v>391</v>
      </c>
      <c r="F61" s="45" t="s">
        <v>1073</v>
      </c>
      <c r="G61" t="s">
        <v>645</v>
      </c>
      <c r="H61" t="s">
        <v>1083</v>
      </c>
    </row>
    <row r="62" spans="1:8" x14ac:dyDescent="0.2">
      <c r="A62" s="45" t="s">
        <v>391</v>
      </c>
      <c r="B62" s="45" t="s">
        <v>391</v>
      </c>
      <c r="F62" s="45" t="s">
        <v>1072</v>
      </c>
      <c r="G62" t="s">
        <v>645</v>
      </c>
      <c r="H62" t="s">
        <v>1083</v>
      </c>
    </row>
    <row r="63" spans="1:8" x14ac:dyDescent="0.2">
      <c r="A63" s="45" t="s">
        <v>391</v>
      </c>
      <c r="B63" s="45" t="s">
        <v>391</v>
      </c>
      <c r="C63" s="45" t="s">
        <v>1074</v>
      </c>
      <c r="D63" t="s">
        <v>531</v>
      </c>
      <c r="E63" t="s">
        <v>1083</v>
      </c>
    </row>
    <row r="64" spans="1:8" x14ac:dyDescent="0.2">
      <c r="A64" s="45" t="s">
        <v>391</v>
      </c>
      <c r="B64" s="45" t="s">
        <v>391</v>
      </c>
      <c r="C64" s="45" t="s">
        <v>1075</v>
      </c>
      <c r="D64" t="s">
        <v>531</v>
      </c>
      <c r="E64" t="s">
        <v>1083</v>
      </c>
    </row>
    <row r="65" spans="1:8" x14ac:dyDescent="0.2">
      <c r="A65" s="45" t="s">
        <v>391</v>
      </c>
      <c r="B65" s="45" t="s">
        <v>391</v>
      </c>
      <c r="C65" s="45" t="s">
        <v>1077</v>
      </c>
      <c r="D65" t="s">
        <v>1071</v>
      </c>
      <c r="E65" t="s">
        <v>1083</v>
      </c>
    </row>
    <row r="66" spans="1:8" x14ac:dyDescent="0.2">
      <c r="A66" s="45" t="s">
        <v>391</v>
      </c>
      <c r="B66" s="45" t="s">
        <v>391</v>
      </c>
      <c r="C66" s="45" t="s">
        <v>1076</v>
      </c>
      <c r="D66" t="s">
        <v>1071</v>
      </c>
      <c r="E66" t="s">
        <v>1083</v>
      </c>
    </row>
    <row r="67" spans="1:8" x14ac:dyDescent="0.2">
      <c r="A67" s="45" t="s">
        <v>391</v>
      </c>
      <c r="B67" s="45" t="s">
        <v>391</v>
      </c>
      <c r="C67" s="45" t="s">
        <v>1080</v>
      </c>
      <c r="D67" s="45" t="s">
        <v>259</v>
      </c>
      <c r="E67" t="s">
        <v>1084</v>
      </c>
    </row>
    <row r="68" spans="1:8" x14ac:dyDescent="0.2">
      <c r="A68" s="45" t="s">
        <v>391</v>
      </c>
      <c r="B68" s="45" t="s">
        <v>391</v>
      </c>
      <c r="C68" s="45" t="s">
        <v>1078</v>
      </c>
      <c r="D68" s="45" t="s">
        <v>259</v>
      </c>
      <c r="E68" t="s">
        <v>1084</v>
      </c>
    </row>
    <row r="69" spans="1:8" x14ac:dyDescent="0.2">
      <c r="A69" s="45" t="s">
        <v>391</v>
      </c>
      <c r="B69" s="45" t="s">
        <v>391</v>
      </c>
      <c r="C69" s="45" t="s">
        <v>1079</v>
      </c>
      <c r="D69" s="45" t="s">
        <v>259</v>
      </c>
      <c r="E69" t="s">
        <v>1084</v>
      </c>
    </row>
    <row r="70" spans="1:8" x14ac:dyDescent="0.2">
      <c r="A70" s="45" t="s">
        <v>394</v>
      </c>
      <c r="B70" s="45" t="s">
        <v>394</v>
      </c>
      <c r="F70" s="45" t="s">
        <v>627</v>
      </c>
      <c r="G70" t="s">
        <v>530</v>
      </c>
      <c r="H70" t="s">
        <v>1083</v>
      </c>
    </row>
    <row r="71" spans="1:8" x14ac:dyDescent="0.2">
      <c r="A71" s="45" t="s">
        <v>394</v>
      </c>
      <c r="B71" s="45" t="s">
        <v>394</v>
      </c>
      <c r="F71" s="45" t="s">
        <v>628</v>
      </c>
      <c r="G71" t="s">
        <v>530</v>
      </c>
      <c r="H71" t="s">
        <v>1083</v>
      </c>
    </row>
    <row r="72" spans="1:8" x14ac:dyDescent="0.2">
      <c r="A72" s="45" t="s">
        <v>394</v>
      </c>
      <c r="B72" s="45" t="s">
        <v>394</v>
      </c>
      <c r="F72" s="45" t="s">
        <v>245</v>
      </c>
      <c r="G72" s="45" t="s">
        <v>245</v>
      </c>
      <c r="H72" t="s">
        <v>1084</v>
      </c>
    </row>
    <row r="73" spans="1:8" x14ac:dyDescent="0.2">
      <c r="A73" s="45" t="s">
        <v>394</v>
      </c>
      <c r="B73" s="45" t="s">
        <v>394</v>
      </c>
      <c r="F73" s="45" t="s">
        <v>1</v>
      </c>
      <c r="G73" s="45" t="s">
        <v>1</v>
      </c>
      <c r="H73" t="s">
        <v>1084</v>
      </c>
    </row>
    <row r="74" spans="1:8" x14ac:dyDescent="0.2">
      <c r="A74" s="45" t="s">
        <v>394</v>
      </c>
      <c r="B74" s="45" t="s">
        <v>394</v>
      </c>
      <c r="F74" s="45" t="s">
        <v>1073</v>
      </c>
      <c r="G74" t="s">
        <v>645</v>
      </c>
      <c r="H74" t="s">
        <v>1083</v>
      </c>
    </row>
    <row r="75" spans="1:8" x14ac:dyDescent="0.2">
      <c r="A75" s="45" t="s">
        <v>394</v>
      </c>
      <c r="B75" s="45" t="s">
        <v>394</v>
      </c>
      <c r="F75" s="45" t="s">
        <v>1072</v>
      </c>
      <c r="G75" t="s">
        <v>645</v>
      </c>
      <c r="H75" t="s">
        <v>1083</v>
      </c>
    </row>
    <row r="76" spans="1:8" x14ac:dyDescent="0.2">
      <c r="A76" s="45" t="s">
        <v>394</v>
      </c>
      <c r="B76" s="45" t="s">
        <v>394</v>
      </c>
      <c r="F76" s="45" t="s">
        <v>1074</v>
      </c>
      <c r="G76" t="s">
        <v>531</v>
      </c>
      <c r="H76" t="s">
        <v>1083</v>
      </c>
    </row>
    <row r="77" spans="1:8" x14ac:dyDescent="0.2">
      <c r="A77" s="45" t="s">
        <v>394</v>
      </c>
      <c r="B77" s="45" t="s">
        <v>394</v>
      </c>
      <c r="F77" s="45" t="s">
        <v>1075</v>
      </c>
      <c r="G77" t="s">
        <v>531</v>
      </c>
      <c r="H77" t="s">
        <v>1083</v>
      </c>
    </row>
    <row r="78" spans="1:8" x14ac:dyDescent="0.2">
      <c r="A78" s="45" t="s">
        <v>394</v>
      </c>
      <c r="B78" s="45" t="s">
        <v>394</v>
      </c>
      <c r="C78" s="45" t="s">
        <v>1077</v>
      </c>
      <c r="D78" t="s">
        <v>1071</v>
      </c>
      <c r="E78" t="s">
        <v>1083</v>
      </c>
    </row>
    <row r="79" spans="1:8" x14ac:dyDescent="0.2">
      <c r="A79" s="45" t="s">
        <v>394</v>
      </c>
      <c r="B79" s="45" t="s">
        <v>394</v>
      </c>
      <c r="C79" s="45" t="s">
        <v>1076</v>
      </c>
      <c r="D79" t="s">
        <v>1071</v>
      </c>
      <c r="E79" t="s">
        <v>1083</v>
      </c>
    </row>
    <row r="80" spans="1:8" x14ac:dyDescent="0.2">
      <c r="A80" s="45" t="s">
        <v>394</v>
      </c>
      <c r="B80" s="45" t="s">
        <v>394</v>
      </c>
      <c r="C80" s="45" t="s">
        <v>1080</v>
      </c>
      <c r="D80" s="45" t="s">
        <v>259</v>
      </c>
      <c r="E80" t="s">
        <v>1084</v>
      </c>
    </row>
    <row r="81" spans="1:5" x14ac:dyDescent="0.2">
      <c r="A81" s="45" t="s">
        <v>394</v>
      </c>
      <c r="B81" s="45" t="s">
        <v>394</v>
      </c>
      <c r="C81" s="45" t="s">
        <v>1078</v>
      </c>
      <c r="D81" s="45" t="s">
        <v>259</v>
      </c>
      <c r="E81" t="s">
        <v>1084</v>
      </c>
    </row>
    <row r="82" spans="1:5" x14ac:dyDescent="0.2">
      <c r="A82" s="45" t="s">
        <v>394</v>
      </c>
      <c r="B82" s="45" t="s">
        <v>394</v>
      </c>
      <c r="C82" s="45" t="s">
        <v>1079</v>
      </c>
      <c r="D82" s="45" t="s">
        <v>259</v>
      </c>
      <c r="E82" t="s">
        <v>1084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292A-BB2A-564E-B328-26BAB02AD759}">
  <dimension ref="A1:E7"/>
  <sheetViews>
    <sheetView zoomScale="130" zoomScaleNormal="130"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1" max="1" width="16" bestFit="1" customWidth="1"/>
    <col min="2" max="2" width="21.83203125" customWidth="1"/>
    <col min="3" max="3" width="21.5" customWidth="1"/>
    <col min="4" max="4" width="18.33203125" customWidth="1"/>
    <col min="5" max="5" width="20.5" customWidth="1"/>
  </cols>
  <sheetData>
    <row r="1" spans="1:5" x14ac:dyDescent="0.2">
      <c r="A1" s="39" t="s">
        <v>532</v>
      </c>
      <c r="B1" s="39" t="s">
        <v>533</v>
      </c>
      <c r="C1" s="39" t="s">
        <v>536</v>
      </c>
      <c r="D1" s="39" t="s">
        <v>537</v>
      </c>
      <c r="E1" s="39" t="s">
        <v>295</v>
      </c>
    </row>
    <row r="2" spans="1:5" x14ac:dyDescent="0.2">
      <c r="A2" t="s">
        <v>459</v>
      </c>
      <c r="B2" t="s">
        <v>534</v>
      </c>
      <c r="C2" t="s">
        <v>538</v>
      </c>
      <c r="E2" t="s">
        <v>455</v>
      </c>
    </row>
    <row r="3" spans="1:5" x14ac:dyDescent="0.2">
      <c r="A3" t="s">
        <v>461</v>
      </c>
      <c r="B3" t="s">
        <v>535</v>
      </c>
      <c r="D3" t="s">
        <v>539</v>
      </c>
      <c r="E3" t="s">
        <v>385</v>
      </c>
    </row>
    <row r="4" spans="1:5" x14ac:dyDescent="0.2">
      <c r="D4" s="47" t="s">
        <v>540</v>
      </c>
      <c r="E4" t="s">
        <v>385</v>
      </c>
    </row>
    <row r="5" spans="1:5" x14ac:dyDescent="0.2">
      <c r="D5" s="47" t="s">
        <v>541</v>
      </c>
      <c r="E5" t="s">
        <v>385</v>
      </c>
    </row>
    <row r="6" spans="1:5" x14ac:dyDescent="0.2">
      <c r="A6" t="s">
        <v>460</v>
      </c>
      <c r="B6" t="s">
        <v>542</v>
      </c>
      <c r="C6" t="s">
        <v>544</v>
      </c>
      <c r="E6" t="s">
        <v>388</v>
      </c>
    </row>
    <row r="7" spans="1:5" x14ac:dyDescent="0.2">
      <c r="A7" t="s">
        <v>460</v>
      </c>
      <c r="B7" t="s">
        <v>543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59E6-6687-CA4B-9477-17C4470F23D7}">
  <sheetPr>
    <tabColor theme="1"/>
  </sheetPr>
  <dimension ref="A2:F81"/>
  <sheetViews>
    <sheetView zoomScale="120" zoomScaleNormal="120" workbookViewId="0">
      <selection activeCell="A9" sqref="A9:XFD9"/>
    </sheetView>
  </sheetViews>
  <sheetFormatPr baseColWidth="10" defaultRowHeight="16" x14ac:dyDescent="0.2"/>
  <cols>
    <col min="1" max="1" width="24.83203125" customWidth="1"/>
    <col min="2" max="2" width="23.5" bestFit="1" customWidth="1"/>
    <col min="4" max="4" width="15" customWidth="1"/>
    <col min="5" max="5" width="12.1640625" customWidth="1"/>
  </cols>
  <sheetData>
    <row r="2" spans="1:3" ht="19" x14ac:dyDescent="0.25">
      <c r="A2" s="57" t="s">
        <v>597</v>
      </c>
    </row>
    <row r="4" spans="1:3" x14ac:dyDescent="0.2">
      <c r="A4" s="37" t="s">
        <v>570</v>
      </c>
      <c r="B4" s="37" t="s">
        <v>571</v>
      </c>
      <c r="C4" s="37" t="s">
        <v>572</v>
      </c>
    </row>
    <row r="5" spans="1:3" x14ac:dyDescent="0.2">
      <c r="A5" s="37" t="s">
        <v>573</v>
      </c>
      <c r="B5" t="s">
        <v>574</v>
      </c>
      <c r="C5" s="37" t="s">
        <v>575</v>
      </c>
    </row>
    <row r="6" spans="1:3" x14ac:dyDescent="0.2">
      <c r="A6" s="37" t="s">
        <v>576</v>
      </c>
      <c r="B6" t="s">
        <v>577</v>
      </c>
      <c r="C6" s="37" t="s">
        <v>578</v>
      </c>
    </row>
    <row r="7" spans="1:3" x14ac:dyDescent="0.2">
      <c r="A7" s="37" t="s">
        <v>579</v>
      </c>
      <c r="B7" t="s">
        <v>580</v>
      </c>
      <c r="C7" s="37" t="s">
        <v>581</v>
      </c>
    </row>
    <row r="8" spans="1:3" x14ac:dyDescent="0.2">
      <c r="A8" s="37" t="s">
        <v>582</v>
      </c>
      <c r="B8" t="s">
        <v>583</v>
      </c>
      <c r="C8" s="37" t="s">
        <v>584</v>
      </c>
    </row>
    <row r="9" spans="1:3" x14ac:dyDescent="0.2">
      <c r="A9" s="37" t="s">
        <v>585</v>
      </c>
      <c r="B9" t="s">
        <v>586</v>
      </c>
      <c r="C9" s="37" t="s">
        <v>587</v>
      </c>
    </row>
    <row r="10" spans="1:3" x14ac:dyDescent="0.2">
      <c r="A10" s="37" t="s">
        <v>588</v>
      </c>
      <c r="B10" t="s">
        <v>589</v>
      </c>
      <c r="C10" s="37" t="s">
        <v>590</v>
      </c>
    </row>
    <row r="11" spans="1:3" x14ac:dyDescent="0.2">
      <c r="A11" s="37" t="s">
        <v>591</v>
      </c>
      <c r="B11" t="s">
        <v>592</v>
      </c>
      <c r="C11" s="37" t="s">
        <v>593</v>
      </c>
    </row>
    <row r="12" spans="1:3" x14ac:dyDescent="0.2">
      <c r="A12" s="37" t="s">
        <v>594</v>
      </c>
      <c r="B12" t="s">
        <v>595</v>
      </c>
      <c r="C12" s="37" t="s">
        <v>596</v>
      </c>
    </row>
    <row r="14" spans="1:3" x14ac:dyDescent="0.2">
      <c r="A14" t="s">
        <v>598</v>
      </c>
    </row>
    <row r="15" spans="1:3" x14ac:dyDescent="0.2">
      <c r="A15" t="s">
        <v>599</v>
      </c>
    </row>
    <row r="16" spans="1:3" x14ac:dyDescent="0.2">
      <c r="A16" t="s">
        <v>600</v>
      </c>
    </row>
    <row r="17" spans="1:3" x14ac:dyDescent="0.2">
      <c r="A17" t="s">
        <v>601</v>
      </c>
    </row>
    <row r="19" spans="1:3" x14ac:dyDescent="0.2">
      <c r="A19" t="s">
        <v>602</v>
      </c>
    </row>
    <row r="20" spans="1:3" x14ac:dyDescent="0.2">
      <c r="A20" s="37" t="s">
        <v>603</v>
      </c>
    </row>
    <row r="22" spans="1:3" ht="19" x14ac:dyDescent="0.25">
      <c r="A22" s="57" t="s">
        <v>740</v>
      </c>
    </row>
    <row r="23" spans="1:3" ht="19" x14ac:dyDescent="0.25">
      <c r="A23" s="57"/>
    </row>
    <row r="24" spans="1:3" x14ac:dyDescent="0.2">
      <c r="A24" s="37" t="s">
        <v>713</v>
      </c>
      <c r="B24" s="37" t="s">
        <v>714</v>
      </c>
      <c r="C24" s="37" t="s">
        <v>715</v>
      </c>
    </row>
    <row r="25" spans="1:3" x14ac:dyDescent="0.2">
      <c r="A25" t="s">
        <v>716</v>
      </c>
      <c r="B25" t="s">
        <v>717</v>
      </c>
      <c r="C25" t="s">
        <v>718</v>
      </c>
    </row>
    <row r="26" spans="1:3" x14ac:dyDescent="0.2">
      <c r="A26" t="s">
        <v>719</v>
      </c>
      <c r="B26" t="s">
        <v>720</v>
      </c>
      <c r="C26" t="s">
        <v>721</v>
      </c>
    </row>
    <row r="27" spans="1:3" x14ac:dyDescent="0.2">
      <c r="A27" t="s">
        <v>722</v>
      </c>
      <c r="B27" t="s">
        <v>723</v>
      </c>
      <c r="C27" t="s">
        <v>724</v>
      </c>
    </row>
    <row r="28" spans="1:3" x14ac:dyDescent="0.2">
      <c r="A28" t="s">
        <v>725</v>
      </c>
      <c r="B28" t="s">
        <v>726</v>
      </c>
      <c r="C28" t="s">
        <v>727</v>
      </c>
    </row>
    <row r="29" spans="1:3" x14ac:dyDescent="0.2">
      <c r="A29" t="s">
        <v>728</v>
      </c>
      <c r="B29" t="s">
        <v>729</v>
      </c>
      <c r="C29" t="s">
        <v>730</v>
      </c>
    </row>
    <row r="30" spans="1:3" x14ac:dyDescent="0.2">
      <c r="A30" t="s">
        <v>731</v>
      </c>
      <c r="B30" t="s">
        <v>732</v>
      </c>
      <c r="C30" t="s">
        <v>733</v>
      </c>
    </row>
    <row r="31" spans="1:3" x14ac:dyDescent="0.2">
      <c r="A31" t="s">
        <v>734</v>
      </c>
      <c r="B31" t="s">
        <v>735</v>
      </c>
      <c r="C31" t="s">
        <v>736</v>
      </c>
    </row>
    <row r="32" spans="1:3" x14ac:dyDescent="0.2">
      <c r="A32" t="s">
        <v>737</v>
      </c>
      <c r="B32" t="s">
        <v>738</v>
      </c>
      <c r="C32" t="s">
        <v>739</v>
      </c>
    </row>
    <row r="35" spans="1:3" ht="19" x14ac:dyDescent="0.25">
      <c r="A35" s="57" t="s">
        <v>759</v>
      </c>
    </row>
    <row r="37" spans="1:3" x14ac:dyDescent="0.2">
      <c r="A37" s="37" t="s">
        <v>741</v>
      </c>
      <c r="B37" s="37" t="s">
        <v>714</v>
      </c>
      <c r="C37" s="37" t="s">
        <v>715</v>
      </c>
    </row>
    <row r="38" spans="1:3" x14ac:dyDescent="0.2">
      <c r="A38" t="s">
        <v>742</v>
      </c>
      <c r="B38" t="s">
        <v>743</v>
      </c>
      <c r="C38" t="s">
        <v>742</v>
      </c>
    </row>
    <row r="39" spans="1:3" x14ac:dyDescent="0.2">
      <c r="A39" t="s">
        <v>744</v>
      </c>
      <c r="B39" t="s">
        <v>745</v>
      </c>
      <c r="C39" t="s">
        <v>744</v>
      </c>
    </row>
    <row r="40" spans="1:3" x14ac:dyDescent="0.2">
      <c r="A40" t="s">
        <v>746</v>
      </c>
      <c r="B40" t="s">
        <v>729</v>
      </c>
      <c r="C40" t="s">
        <v>746</v>
      </c>
    </row>
    <row r="41" spans="1:3" x14ac:dyDescent="0.2">
      <c r="A41" t="s">
        <v>747</v>
      </c>
      <c r="B41" t="s">
        <v>732</v>
      </c>
      <c r="C41" t="s">
        <v>748</v>
      </c>
    </row>
    <row r="42" spans="1:3" x14ac:dyDescent="0.2">
      <c r="A42" t="s">
        <v>749</v>
      </c>
      <c r="B42" t="s">
        <v>735</v>
      </c>
      <c r="C42" t="s">
        <v>750</v>
      </c>
    </row>
    <row r="43" spans="1:3" x14ac:dyDescent="0.2">
      <c r="A43" t="s">
        <v>751</v>
      </c>
      <c r="B43" t="s">
        <v>738</v>
      </c>
      <c r="C43" t="s">
        <v>752</v>
      </c>
    </row>
    <row r="44" spans="1:3" x14ac:dyDescent="0.2">
      <c r="A44" t="s">
        <v>753</v>
      </c>
      <c r="B44" t="s">
        <v>754</v>
      </c>
      <c r="C44" t="s">
        <v>755</v>
      </c>
    </row>
    <row r="45" spans="1:3" x14ac:dyDescent="0.2">
      <c r="A45" t="s">
        <v>756</v>
      </c>
      <c r="B45" t="s">
        <v>757</v>
      </c>
      <c r="C45" t="s">
        <v>758</v>
      </c>
    </row>
    <row r="48" spans="1:3" ht="19" x14ac:dyDescent="0.25">
      <c r="A48" s="57" t="s">
        <v>776</v>
      </c>
    </row>
    <row r="50" spans="1:6" x14ac:dyDescent="0.2">
      <c r="A50" s="39" t="s">
        <v>777</v>
      </c>
      <c r="B50" s="39" t="s">
        <v>778</v>
      </c>
      <c r="C50" s="39" t="s">
        <v>779</v>
      </c>
      <c r="D50" s="39" t="s">
        <v>780</v>
      </c>
      <c r="E50" s="39" t="s">
        <v>781</v>
      </c>
      <c r="F50" s="39"/>
    </row>
    <row r="51" spans="1:6" x14ac:dyDescent="0.2">
      <c r="B51">
        <v>15</v>
      </c>
      <c r="C51" s="121">
        <f>B51*1.732*208/1000</f>
        <v>5.4038399999999998</v>
      </c>
      <c r="D51">
        <f>C51*0.8</f>
        <v>4.3230719999999998</v>
      </c>
    </row>
    <row r="52" spans="1:6" x14ac:dyDescent="0.2">
      <c r="B52">
        <v>20</v>
      </c>
      <c r="C52" s="121">
        <f t="shared" ref="C52:C67" si="0">B52*1.732*208/1000</f>
        <v>7.20512</v>
      </c>
      <c r="D52">
        <f t="shared" ref="D52:D67" si="1">C52*0.8</f>
        <v>5.7640960000000003</v>
      </c>
    </row>
    <row r="53" spans="1:6" x14ac:dyDescent="0.2">
      <c r="B53">
        <v>30</v>
      </c>
      <c r="C53" s="121">
        <f t="shared" si="0"/>
        <v>10.80768</v>
      </c>
      <c r="D53">
        <f t="shared" si="1"/>
        <v>8.6461439999999996</v>
      </c>
    </row>
    <row r="54" spans="1:6" x14ac:dyDescent="0.2">
      <c r="B54">
        <v>40</v>
      </c>
      <c r="C54" s="121">
        <f t="shared" si="0"/>
        <v>14.41024</v>
      </c>
      <c r="D54">
        <f t="shared" si="1"/>
        <v>11.528192000000001</v>
      </c>
    </row>
    <row r="55" spans="1:6" x14ac:dyDescent="0.2">
      <c r="A55">
        <v>18</v>
      </c>
      <c r="B55" s="70">
        <v>50</v>
      </c>
      <c r="C55" s="122">
        <f t="shared" si="0"/>
        <v>18.012799999999999</v>
      </c>
      <c r="D55" s="70">
        <f t="shared" si="1"/>
        <v>14.41024</v>
      </c>
      <c r="E55">
        <v>15</v>
      </c>
    </row>
    <row r="56" spans="1:6" x14ac:dyDescent="0.2">
      <c r="B56">
        <v>60</v>
      </c>
      <c r="C56" s="121">
        <f t="shared" si="0"/>
        <v>21.615359999999999</v>
      </c>
      <c r="D56">
        <f t="shared" si="1"/>
        <v>17.292287999999999</v>
      </c>
    </row>
    <row r="57" spans="1:6" x14ac:dyDescent="0.2">
      <c r="A57">
        <v>25</v>
      </c>
      <c r="B57" s="70">
        <v>70</v>
      </c>
      <c r="C57" s="122">
        <f t="shared" si="0"/>
        <v>25.217919999999999</v>
      </c>
      <c r="D57" s="70">
        <f t="shared" si="1"/>
        <v>20.174336</v>
      </c>
      <c r="E57">
        <v>20</v>
      </c>
    </row>
    <row r="58" spans="1:6" x14ac:dyDescent="0.2">
      <c r="B58">
        <v>80</v>
      </c>
      <c r="C58" s="121">
        <f t="shared" si="0"/>
        <v>28.82048</v>
      </c>
      <c r="D58">
        <f t="shared" si="1"/>
        <v>23.056384000000001</v>
      </c>
    </row>
    <row r="59" spans="1:6" x14ac:dyDescent="0.2">
      <c r="B59">
        <v>90</v>
      </c>
      <c r="C59" s="121">
        <f t="shared" si="0"/>
        <v>32.42304</v>
      </c>
      <c r="D59">
        <f t="shared" si="1"/>
        <v>25.938432000000002</v>
      </c>
    </row>
    <row r="60" spans="1:6" x14ac:dyDescent="0.2">
      <c r="A60">
        <v>36</v>
      </c>
      <c r="B60" s="70">
        <v>100</v>
      </c>
      <c r="C60" s="122">
        <f t="shared" si="0"/>
        <v>36.025599999999997</v>
      </c>
      <c r="D60" s="70">
        <f t="shared" si="1"/>
        <v>28.82048</v>
      </c>
      <c r="E60">
        <v>30</v>
      </c>
    </row>
    <row r="61" spans="1:6" x14ac:dyDescent="0.2">
      <c r="B61">
        <v>125</v>
      </c>
      <c r="C61" s="121">
        <f t="shared" si="0"/>
        <v>45.031999999999996</v>
      </c>
      <c r="D61">
        <f t="shared" si="1"/>
        <v>36.025599999999997</v>
      </c>
    </row>
    <row r="62" spans="1:6" x14ac:dyDescent="0.2">
      <c r="A62">
        <v>54</v>
      </c>
      <c r="B62" s="70">
        <v>150</v>
      </c>
      <c r="C62" s="122">
        <f t="shared" si="0"/>
        <v>54.038400000000003</v>
      </c>
      <c r="D62" s="70">
        <f t="shared" si="1"/>
        <v>43.230720000000005</v>
      </c>
      <c r="E62">
        <v>45</v>
      </c>
    </row>
    <row r="63" spans="1:6" x14ac:dyDescent="0.2">
      <c r="B63">
        <v>175</v>
      </c>
      <c r="C63" s="121">
        <f t="shared" si="0"/>
        <v>63.044800000000002</v>
      </c>
      <c r="D63">
        <f t="shared" si="1"/>
        <v>50.435840000000006</v>
      </c>
    </row>
    <row r="64" spans="1:6" x14ac:dyDescent="0.2">
      <c r="A64">
        <v>72</v>
      </c>
      <c r="B64" s="70">
        <v>200</v>
      </c>
      <c r="C64" s="122">
        <f t="shared" si="0"/>
        <v>72.051199999999994</v>
      </c>
      <c r="D64" s="70">
        <f t="shared" si="1"/>
        <v>57.64096</v>
      </c>
      <c r="E64">
        <v>60</v>
      </c>
    </row>
    <row r="65" spans="1:4" x14ac:dyDescent="0.2">
      <c r="B65">
        <v>225</v>
      </c>
      <c r="C65" s="121">
        <f t="shared" si="0"/>
        <v>81.057599999999994</v>
      </c>
      <c r="D65">
        <f t="shared" si="1"/>
        <v>64.846080000000001</v>
      </c>
    </row>
    <row r="66" spans="1:4" x14ac:dyDescent="0.2">
      <c r="B66">
        <v>250</v>
      </c>
      <c r="C66" s="121">
        <f t="shared" si="0"/>
        <v>90.063999999999993</v>
      </c>
      <c r="D66">
        <f t="shared" si="1"/>
        <v>72.051199999999994</v>
      </c>
    </row>
    <row r="67" spans="1:4" x14ac:dyDescent="0.2">
      <c r="B67">
        <v>300</v>
      </c>
      <c r="C67" s="121">
        <f t="shared" si="0"/>
        <v>108.07680000000001</v>
      </c>
      <c r="D67">
        <f t="shared" si="1"/>
        <v>86.46144000000001</v>
      </c>
    </row>
    <row r="68" spans="1:4" x14ac:dyDescent="0.2">
      <c r="C68" s="121"/>
    </row>
    <row r="70" spans="1:4" ht="19" x14ac:dyDescent="0.25">
      <c r="A70" s="57" t="s">
        <v>794</v>
      </c>
    </row>
    <row r="72" spans="1:4" x14ac:dyDescent="0.2">
      <c r="A72" s="37" t="s">
        <v>782</v>
      </c>
      <c r="B72" s="37" t="s">
        <v>783</v>
      </c>
    </row>
    <row r="73" spans="1:4" x14ac:dyDescent="0.2">
      <c r="A73" s="37" t="s">
        <v>784</v>
      </c>
      <c r="B73" t="s">
        <v>785</v>
      </c>
      <c r="C73">
        <f>42/3</f>
        <v>14</v>
      </c>
    </row>
    <row r="74" spans="1:4" x14ac:dyDescent="0.2">
      <c r="A74" s="37" t="s">
        <v>786</v>
      </c>
      <c r="B74" t="s">
        <v>787</v>
      </c>
      <c r="C74">
        <f>54/3</f>
        <v>18</v>
      </c>
    </row>
    <row r="75" spans="1:4" x14ac:dyDescent="0.2">
      <c r="A75" s="37" t="s">
        <v>788</v>
      </c>
      <c r="B75" t="s">
        <v>789</v>
      </c>
      <c r="C75">
        <f>72/3</f>
        <v>24</v>
      </c>
    </row>
    <row r="76" spans="1:4" x14ac:dyDescent="0.2">
      <c r="A76" s="37" t="s">
        <v>790</v>
      </c>
      <c r="B76" t="s">
        <v>791</v>
      </c>
      <c r="C76">
        <f>84/3</f>
        <v>28</v>
      </c>
    </row>
    <row r="77" spans="1:4" x14ac:dyDescent="0.2">
      <c r="A77" s="37" t="s">
        <v>792</v>
      </c>
      <c r="B77" t="s">
        <v>793</v>
      </c>
      <c r="C77">
        <f>120/3</f>
        <v>40</v>
      </c>
    </row>
    <row r="79" spans="1:4" x14ac:dyDescent="0.2">
      <c r="A79" t="s">
        <v>795</v>
      </c>
    </row>
    <row r="80" spans="1:4" x14ac:dyDescent="0.2">
      <c r="A80" t="s">
        <v>796</v>
      </c>
    </row>
    <row r="81" spans="1:1" x14ac:dyDescent="0.2">
      <c r="A81" t="s">
        <v>797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0E7A-2320-174F-82CA-277CF1196A95}">
  <sheetPr>
    <tabColor theme="1"/>
  </sheetPr>
  <dimension ref="A1:I16"/>
  <sheetViews>
    <sheetView zoomScale="120" zoomScaleNormal="120" workbookViewId="0">
      <pane ySplit="1" topLeftCell="A2" activePane="bottomLeft" state="frozen"/>
      <selection pane="bottomLeft" activeCell="F26" sqref="F26"/>
    </sheetView>
  </sheetViews>
  <sheetFormatPr baseColWidth="10" defaultRowHeight="16" x14ac:dyDescent="0.2"/>
  <cols>
    <col min="1" max="1" width="16.1640625" customWidth="1"/>
    <col min="2" max="2" width="29.1640625" customWidth="1"/>
    <col min="3" max="3" width="24.83203125" customWidth="1"/>
    <col min="4" max="4" width="27.83203125" customWidth="1"/>
    <col min="5" max="5" width="25.83203125" customWidth="1"/>
    <col min="6" max="6" width="23.6640625" customWidth="1"/>
    <col min="7" max="7" width="23.5" customWidth="1"/>
    <col min="8" max="8" width="21.33203125" customWidth="1"/>
    <col min="9" max="9" width="21.1640625" customWidth="1"/>
  </cols>
  <sheetData>
    <row r="1" spans="1:9" s="58" customFormat="1" ht="51" x14ac:dyDescent="0.2">
      <c r="A1" s="58" t="s">
        <v>644</v>
      </c>
      <c r="B1" s="58" t="s">
        <v>659</v>
      </c>
      <c r="C1" s="58" t="s">
        <v>665</v>
      </c>
      <c r="D1" s="58" t="s">
        <v>666</v>
      </c>
      <c r="E1" s="52" t="s">
        <v>678</v>
      </c>
      <c r="F1" s="52" t="s">
        <v>681</v>
      </c>
      <c r="G1" s="52" t="s">
        <v>687</v>
      </c>
      <c r="H1" s="53" t="s">
        <v>661</v>
      </c>
      <c r="I1" s="53" t="s">
        <v>711</v>
      </c>
    </row>
    <row r="2" spans="1:9" x14ac:dyDescent="0.2">
      <c r="A2" t="s">
        <v>2</v>
      </c>
      <c r="B2" s="71" t="s">
        <v>660</v>
      </c>
      <c r="E2" t="str">
        <f>B2</f>
        <v>Rack_Circuit_Capacity_(design)</v>
      </c>
      <c r="F2" s="71" t="s">
        <v>656</v>
      </c>
      <c r="G2" s="71" t="s">
        <v>657</v>
      </c>
    </row>
    <row r="3" spans="1:9" x14ac:dyDescent="0.2">
      <c r="A3" t="s">
        <v>6</v>
      </c>
      <c r="B3" s="71" t="s">
        <v>660</v>
      </c>
      <c r="E3" t="s">
        <v>677</v>
      </c>
      <c r="F3" t="s">
        <v>677</v>
      </c>
      <c r="G3" t="s">
        <v>677</v>
      </c>
    </row>
    <row r="4" spans="1:9" x14ac:dyDescent="0.2">
      <c r="A4" t="s">
        <v>0</v>
      </c>
      <c r="C4" s="71" t="s">
        <v>662</v>
      </c>
      <c r="E4" t="s">
        <v>677</v>
      </c>
      <c r="F4" t="s">
        <v>677</v>
      </c>
      <c r="G4" t="s">
        <v>677</v>
      </c>
      <c r="I4" s="71" t="s">
        <v>662</v>
      </c>
    </row>
    <row r="5" spans="1:9" x14ac:dyDescent="0.2">
      <c r="A5" t="s">
        <v>530</v>
      </c>
      <c r="C5" s="71" t="s">
        <v>663</v>
      </c>
      <c r="D5" s="71" t="s">
        <v>664</v>
      </c>
      <c r="E5" t="str">
        <f>D5</f>
        <v>RPP_Panel_Capacity_(design)</v>
      </c>
      <c r="F5" s="71" t="s">
        <v>682</v>
      </c>
      <c r="G5" s="71" t="s">
        <v>688</v>
      </c>
      <c r="I5" s="71" t="s">
        <v>663</v>
      </c>
    </row>
    <row r="6" spans="1:9" x14ac:dyDescent="0.2">
      <c r="A6" t="s">
        <v>245</v>
      </c>
      <c r="B6" s="71" t="s">
        <v>667</v>
      </c>
      <c r="E6" t="str">
        <f>B6</f>
        <v>AirZone_Cooling_Capacity</v>
      </c>
      <c r="F6" s="71" t="s">
        <v>656</v>
      </c>
      <c r="G6" s="71" t="s">
        <v>657</v>
      </c>
    </row>
    <row r="7" spans="1:9" x14ac:dyDescent="0.2">
      <c r="A7" t="s">
        <v>1</v>
      </c>
      <c r="B7" s="71" t="s">
        <v>668</v>
      </c>
      <c r="E7" t="str">
        <f>B7</f>
        <v>LL_Cooling_Capacity</v>
      </c>
      <c r="F7" s="71" t="s">
        <v>656</v>
      </c>
      <c r="G7" s="71" t="s">
        <v>657</v>
      </c>
    </row>
    <row r="8" spans="1:9" x14ac:dyDescent="0.2">
      <c r="A8" t="s">
        <v>669</v>
      </c>
      <c r="C8" s="71" t="s">
        <v>662</v>
      </c>
      <c r="D8" s="71"/>
      <c r="E8" t="s">
        <v>677</v>
      </c>
      <c r="F8" s="71" t="s">
        <v>656</v>
      </c>
      <c r="G8" s="71" t="s">
        <v>657</v>
      </c>
      <c r="I8" s="71" t="s">
        <v>662</v>
      </c>
    </row>
    <row r="9" spans="1:9" x14ac:dyDescent="0.2">
      <c r="A9" t="s">
        <v>645</v>
      </c>
      <c r="B9" s="71" t="s">
        <v>670</v>
      </c>
      <c r="C9" s="71" t="s">
        <v>672</v>
      </c>
      <c r="D9" s="71" t="s">
        <v>671</v>
      </c>
      <c r="E9" t="str">
        <f>B9</f>
        <v>RPDU_Operational_Cap</v>
      </c>
      <c r="F9" s="71" t="s">
        <v>656</v>
      </c>
      <c r="G9" s="71" t="s">
        <v>657</v>
      </c>
      <c r="H9" s="71" t="s">
        <v>671</v>
      </c>
      <c r="I9" s="71" t="s">
        <v>672</v>
      </c>
    </row>
    <row r="10" spans="1:9" x14ac:dyDescent="0.2">
      <c r="A10" t="s">
        <v>531</v>
      </c>
      <c r="B10" s="71" t="s">
        <v>675</v>
      </c>
      <c r="C10" s="71" t="s">
        <v>673</v>
      </c>
      <c r="D10" s="71" t="s">
        <v>674</v>
      </c>
      <c r="E10" t="str">
        <f t="shared" ref="E10:E14" si="0">B10</f>
        <v>UPS_Operational_Cap</v>
      </c>
      <c r="F10" s="71" t="s">
        <v>656</v>
      </c>
      <c r="G10" s="71" t="s">
        <v>657</v>
      </c>
      <c r="H10" s="71" t="s">
        <v>674</v>
      </c>
      <c r="I10" s="71" t="s">
        <v>673</v>
      </c>
    </row>
    <row r="11" spans="1:9" x14ac:dyDescent="0.2">
      <c r="A11" t="s">
        <v>295</v>
      </c>
      <c r="B11" s="71" t="s">
        <v>676</v>
      </c>
      <c r="E11" t="str">
        <f t="shared" si="0"/>
        <v>Capacity_Envelope</v>
      </c>
      <c r="F11" s="71" t="s">
        <v>683</v>
      </c>
      <c r="G11" s="71" t="s">
        <v>689</v>
      </c>
    </row>
    <row r="12" spans="1:9" x14ac:dyDescent="0.2">
      <c r="A12" t="s">
        <v>383</v>
      </c>
      <c r="B12" s="71" t="s">
        <v>676</v>
      </c>
      <c r="E12" t="str">
        <f t="shared" si="0"/>
        <v>Capacity_Envelope</v>
      </c>
      <c r="F12" s="71" t="s">
        <v>684</v>
      </c>
      <c r="G12" s="71" t="s">
        <v>690</v>
      </c>
    </row>
    <row r="13" spans="1:9" x14ac:dyDescent="0.2">
      <c r="A13" t="s">
        <v>391</v>
      </c>
      <c r="B13" s="71" t="s">
        <v>676</v>
      </c>
      <c r="E13" t="str">
        <f t="shared" si="0"/>
        <v>Capacity_Envelope</v>
      </c>
      <c r="F13" s="71" t="s">
        <v>684</v>
      </c>
      <c r="G13" s="71" t="s">
        <v>690</v>
      </c>
    </row>
    <row r="14" spans="1:9" x14ac:dyDescent="0.2">
      <c r="A14" t="s">
        <v>394</v>
      </c>
      <c r="B14" s="71" t="s">
        <v>676</v>
      </c>
      <c r="E14" t="str">
        <f t="shared" si="0"/>
        <v>Capacity_Envelope</v>
      </c>
      <c r="F14" s="71" t="s">
        <v>684</v>
      </c>
      <c r="G14" s="71" t="s">
        <v>690</v>
      </c>
    </row>
    <row r="15" spans="1:9" x14ac:dyDescent="0.2">
      <c r="A15" t="s">
        <v>259</v>
      </c>
      <c r="B15" s="71" t="s">
        <v>679</v>
      </c>
      <c r="E15" t="str">
        <f>B15</f>
        <v>Liquid_Cooling_Capacity</v>
      </c>
      <c r="F15" s="71" t="s">
        <v>656</v>
      </c>
      <c r="G15" s="71" t="s">
        <v>657</v>
      </c>
    </row>
    <row r="16" spans="1:9" x14ac:dyDescent="0.2">
      <c r="A16" t="s">
        <v>259</v>
      </c>
      <c r="B16" s="71" t="s">
        <v>680</v>
      </c>
      <c r="E16" t="str">
        <f>B16</f>
        <v>Air_Cooling_Capacity</v>
      </c>
      <c r="F16" s="71" t="s">
        <v>656</v>
      </c>
      <c r="G16" s="71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Spatial</vt:lpstr>
      <vt:lpstr>Zone-Aisle</vt:lpstr>
      <vt:lpstr>Sheet2</vt:lpstr>
      <vt:lpstr>Master_Rack</vt:lpstr>
      <vt:lpstr>Load_Margin</vt:lpstr>
      <vt:lpstr>CC</vt:lpstr>
      <vt:lpstr>Cooling-Rack</vt:lpstr>
      <vt:lpstr>Cooling-Dist</vt:lpstr>
      <vt:lpstr>Constraints</vt:lpstr>
      <vt:lpstr>Upstream</vt:lpstr>
      <vt:lpstr>Sheet1</vt:lpstr>
      <vt:lpstr>UpstreamType</vt:lpstr>
      <vt:lpstr>Deployment</vt:lpstr>
      <vt:lpstr>Device Rating Ref</vt:lpstr>
      <vt:lpstr>Capacity Name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Atomiton</dc:creator>
  <cp:lastModifiedBy>Atomiton</cp:lastModifiedBy>
  <dcterms:created xsi:type="dcterms:W3CDTF">2026-02-24T22:43:33Z</dcterms:created>
  <dcterms:modified xsi:type="dcterms:W3CDTF">2026-03-20T06:20:17Z</dcterms:modified>
</cp:coreProperties>
</file>